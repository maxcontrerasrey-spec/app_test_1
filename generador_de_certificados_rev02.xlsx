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ximilianocontrerasrey/Documents/GitHub/app_test_1/"/>
    </mc:Choice>
  </mc:AlternateContent>
  <xr:revisionPtr revIDLastSave="0" documentId="13_ncr:1_{3A95CB91-F4DA-4348-83FA-2D913811E125}" xr6:coauthVersionLast="47" xr6:coauthVersionMax="47" xr10:uidLastSave="{00000000-0000-0000-0000-000000000000}"/>
  <bookViews>
    <workbookView xWindow="29400" yWindow="600" windowWidth="29040" windowHeight="15720" activeTab="3" xr2:uid="{31BBC41E-A104-4C46-B716-74FDEAAB1447}"/>
  </bookViews>
  <sheets>
    <sheet name="diccionario_" sheetId="2" state="hidden" r:id="rId1"/>
    <sheet name="dot_" sheetId="3" state="hidden" r:id="rId2"/>
    <sheet name="firmas" sheetId="5" state="hidden" r:id="rId3"/>
    <sheet name="form" sheetId="1" r:id="rId4"/>
    <sheet name="bbdd" sheetId="4" state="hidden" r:id="rId5"/>
    <sheet name="Registro_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  <c r="V244" i="4"/>
  <c r="U244" i="4"/>
  <c r="T244" i="4"/>
  <c r="R244" i="4"/>
  <c r="Q244" i="4"/>
  <c r="S244" i="4"/>
  <c r="V243" i="4"/>
  <c r="U243" i="4"/>
  <c r="T243" i="4"/>
  <c r="R243" i="4"/>
  <c r="Q243" i="4"/>
  <c r="S243" i="4"/>
  <c r="V242" i="4"/>
  <c r="U242" i="4"/>
  <c r="T242" i="4"/>
  <c r="R242" i="4"/>
  <c r="Q242" i="4"/>
  <c r="S242" i="4"/>
  <c r="Q240" i="4"/>
  <c r="R240" i="4"/>
  <c r="S240" i="4"/>
  <c r="T240" i="4"/>
  <c r="U240" i="4"/>
  <c r="V240" i="4"/>
  <c r="Q241" i="4"/>
  <c r="R241" i="4"/>
  <c r="S241" i="4"/>
  <c r="T241" i="4"/>
  <c r="U241" i="4"/>
  <c r="V241" i="4"/>
  <c r="V239" i="4"/>
  <c r="U239" i="4"/>
  <c r="T239" i="4"/>
  <c r="R239" i="4"/>
  <c r="S239" i="4" s="1"/>
  <c r="Q239" i="4"/>
  <c r="V238" i="4"/>
  <c r="U238" i="4"/>
  <c r="T238" i="4"/>
  <c r="R238" i="4"/>
  <c r="S238" i="4" s="1"/>
  <c r="Q238" i="4"/>
  <c r="M2" i="1"/>
  <c r="M3" i="1"/>
  <c r="V237" i="4"/>
  <c r="U237" i="4"/>
  <c r="T237" i="4"/>
  <c r="R237" i="4"/>
  <c r="Q237" i="4"/>
  <c r="S237" i="4"/>
  <c r="V236" i="4"/>
  <c r="U236" i="4"/>
  <c r="T236" i="4"/>
  <c r="R236" i="4"/>
  <c r="Q236" i="4"/>
  <c r="S236" i="4"/>
  <c r="V235" i="4"/>
  <c r="U235" i="4"/>
  <c r="T235" i="4"/>
  <c r="R235" i="4"/>
  <c r="Q235" i="4"/>
  <c r="S235" i="4"/>
  <c r="V234" i="4"/>
  <c r="U234" i="4"/>
  <c r="T234" i="4"/>
  <c r="R234" i="4"/>
  <c r="Q234" i="4"/>
  <c r="S234" i="4"/>
  <c r="V233" i="4"/>
  <c r="U233" i="4"/>
  <c r="T233" i="4"/>
  <c r="R233" i="4"/>
  <c r="Q233" i="4"/>
  <c r="S233" i="4"/>
  <c r="V232" i="4"/>
  <c r="U232" i="4"/>
  <c r="T232" i="4"/>
  <c r="R232" i="4"/>
  <c r="Q232" i="4"/>
  <c r="S232" i="4"/>
  <c r="V231" i="4"/>
  <c r="U231" i="4"/>
  <c r="T231" i="4"/>
  <c r="R231" i="4"/>
  <c r="Q231" i="4"/>
  <c r="S231" i="4"/>
  <c r="V230" i="4"/>
  <c r="U230" i="4"/>
  <c r="T230" i="4"/>
  <c r="R230" i="4"/>
  <c r="Q230" i="4"/>
  <c r="S230" i="4"/>
  <c r="V229" i="4"/>
  <c r="U229" i="4"/>
  <c r="T229" i="4"/>
  <c r="R229" i="4"/>
  <c r="Q229" i="4"/>
  <c r="S229" i="4"/>
  <c r="V228" i="4"/>
  <c r="U228" i="4"/>
  <c r="T228" i="4"/>
  <c r="R228" i="4"/>
  <c r="Q228" i="4"/>
  <c r="S228" i="4"/>
  <c r="V227" i="4"/>
  <c r="U227" i="4"/>
  <c r="T227" i="4"/>
  <c r="R227" i="4"/>
  <c r="Q227" i="4"/>
  <c r="S227" i="4"/>
  <c r="V226" i="4"/>
  <c r="U226" i="4"/>
  <c r="T226" i="4"/>
  <c r="R226" i="4"/>
  <c r="Q226" i="4"/>
  <c r="S226" i="4"/>
  <c r="V225" i="4"/>
  <c r="U225" i="4"/>
  <c r="T225" i="4"/>
  <c r="R225" i="4"/>
  <c r="Q225" i="4"/>
  <c r="S225" i="4"/>
  <c r="V224" i="4"/>
  <c r="U224" i="4"/>
  <c r="T224" i="4"/>
  <c r="R224" i="4"/>
  <c r="Q224" i="4"/>
  <c r="S224" i="4"/>
  <c r="V223" i="4"/>
  <c r="U223" i="4"/>
  <c r="T223" i="4"/>
  <c r="R223" i="4"/>
  <c r="Q223" i="4"/>
  <c r="S223" i="4"/>
  <c r="V222" i="4"/>
  <c r="U222" i="4"/>
  <c r="T222" i="4"/>
  <c r="R222" i="4"/>
  <c r="Q222" i="4"/>
  <c r="S222" i="4"/>
  <c r="V221" i="4"/>
  <c r="U221" i="4"/>
  <c r="T221" i="4"/>
  <c r="R221" i="4"/>
  <c r="Q221" i="4"/>
  <c r="S221" i="4"/>
  <c r="V220" i="4"/>
  <c r="U220" i="4"/>
  <c r="T220" i="4"/>
  <c r="R220" i="4"/>
  <c r="Q220" i="4"/>
  <c r="S220" i="4"/>
  <c r="V219" i="4"/>
  <c r="U219" i="4"/>
  <c r="T219" i="4"/>
  <c r="R219" i="4"/>
  <c r="Q219" i="4"/>
  <c r="S219" i="4"/>
  <c r="V218" i="4"/>
  <c r="U218" i="4"/>
  <c r="T218" i="4"/>
  <c r="R218" i="4"/>
  <c r="Q218" i="4"/>
  <c r="S218" i="4"/>
  <c r="V217" i="4"/>
  <c r="U217" i="4"/>
  <c r="T217" i="4"/>
  <c r="R217" i="4"/>
  <c r="Q217" i="4"/>
  <c r="S217" i="4"/>
  <c r="Q216" i="4"/>
  <c r="R216" i="4"/>
  <c r="S216" i="4"/>
  <c r="T216" i="4"/>
  <c r="U216" i="4"/>
  <c r="V216" i="4"/>
  <c r="Q215" i="4"/>
  <c r="R215" i="4"/>
  <c r="S215" i="4"/>
  <c r="T215" i="4"/>
  <c r="U215" i="4"/>
  <c r="V215" i="4"/>
  <c r="Q214" i="4"/>
  <c r="R214" i="4"/>
  <c r="S214" i="4"/>
  <c r="T214" i="4"/>
  <c r="U214" i="4"/>
  <c r="V214" i="4"/>
  <c r="V213" i="4"/>
  <c r="U213" i="4"/>
  <c r="T213" i="4"/>
  <c r="R213" i="4"/>
  <c r="S213" i="4" s="1"/>
  <c r="Q213" i="4"/>
  <c r="V212" i="4"/>
  <c r="U212" i="4"/>
  <c r="T212" i="4"/>
  <c r="R212" i="4"/>
  <c r="S212" i="4" s="1"/>
  <c r="Q212" i="4"/>
  <c r="V211" i="4"/>
  <c r="U211" i="4"/>
  <c r="T211" i="4"/>
  <c r="R211" i="4"/>
  <c r="S211" i="4" s="1"/>
  <c r="Q211" i="4"/>
  <c r="V210" i="4"/>
  <c r="U210" i="4"/>
  <c r="T210" i="4"/>
  <c r="R210" i="4"/>
  <c r="Q210" i="4"/>
  <c r="S210" i="4"/>
  <c r="V209" i="4"/>
  <c r="U209" i="4"/>
  <c r="T209" i="4"/>
  <c r="R209" i="4"/>
  <c r="Q209" i="4"/>
  <c r="S209" i="4"/>
  <c r="V208" i="4"/>
  <c r="U208" i="4"/>
  <c r="T208" i="4"/>
  <c r="R208" i="4"/>
  <c r="Q208" i="4"/>
  <c r="S208" i="4"/>
  <c r="G6" i="1"/>
  <c r="V207" i="4"/>
  <c r="U207" i="4"/>
  <c r="T207" i="4"/>
  <c r="R207" i="4"/>
  <c r="Q207" i="4"/>
  <c r="S207" i="4"/>
  <c r="V206" i="4"/>
  <c r="U206" i="4"/>
  <c r="T206" i="4"/>
  <c r="R206" i="4"/>
  <c r="Q206" i="4"/>
  <c r="S206" i="4"/>
  <c r="V205" i="4"/>
  <c r="U205" i="4"/>
  <c r="T205" i="4"/>
  <c r="R205" i="4"/>
  <c r="Q205" i="4"/>
  <c r="S205" i="4"/>
  <c r="V204" i="4"/>
  <c r="U204" i="4"/>
  <c r="T204" i="4"/>
  <c r="R204" i="4"/>
  <c r="Q204" i="4"/>
  <c r="S204" i="4"/>
  <c r="V203" i="4"/>
  <c r="U203" i="4"/>
  <c r="T203" i="4"/>
  <c r="R203" i="4"/>
  <c r="Q203" i="4"/>
  <c r="S203" i="4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V202" i="4"/>
  <c r="U202" i="4"/>
  <c r="T202" i="4"/>
  <c r="R202" i="4"/>
  <c r="Q202" i="4"/>
  <c r="S202" i="4"/>
  <c r="V201" i="4"/>
  <c r="U201" i="4"/>
  <c r="T201" i="4"/>
  <c r="R201" i="4"/>
  <c r="Q201" i="4"/>
  <c r="S201" i="4"/>
  <c r="V200" i="4"/>
  <c r="U200" i="4"/>
  <c r="T200" i="4"/>
  <c r="R200" i="4"/>
  <c r="Q200" i="4"/>
  <c r="S200" i="4"/>
  <c r="V199" i="4"/>
  <c r="U199" i="4"/>
  <c r="T199" i="4"/>
  <c r="R199" i="4"/>
  <c r="Q199" i="4"/>
  <c r="S199" i="4"/>
  <c r="Q197" i="4"/>
  <c r="R197" i="4"/>
  <c r="S197" i="4"/>
  <c r="T197" i="4"/>
  <c r="U197" i="4"/>
  <c r="V197" i="4"/>
  <c r="Q198" i="4"/>
  <c r="R198" i="4"/>
  <c r="S198" i="4"/>
  <c r="T198" i="4"/>
  <c r="U198" i="4"/>
  <c r="V198" i="4"/>
  <c r="V196" i="4"/>
  <c r="U196" i="4"/>
  <c r="T196" i="4"/>
  <c r="R196" i="4"/>
  <c r="Q196" i="4"/>
  <c r="S196" i="4"/>
  <c r="V195" i="4"/>
  <c r="U195" i="4"/>
  <c r="T195" i="4"/>
  <c r="R195" i="4"/>
  <c r="Q195" i="4"/>
  <c r="S195" i="4"/>
  <c r="V194" i="4"/>
  <c r="U194" i="4"/>
  <c r="T194" i="4"/>
  <c r="R194" i="4"/>
  <c r="Q194" i="4"/>
  <c r="S194" i="4"/>
  <c r="V193" i="4"/>
  <c r="U193" i="4"/>
  <c r="T193" i="4"/>
  <c r="R193" i="4"/>
  <c r="Q193" i="4"/>
  <c r="S193" i="4"/>
  <c r="V192" i="4"/>
  <c r="U192" i="4"/>
  <c r="T192" i="4"/>
  <c r="R192" i="4"/>
  <c r="Q192" i="4"/>
  <c r="S192" i="4"/>
  <c r="V191" i="4"/>
  <c r="U191" i="4"/>
  <c r="T191" i="4"/>
  <c r="R191" i="4"/>
  <c r="Q191" i="4"/>
  <c r="S191" i="4"/>
  <c r="V190" i="4"/>
  <c r="U190" i="4"/>
  <c r="T190" i="4"/>
  <c r="R190" i="4"/>
  <c r="Q190" i="4"/>
  <c r="S190" i="4"/>
  <c r="V189" i="4"/>
  <c r="U189" i="4"/>
  <c r="T189" i="4"/>
  <c r="R189" i="4"/>
  <c r="Q189" i="4"/>
  <c r="S189" i="4"/>
  <c r="V188" i="4"/>
  <c r="U188" i="4"/>
  <c r="T188" i="4"/>
  <c r="R188" i="4"/>
  <c r="Q188" i="4"/>
  <c r="S188" i="4"/>
  <c r="V187" i="4"/>
  <c r="U187" i="4"/>
  <c r="T187" i="4"/>
  <c r="R187" i="4"/>
  <c r="Q187" i="4"/>
  <c r="S187" i="4"/>
  <c r="V186" i="4"/>
  <c r="U186" i="4"/>
  <c r="T186" i="4"/>
  <c r="R186" i="4"/>
  <c r="Q186" i="4"/>
  <c r="S186" i="4"/>
  <c r="V185" i="4"/>
  <c r="U185" i="4"/>
  <c r="T185" i="4"/>
  <c r="R185" i="4"/>
  <c r="Q185" i="4"/>
  <c r="S185" i="4"/>
  <c r="V184" i="4"/>
  <c r="U184" i="4"/>
  <c r="T184" i="4"/>
  <c r="R184" i="4"/>
  <c r="Q184" i="4"/>
  <c r="S184" i="4"/>
  <c r="V183" i="4"/>
  <c r="U183" i="4"/>
  <c r="T183" i="4"/>
  <c r="R183" i="4"/>
  <c r="Q183" i="4"/>
  <c r="S183" i="4"/>
  <c r="V182" i="4"/>
  <c r="U182" i="4"/>
  <c r="T182" i="4"/>
  <c r="R182" i="4"/>
  <c r="Q182" i="4"/>
  <c r="S182" i="4"/>
  <c r="V181" i="4"/>
  <c r="U181" i="4"/>
  <c r="T181" i="4"/>
  <c r="R181" i="4"/>
  <c r="Q181" i="4"/>
  <c r="S181" i="4"/>
  <c r="V180" i="4"/>
  <c r="U180" i="4"/>
  <c r="T180" i="4"/>
  <c r="R180" i="4"/>
  <c r="Q180" i="4"/>
  <c r="S180" i="4"/>
  <c r="V179" i="4"/>
  <c r="U179" i="4"/>
  <c r="T179" i="4"/>
  <c r="R179" i="4"/>
  <c r="Q179" i="4"/>
  <c r="S179" i="4"/>
  <c r="V178" i="4"/>
  <c r="U178" i="4"/>
  <c r="T178" i="4"/>
  <c r="R178" i="4"/>
  <c r="Q178" i="4"/>
  <c r="S178" i="4"/>
  <c r="V177" i="4"/>
  <c r="U177" i="4"/>
  <c r="T177" i="4"/>
  <c r="R177" i="4"/>
  <c r="Q177" i="4"/>
  <c r="S177" i="4"/>
  <c r="V176" i="4"/>
  <c r="U176" i="4"/>
  <c r="T176" i="4"/>
  <c r="R176" i="4"/>
  <c r="Q176" i="4"/>
  <c r="S176" i="4"/>
  <c r="Q174" i="4"/>
  <c r="R174" i="4"/>
  <c r="S174" i="4"/>
  <c r="T174" i="4"/>
  <c r="U174" i="4"/>
  <c r="V174" i="4"/>
  <c r="Q175" i="4"/>
  <c r="R175" i="4"/>
  <c r="S175" i="4"/>
  <c r="T175" i="4"/>
  <c r="U175" i="4"/>
  <c r="V175" i="4"/>
  <c r="Q173" i="4"/>
  <c r="R173" i="4"/>
  <c r="S173" i="4"/>
  <c r="T173" i="4"/>
  <c r="U173" i="4"/>
  <c r="V173" i="4"/>
  <c r="V172" i="4"/>
  <c r="U172" i="4"/>
  <c r="T172" i="4"/>
  <c r="R172" i="4"/>
  <c r="Q172" i="4"/>
  <c r="S172" i="4"/>
  <c r="V171" i="4"/>
  <c r="U171" i="4"/>
  <c r="T171" i="4"/>
  <c r="R171" i="4"/>
  <c r="Q171" i="4"/>
  <c r="S171" i="4"/>
  <c r="Q168" i="4"/>
  <c r="R168" i="4"/>
  <c r="S168" i="4"/>
  <c r="T168" i="4"/>
  <c r="U168" i="4"/>
  <c r="V168" i="4"/>
  <c r="Q169" i="4"/>
  <c r="R169" i="4"/>
  <c r="S169" i="4"/>
  <c r="T169" i="4"/>
  <c r="U169" i="4"/>
  <c r="V169" i="4"/>
  <c r="Q170" i="4"/>
  <c r="R170" i="4"/>
  <c r="S170" i="4"/>
  <c r="T170" i="4"/>
  <c r="U170" i="4"/>
  <c r="V170" i="4"/>
  <c r="Q165" i="4"/>
  <c r="R165" i="4"/>
  <c r="S165" i="4"/>
  <c r="T165" i="4"/>
  <c r="U165" i="4"/>
  <c r="V165" i="4"/>
  <c r="Q166" i="4"/>
  <c r="R166" i="4"/>
  <c r="S166" i="4"/>
  <c r="T166" i="4"/>
  <c r="U166" i="4"/>
  <c r="V166" i="4"/>
  <c r="Q167" i="4"/>
  <c r="R167" i="4"/>
  <c r="S167" i="4"/>
  <c r="T167" i="4"/>
  <c r="U167" i="4"/>
  <c r="V167" i="4"/>
  <c r="Q162" i="4"/>
  <c r="R162" i="4"/>
  <c r="S162" i="4"/>
  <c r="T162" i="4"/>
  <c r="U162" i="4"/>
  <c r="V162" i="4"/>
  <c r="Q163" i="4"/>
  <c r="R163" i="4"/>
  <c r="S163" i="4"/>
  <c r="T163" i="4"/>
  <c r="U163" i="4"/>
  <c r="V163" i="4"/>
  <c r="Q164" i="4"/>
  <c r="R164" i="4"/>
  <c r="S164" i="4"/>
  <c r="T164" i="4"/>
  <c r="U164" i="4"/>
  <c r="V164" i="4"/>
  <c r="Q159" i="4"/>
  <c r="R159" i="4"/>
  <c r="S159" i="4"/>
  <c r="T159" i="4"/>
  <c r="U159" i="4"/>
  <c r="V159" i="4"/>
  <c r="Q160" i="4"/>
  <c r="R160" i="4"/>
  <c r="S160" i="4"/>
  <c r="T160" i="4"/>
  <c r="U160" i="4"/>
  <c r="V160" i="4"/>
  <c r="Q161" i="4"/>
  <c r="R161" i="4"/>
  <c r="S161" i="4"/>
  <c r="T161" i="4"/>
  <c r="U161" i="4"/>
  <c r="V161" i="4"/>
  <c r="V158" i="4"/>
  <c r="U158" i="4"/>
  <c r="T158" i="4"/>
  <c r="R158" i="4"/>
  <c r="Q158" i="4"/>
  <c r="S158" i="4"/>
  <c r="V157" i="4"/>
  <c r="U157" i="4"/>
  <c r="T157" i="4"/>
  <c r="R157" i="4"/>
  <c r="Q157" i="4"/>
  <c r="S157" i="4"/>
  <c r="V156" i="4"/>
  <c r="U156" i="4"/>
  <c r="T156" i="4"/>
  <c r="R156" i="4"/>
  <c r="Q156" i="4"/>
  <c r="S156" i="4"/>
  <c r="V155" i="4"/>
  <c r="U155" i="4"/>
  <c r="T155" i="4"/>
  <c r="R155" i="4"/>
  <c r="S155" i="4" s="1"/>
  <c r="Q155" i="4"/>
  <c r="Q149" i="4"/>
  <c r="R149" i="4"/>
  <c r="S149" i="4"/>
  <c r="T149" i="4"/>
  <c r="U149" i="4"/>
  <c r="V149" i="4"/>
  <c r="Q150" i="4"/>
  <c r="R150" i="4"/>
  <c r="S150" i="4"/>
  <c r="T150" i="4"/>
  <c r="U150" i="4"/>
  <c r="V150" i="4"/>
  <c r="Q151" i="4"/>
  <c r="R151" i="4"/>
  <c r="S151" i="4"/>
  <c r="T151" i="4"/>
  <c r="U151" i="4"/>
  <c r="V151" i="4"/>
  <c r="Q152" i="4"/>
  <c r="R152" i="4"/>
  <c r="S152" i="4"/>
  <c r="T152" i="4"/>
  <c r="U152" i="4"/>
  <c r="V152" i="4"/>
  <c r="Q153" i="4"/>
  <c r="R153" i="4"/>
  <c r="S153" i="4"/>
  <c r="T153" i="4"/>
  <c r="U153" i="4"/>
  <c r="V153" i="4"/>
  <c r="Q154" i="4"/>
  <c r="R154" i="4"/>
  <c r="S154" i="4"/>
  <c r="T154" i="4"/>
  <c r="U154" i="4"/>
  <c r="V154" i="4"/>
  <c r="G7" i="1"/>
  <c r="Q147" i="4"/>
  <c r="R147" i="4"/>
  <c r="S147" i="4"/>
  <c r="T147" i="4"/>
  <c r="U147" i="4"/>
  <c r="V147" i="4"/>
  <c r="Q148" i="4"/>
  <c r="R148" i="4"/>
  <c r="S148" i="4"/>
  <c r="T148" i="4"/>
  <c r="U148" i="4"/>
  <c r="V148" i="4"/>
  <c r="V146" i="4"/>
  <c r="U146" i="4"/>
  <c r="T146" i="4"/>
  <c r="R146" i="4"/>
  <c r="Q146" i="4"/>
  <c r="S146" i="4"/>
  <c r="V145" i="4"/>
  <c r="U145" i="4"/>
  <c r="T145" i="4"/>
  <c r="R145" i="4"/>
  <c r="Q145" i="4"/>
  <c r="S145" i="4"/>
  <c r="G2" i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U144" i="4"/>
  <c r="T144" i="4"/>
  <c r="R144" i="4"/>
  <c r="S144" i="4" s="1"/>
  <c r="Q144" i="4"/>
  <c r="U143" i="4"/>
  <c r="T143" i="4"/>
  <c r="R143" i="4"/>
  <c r="S143" i="4" s="1"/>
  <c r="Q143" i="4"/>
  <c r="U142" i="4"/>
  <c r="T142" i="4"/>
  <c r="R142" i="4"/>
  <c r="S142" i="4" s="1"/>
  <c r="Q142" i="4"/>
  <c r="U141" i="4"/>
  <c r="T141" i="4"/>
  <c r="R141" i="4"/>
  <c r="S141" i="4" s="1"/>
  <c r="Q141" i="4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Q140" i="4"/>
  <c r="R140" i="4"/>
  <c r="S140" i="4"/>
  <c r="T140" i="4"/>
  <c r="U140" i="4"/>
  <c r="Q139" i="4"/>
  <c r="R139" i="4"/>
  <c r="S139" i="4"/>
  <c r="T139" i="4"/>
  <c r="U139" i="4"/>
  <c r="Q136" i="4"/>
  <c r="R136" i="4"/>
  <c r="S136" i="4"/>
  <c r="T136" i="4"/>
  <c r="U136" i="4"/>
  <c r="Q137" i="4"/>
  <c r="R137" i="4"/>
  <c r="S137" i="4"/>
  <c r="T137" i="4"/>
  <c r="U137" i="4"/>
  <c r="Q138" i="4"/>
  <c r="R138" i="4"/>
  <c r="S138" i="4"/>
  <c r="T138" i="4"/>
  <c r="U138" i="4"/>
  <c r="Q134" i="4"/>
  <c r="R134" i="4"/>
  <c r="S134" i="4"/>
  <c r="T134" i="4"/>
  <c r="U134" i="4"/>
  <c r="Q135" i="4"/>
  <c r="R135" i="4"/>
  <c r="S135" i="4"/>
  <c r="T135" i="4"/>
  <c r="U135" i="4"/>
  <c r="Q132" i="4"/>
  <c r="R132" i="4"/>
  <c r="S132" i="4"/>
  <c r="T132" i="4"/>
  <c r="U132" i="4"/>
  <c r="Q133" i="4"/>
  <c r="R133" i="4"/>
  <c r="S133" i="4"/>
  <c r="T133" i="4"/>
  <c r="U133" i="4"/>
  <c r="Q131" i="4"/>
  <c r="R131" i="4"/>
  <c r="S131" i="4"/>
  <c r="T131" i="4"/>
  <c r="U131" i="4"/>
  <c r="U130" i="4"/>
  <c r="T130" i="4"/>
  <c r="R130" i="4"/>
  <c r="S130" i="4" s="1"/>
  <c r="Q130" i="4"/>
  <c r="U129" i="4"/>
  <c r="T129" i="4"/>
  <c r="R129" i="4"/>
  <c r="Q129" i="4"/>
  <c r="S129" i="4"/>
  <c r="U128" i="4"/>
  <c r="T128" i="4"/>
  <c r="R128" i="4"/>
  <c r="Q128" i="4"/>
  <c r="S128" i="4"/>
  <c r="U127" i="4"/>
  <c r="T127" i="4"/>
  <c r="R127" i="4"/>
  <c r="Q127" i="4"/>
  <c r="S127" i="4"/>
  <c r="U126" i="4"/>
  <c r="T126" i="4"/>
  <c r="R126" i="4"/>
  <c r="Q126" i="4"/>
  <c r="S126" i="4"/>
  <c r="U125" i="4"/>
  <c r="T125" i="4"/>
  <c r="R125" i="4"/>
  <c r="Q125" i="4"/>
  <c r="S125" i="4"/>
  <c r="U124" i="4"/>
  <c r="T124" i="4"/>
  <c r="R124" i="4"/>
  <c r="Q124" i="4"/>
  <c r="S124" i="4"/>
  <c r="U123" i="4"/>
  <c r="T123" i="4"/>
  <c r="R123" i="4"/>
  <c r="Q123" i="4"/>
  <c r="S123" i="4"/>
  <c r="U122" i="4"/>
  <c r="T122" i="4"/>
  <c r="R122" i="4"/>
  <c r="Q122" i="4"/>
  <c r="S122" i="4"/>
  <c r="Q118" i="4"/>
  <c r="R118" i="4"/>
  <c r="S118" i="4"/>
  <c r="T118" i="4"/>
  <c r="U118" i="4"/>
  <c r="Q119" i="4"/>
  <c r="R119" i="4"/>
  <c r="S119" i="4"/>
  <c r="T119" i="4"/>
  <c r="U119" i="4"/>
  <c r="Q120" i="4"/>
  <c r="R120" i="4"/>
  <c r="S120" i="4"/>
  <c r="T120" i="4"/>
  <c r="U120" i="4"/>
  <c r="Q121" i="4"/>
  <c r="R121" i="4"/>
  <c r="S121" i="4"/>
  <c r="T121" i="4"/>
  <c r="U121" i="4"/>
  <c r="Q113" i="4"/>
  <c r="R113" i="4"/>
  <c r="S113" i="4"/>
  <c r="T113" i="4"/>
  <c r="U113" i="4"/>
  <c r="Q114" i="4"/>
  <c r="R114" i="4"/>
  <c r="S114" i="4"/>
  <c r="T114" i="4"/>
  <c r="U114" i="4"/>
  <c r="Q115" i="4"/>
  <c r="R115" i="4"/>
  <c r="S115" i="4"/>
  <c r="T115" i="4"/>
  <c r="U115" i="4"/>
  <c r="Q116" i="4"/>
  <c r="R116" i="4"/>
  <c r="S116" i="4"/>
  <c r="T116" i="4"/>
  <c r="U116" i="4"/>
  <c r="Q117" i="4"/>
  <c r="R117" i="4"/>
  <c r="S117" i="4"/>
  <c r="T117" i="4"/>
  <c r="U117" i="4"/>
  <c r="Q111" i="4"/>
  <c r="R111" i="4"/>
  <c r="S111" i="4"/>
  <c r="T111" i="4"/>
  <c r="U111" i="4"/>
  <c r="Q112" i="4"/>
  <c r="R112" i="4"/>
  <c r="S112" i="4"/>
  <c r="T112" i="4"/>
  <c r="U112" i="4"/>
  <c r="Q109" i="4"/>
  <c r="R109" i="4"/>
  <c r="S109" i="4"/>
  <c r="T109" i="4"/>
  <c r="U109" i="4"/>
  <c r="Q110" i="4"/>
  <c r="R110" i="4"/>
  <c r="S110" i="4"/>
  <c r="T110" i="4"/>
  <c r="U110" i="4"/>
  <c r="Q107" i="4"/>
  <c r="R107" i="4"/>
  <c r="S107" i="4"/>
  <c r="T107" i="4"/>
  <c r="U107" i="4"/>
  <c r="Q108" i="4"/>
  <c r="R108" i="4"/>
  <c r="S108" i="4"/>
  <c r="T108" i="4"/>
  <c r="U108" i="4"/>
  <c r="Q105" i="4"/>
  <c r="R105" i="4"/>
  <c r="S105" i="4"/>
  <c r="T105" i="4"/>
  <c r="U105" i="4"/>
  <c r="Q106" i="4"/>
  <c r="R106" i="4"/>
  <c r="S106" i="4"/>
  <c r="T106" i="4"/>
  <c r="U106" i="4"/>
  <c r="Q103" i="4"/>
  <c r="R103" i="4"/>
  <c r="S103" i="4"/>
  <c r="T103" i="4"/>
  <c r="U103" i="4"/>
  <c r="Q104" i="4"/>
  <c r="R104" i="4"/>
  <c r="S104" i="4"/>
  <c r="T104" i="4"/>
  <c r="U104" i="4"/>
  <c r="Q101" i="4"/>
  <c r="R101" i="4"/>
  <c r="S101" i="4"/>
  <c r="T101" i="4"/>
  <c r="U101" i="4"/>
  <c r="Q102" i="4"/>
  <c r="R102" i="4"/>
  <c r="S102" i="4"/>
  <c r="T102" i="4"/>
  <c r="U102" i="4"/>
  <c r="U100" i="4"/>
  <c r="T100" i="4"/>
  <c r="R100" i="4"/>
  <c r="Q100" i="4"/>
  <c r="S100" i="4"/>
  <c r="U99" i="4"/>
  <c r="T99" i="4"/>
  <c r="R99" i="4"/>
  <c r="Q99" i="4"/>
  <c r="S99" i="4"/>
  <c r="U98" i="4"/>
  <c r="T98" i="4"/>
  <c r="R98" i="4"/>
  <c r="Q98" i="4"/>
  <c r="S98" i="4"/>
  <c r="U97" i="4"/>
  <c r="T97" i="4"/>
  <c r="R97" i="4"/>
  <c r="Q97" i="4"/>
  <c r="S97" i="4"/>
  <c r="U96" i="4"/>
  <c r="T96" i="4"/>
  <c r="R96" i="4"/>
  <c r="Q96" i="4"/>
  <c r="S96" i="4"/>
  <c r="G3" i="1"/>
  <c r="G4" i="1"/>
  <c r="Q88" i="4"/>
  <c r="R88" i="4"/>
  <c r="S88" i="4"/>
  <c r="T88" i="4"/>
  <c r="U88" i="4"/>
  <c r="Q89" i="4"/>
  <c r="R89" i="4"/>
  <c r="S89" i="4"/>
  <c r="T89" i="4"/>
  <c r="U89" i="4"/>
  <c r="Q90" i="4"/>
  <c r="R90" i="4"/>
  <c r="S90" i="4"/>
  <c r="T90" i="4"/>
  <c r="U90" i="4"/>
  <c r="Q91" i="4"/>
  <c r="R91" i="4"/>
  <c r="S91" i="4"/>
  <c r="T91" i="4"/>
  <c r="U91" i="4"/>
  <c r="Q92" i="4"/>
  <c r="R92" i="4"/>
  <c r="S92" i="4"/>
  <c r="T92" i="4"/>
  <c r="U92" i="4"/>
  <c r="Q93" i="4"/>
  <c r="R93" i="4"/>
  <c r="S93" i="4"/>
  <c r="T93" i="4"/>
  <c r="U93" i="4"/>
  <c r="Q94" i="4"/>
  <c r="R94" i="4"/>
  <c r="S94" i="4"/>
  <c r="T94" i="4"/>
  <c r="U94" i="4"/>
  <c r="Q95" i="4"/>
  <c r="R95" i="4"/>
  <c r="S95" i="4"/>
  <c r="T95" i="4"/>
  <c r="U95" i="4"/>
  <c r="U87" i="4"/>
  <c r="T87" i="4"/>
  <c r="R87" i="4"/>
  <c r="Q87" i="4"/>
  <c r="S87" i="4"/>
  <c r="U86" i="4"/>
  <c r="T86" i="4"/>
  <c r="R86" i="4"/>
  <c r="Q86" i="4"/>
  <c r="S86" i="4"/>
  <c r="U85" i="4"/>
  <c r="T85" i="4"/>
  <c r="R85" i="4"/>
  <c r="Q85" i="4"/>
  <c r="S85" i="4"/>
  <c r="U84" i="4"/>
  <c r="T84" i="4"/>
  <c r="R84" i="4"/>
  <c r="Q84" i="4"/>
  <c r="S84" i="4"/>
  <c r="U83" i="4"/>
  <c r="T83" i="4"/>
  <c r="R83" i="4"/>
  <c r="Q83" i="4"/>
  <c r="S83" i="4"/>
  <c r="Q81" i="4"/>
  <c r="R81" i="4"/>
  <c r="S81" i="4"/>
  <c r="T81" i="4"/>
  <c r="U81" i="4"/>
  <c r="Q82" i="4"/>
  <c r="R82" i="4"/>
  <c r="S82" i="4"/>
  <c r="T82" i="4"/>
  <c r="U82" i="4"/>
  <c r="Q80" i="4"/>
  <c r="R80" i="4"/>
  <c r="S80" i="4"/>
  <c r="T80" i="4"/>
  <c r="U80" i="4"/>
  <c r="Q79" i="4"/>
  <c r="R79" i="4"/>
  <c r="S79" i="4"/>
  <c r="T79" i="4"/>
  <c r="U79" i="4"/>
  <c r="Q78" i="4"/>
  <c r="R78" i="4"/>
  <c r="S78" i="4"/>
  <c r="T78" i="4"/>
  <c r="U78" i="4"/>
  <c r="Q77" i="4"/>
  <c r="R77" i="4"/>
  <c r="S77" i="4"/>
  <c r="T77" i="4"/>
  <c r="U77" i="4"/>
  <c r="Q76" i="4"/>
  <c r="R76" i="4"/>
  <c r="S76" i="4"/>
  <c r="T76" i="4"/>
  <c r="U76" i="4"/>
  <c r="Q75" i="4"/>
  <c r="R75" i="4"/>
  <c r="S75" i="4"/>
  <c r="T75" i="4"/>
  <c r="U75" i="4"/>
  <c r="Q74" i="4"/>
  <c r="R74" i="4"/>
  <c r="S74" i="4"/>
  <c r="T74" i="4"/>
  <c r="U74" i="4"/>
  <c r="Q73" i="4"/>
  <c r="R73" i="4"/>
  <c r="S73" i="4"/>
  <c r="T73" i="4"/>
  <c r="U73" i="4"/>
  <c r="U72" i="4"/>
  <c r="T72" i="4"/>
  <c r="R72" i="4"/>
  <c r="Q72" i="4"/>
  <c r="S72" i="4"/>
  <c r="U71" i="4"/>
  <c r="T71" i="4"/>
  <c r="R71" i="4"/>
  <c r="Q71" i="4"/>
  <c r="S71" i="4"/>
  <c r="U70" i="4"/>
  <c r="T70" i="4"/>
  <c r="R70" i="4"/>
  <c r="S70" i="4" s="1"/>
  <c r="Q70" i="4"/>
  <c r="U69" i="4"/>
  <c r="T69" i="4"/>
  <c r="R69" i="4"/>
  <c r="S69" i="4" s="1"/>
  <c r="Q69" i="4"/>
  <c r="U68" i="4"/>
  <c r="T68" i="4"/>
  <c r="R68" i="4"/>
  <c r="S68" i="4" s="1"/>
  <c r="Q68" i="4"/>
  <c r="U67" i="4"/>
  <c r="T67" i="4"/>
  <c r="R67" i="4"/>
  <c r="S67" i="4" s="1"/>
  <c r="Q67" i="4"/>
  <c r="U66" i="4"/>
  <c r="T66" i="4"/>
  <c r="R66" i="4"/>
  <c r="S66" i="4" s="1"/>
  <c r="Q66" i="4"/>
  <c r="U65" i="4"/>
  <c r="T65" i="4"/>
  <c r="R65" i="4"/>
  <c r="S65" i="4" s="1"/>
  <c r="Q65" i="4"/>
  <c r="U64" i="4"/>
  <c r="T64" i="4"/>
  <c r="R64" i="4"/>
  <c r="S64" i="4" s="1"/>
  <c r="Q64" i="4"/>
  <c r="U63" i="4"/>
  <c r="T63" i="4"/>
  <c r="R63" i="4"/>
  <c r="S63" i="4" s="1"/>
  <c r="Q63" i="4"/>
  <c r="U62" i="4"/>
  <c r="T62" i="4"/>
  <c r="R62" i="4"/>
  <c r="S62" i="4" s="1"/>
  <c r="Q62" i="4"/>
  <c r="U61" i="4"/>
  <c r="T61" i="4"/>
  <c r="R61" i="4"/>
  <c r="S61" i="4" s="1"/>
  <c r="Q61" i="4"/>
  <c r="U60" i="4"/>
  <c r="T60" i="4"/>
  <c r="R60" i="4"/>
  <c r="S60" i="4" s="1"/>
  <c r="Q60" i="4"/>
  <c r="U59" i="4"/>
  <c r="T59" i="4"/>
  <c r="R59" i="4"/>
  <c r="S59" i="4" s="1"/>
  <c r="Q59" i="4"/>
  <c r="U58" i="4"/>
  <c r="T58" i="4"/>
  <c r="R58" i="4"/>
  <c r="S58" i="4" s="1"/>
  <c r="Q58" i="4"/>
  <c r="U57" i="4"/>
  <c r="T57" i="4"/>
  <c r="R57" i="4"/>
  <c r="S57" i="4" s="1"/>
  <c r="Q57" i="4"/>
  <c r="U56" i="4"/>
  <c r="T56" i="4"/>
  <c r="R56" i="4"/>
  <c r="S56" i="4" s="1"/>
  <c r="Q56" i="4"/>
  <c r="U55" i="4"/>
  <c r="T55" i="4"/>
  <c r="R55" i="4"/>
  <c r="S55" i="4" s="1"/>
  <c r="Q55" i="4"/>
  <c r="U54" i="4"/>
  <c r="T54" i="4"/>
  <c r="R54" i="4"/>
  <c r="S54" i="4" s="1"/>
  <c r="Q54" i="4"/>
  <c r="U53" i="4"/>
  <c r="T53" i="4"/>
  <c r="R53" i="4"/>
  <c r="S53" i="4" s="1"/>
  <c r="Q53" i="4"/>
  <c r="U52" i="4"/>
  <c r="T52" i="4"/>
  <c r="R52" i="4"/>
  <c r="S52" i="4" s="1"/>
  <c r="Q52" i="4"/>
  <c r="U51" i="4"/>
  <c r="T51" i="4"/>
  <c r="R51" i="4"/>
  <c r="S51" i="4" s="1"/>
  <c r="Q51" i="4"/>
  <c r="U50" i="4"/>
  <c r="T50" i="4"/>
  <c r="R50" i="4"/>
  <c r="S50" i="4" s="1"/>
  <c r="Q50" i="4"/>
  <c r="U49" i="4"/>
  <c r="T49" i="4"/>
  <c r="R49" i="4"/>
  <c r="S49" i="4" s="1"/>
  <c r="Q49" i="4"/>
  <c r="Q48" i="4"/>
  <c r="R48" i="4"/>
  <c r="S48" i="4"/>
  <c r="T48" i="4"/>
  <c r="U48" i="4"/>
  <c r="Q47" i="4"/>
  <c r="R47" i="4"/>
  <c r="S47" i="4"/>
  <c r="T47" i="4"/>
  <c r="U47" i="4"/>
  <c r="Q46" i="4"/>
  <c r="R46" i="4"/>
  <c r="S46" i="4"/>
  <c r="T46" i="4"/>
  <c r="U46" i="4"/>
  <c r="Q45" i="4"/>
  <c r="R45" i="4"/>
  <c r="S45" i="4"/>
  <c r="T45" i="4"/>
  <c r="U45" i="4"/>
  <c r="Q44" i="4"/>
  <c r="R44" i="4"/>
  <c r="S44" i="4"/>
  <c r="T44" i="4"/>
  <c r="U44" i="4"/>
  <c r="Q43" i="4"/>
  <c r="R43" i="4"/>
  <c r="S43" i="4"/>
  <c r="T43" i="4"/>
  <c r="U43" i="4"/>
  <c r="Q42" i="4"/>
  <c r="R42" i="4"/>
  <c r="S42" i="4"/>
  <c r="T42" i="4"/>
  <c r="U42" i="4"/>
  <c r="Q41" i="4"/>
  <c r="R41" i="4"/>
  <c r="S41" i="4"/>
  <c r="T41" i="4"/>
  <c r="U41" i="4"/>
  <c r="U40" i="4"/>
  <c r="T40" i="4"/>
  <c r="R40" i="4"/>
  <c r="S40" i="4" s="1"/>
  <c r="Q40" i="4"/>
  <c r="U39" i="4"/>
  <c r="T39" i="4"/>
  <c r="R39" i="4"/>
  <c r="S39" i="4" s="1"/>
  <c r="Q39" i="4"/>
  <c r="U38" i="4"/>
  <c r="T38" i="4"/>
  <c r="R38" i="4"/>
  <c r="S38" i="4" s="1"/>
  <c r="Q38" i="4"/>
  <c r="U37" i="4"/>
  <c r="T37" i="4"/>
  <c r="R37" i="4"/>
  <c r="S37" i="4" s="1"/>
  <c r="Q37" i="4"/>
  <c r="U36" i="4"/>
  <c r="T36" i="4"/>
  <c r="R36" i="4"/>
  <c r="S36" i="4" s="1"/>
  <c r="Q36" i="4"/>
  <c r="U35" i="4"/>
  <c r="T35" i="4"/>
  <c r="R35" i="4"/>
  <c r="S35" i="4" s="1"/>
  <c r="Q35" i="4"/>
  <c r="U34" i="4"/>
  <c r="T34" i="4"/>
  <c r="R34" i="4"/>
  <c r="S34" i="4" s="1"/>
  <c r="Q34" i="4"/>
  <c r="U33" i="4"/>
  <c r="T33" i="4"/>
  <c r="R33" i="4"/>
  <c r="Q33" i="4"/>
  <c r="S33" i="4"/>
  <c r="U32" i="4"/>
  <c r="T32" i="4"/>
  <c r="R32" i="4"/>
  <c r="Q32" i="4"/>
  <c r="S32" i="4"/>
  <c r="U31" i="4"/>
  <c r="T31" i="4"/>
  <c r="R31" i="4"/>
  <c r="Q31" i="4"/>
  <c r="S31" i="4"/>
  <c r="U30" i="4"/>
  <c r="T30" i="4"/>
  <c r="R30" i="4"/>
  <c r="Q30" i="4"/>
  <c r="S30" i="4"/>
  <c r="U29" i="4"/>
  <c r="T29" i="4"/>
  <c r="R29" i="4"/>
  <c r="Q29" i="4"/>
  <c r="S29" i="4"/>
  <c r="U28" i="4"/>
  <c r="T28" i="4"/>
  <c r="R28" i="4"/>
  <c r="Q28" i="4"/>
  <c r="S28" i="4"/>
  <c r="Q27" i="4"/>
  <c r="R27" i="4"/>
  <c r="S27" i="4"/>
  <c r="T27" i="4"/>
  <c r="U27" i="4"/>
  <c r="U26" i="4"/>
  <c r="T26" i="4"/>
  <c r="R26" i="4"/>
  <c r="Q26" i="4"/>
  <c r="S26" i="4"/>
  <c r="U25" i="4"/>
  <c r="T25" i="4"/>
  <c r="R25" i="4"/>
  <c r="Q25" i="4"/>
  <c r="S25" i="4"/>
  <c r="Q23" i="4"/>
  <c r="R23" i="4"/>
  <c r="S23" i="4"/>
  <c r="T23" i="4"/>
  <c r="U23" i="4"/>
  <c r="Q24" i="4"/>
  <c r="R24" i="4"/>
  <c r="S24" i="4"/>
  <c r="T24" i="4"/>
  <c r="U24" i="4"/>
  <c r="Q20" i="4"/>
  <c r="R20" i="4"/>
  <c r="S20" i="4"/>
  <c r="T20" i="4"/>
  <c r="U20" i="4"/>
  <c r="Q21" i="4"/>
  <c r="R21" i="4"/>
  <c r="S21" i="4"/>
  <c r="T21" i="4"/>
  <c r="U21" i="4"/>
  <c r="Q22" i="4"/>
  <c r="R22" i="4"/>
  <c r="S22" i="4"/>
  <c r="T22" i="4"/>
  <c r="U2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U19" i="4"/>
  <c r="R19" i="4"/>
  <c r="S19" i="4" s="1"/>
  <c r="Q19" i="4"/>
  <c r="Q18" i="4"/>
  <c r="R18" i="4"/>
  <c r="S18" i="4"/>
  <c r="U18" i="4"/>
  <c r="Q17" i="4"/>
  <c r="R17" i="4"/>
  <c r="S17" i="4"/>
  <c r="U17" i="4"/>
  <c r="Q15" i="4"/>
  <c r="R15" i="4"/>
  <c r="S15" i="4"/>
  <c r="U15" i="4"/>
  <c r="Q16" i="4"/>
  <c r="R16" i="4"/>
  <c r="S16" i="4" s="1"/>
  <c r="U16" i="4"/>
  <c r="U14" i="4"/>
  <c r="R14" i="4"/>
  <c r="S14" i="4" s="1"/>
  <c r="Q14" i="4"/>
  <c r="U13" i="4"/>
  <c r="R13" i="4"/>
  <c r="S13" i="6" s="1"/>
  <c r="Q13" i="4"/>
  <c r="S13" i="4"/>
  <c r="U12" i="4"/>
  <c r="R12" i="4"/>
  <c r="S12" i="4" s="1"/>
  <c r="Q12" i="4"/>
  <c r="U11" i="4"/>
  <c r="R11" i="4"/>
  <c r="Q11" i="4"/>
  <c r="S11" i="4"/>
  <c r="U10" i="4"/>
  <c r="R10" i="4"/>
  <c r="S10" i="4" s="1"/>
  <c r="Q10" i="4"/>
  <c r="U9" i="4"/>
  <c r="R9" i="4"/>
  <c r="S9" i="6" s="1"/>
  <c r="Q9" i="4"/>
  <c r="S9" i="4"/>
  <c r="U8" i="4"/>
  <c r="R8" i="4"/>
  <c r="S8" i="6" s="1"/>
  <c r="Q8" i="4"/>
  <c r="Q7" i="4"/>
  <c r="R7" i="4"/>
  <c r="S7" i="6" s="1"/>
  <c r="U7" i="4"/>
  <c r="U6" i="4"/>
  <c r="R6" i="4"/>
  <c r="S6" i="4" s="1"/>
  <c r="Q6" i="4"/>
  <c r="U5" i="4"/>
  <c r="R5" i="4"/>
  <c r="S5" i="6" s="1"/>
  <c r="Q5" i="4"/>
  <c r="S5" i="4"/>
  <c r="U4" i="4"/>
  <c r="R4" i="4"/>
  <c r="Q4" i="4"/>
  <c r="S4" i="4"/>
  <c r="Q3" i="4"/>
  <c r="R3" i="4"/>
  <c r="S3" i="4" s="1"/>
  <c r="U3" i="4"/>
  <c r="Q512" i="6"/>
  <c r="R512" i="6"/>
  <c r="S512" i="6"/>
  <c r="T512" i="6"/>
  <c r="U512" i="6"/>
  <c r="V512" i="6"/>
  <c r="Q513" i="6"/>
  <c r="R513" i="6"/>
  <c r="S513" i="6"/>
  <c r="T513" i="6"/>
  <c r="U513" i="6"/>
  <c r="V513" i="6"/>
  <c r="Q514" i="6"/>
  <c r="R514" i="6"/>
  <c r="S514" i="6"/>
  <c r="T514" i="6"/>
  <c r="U514" i="6"/>
  <c r="V514" i="6"/>
  <c r="Q515" i="6"/>
  <c r="R515" i="6"/>
  <c r="S515" i="6"/>
  <c r="T515" i="6"/>
  <c r="U515" i="6"/>
  <c r="V515" i="6"/>
  <c r="Q516" i="6"/>
  <c r="R516" i="6"/>
  <c r="S516" i="6"/>
  <c r="T516" i="6"/>
  <c r="U516" i="6"/>
  <c r="V516" i="6"/>
  <c r="Q517" i="6"/>
  <c r="R517" i="6"/>
  <c r="S517" i="6"/>
  <c r="T517" i="6"/>
  <c r="U517" i="6"/>
  <c r="V517" i="6"/>
  <c r="Q518" i="6"/>
  <c r="R518" i="6"/>
  <c r="S518" i="6"/>
  <c r="T518" i="6"/>
  <c r="U518" i="6"/>
  <c r="V518" i="6"/>
  <c r="Q519" i="6"/>
  <c r="R519" i="6"/>
  <c r="S519" i="6"/>
  <c r="T519" i="6"/>
  <c r="U519" i="6"/>
  <c r="V519" i="6"/>
  <c r="Q520" i="6"/>
  <c r="R520" i="6"/>
  <c r="S520" i="6"/>
  <c r="T520" i="6"/>
  <c r="U520" i="6"/>
  <c r="V520" i="6"/>
  <c r="Q521" i="6"/>
  <c r="R521" i="6"/>
  <c r="S521" i="6"/>
  <c r="T521" i="6"/>
  <c r="U521" i="6"/>
  <c r="V521" i="6"/>
  <c r="Q522" i="6"/>
  <c r="R522" i="6"/>
  <c r="S522" i="6"/>
  <c r="T522" i="6"/>
  <c r="U522" i="6"/>
  <c r="V522" i="6"/>
  <c r="Q523" i="6"/>
  <c r="R523" i="6"/>
  <c r="S523" i="6"/>
  <c r="T523" i="6"/>
  <c r="U523" i="6"/>
  <c r="V523" i="6"/>
  <c r="Q524" i="6"/>
  <c r="R524" i="6"/>
  <c r="S524" i="6"/>
  <c r="T524" i="6"/>
  <c r="U524" i="6"/>
  <c r="V524" i="6"/>
  <c r="Q525" i="6"/>
  <c r="R525" i="6"/>
  <c r="S525" i="6"/>
  <c r="T525" i="6"/>
  <c r="U525" i="6"/>
  <c r="V525" i="6"/>
  <c r="Q526" i="6"/>
  <c r="R526" i="6"/>
  <c r="S526" i="6"/>
  <c r="T526" i="6"/>
  <c r="U526" i="6"/>
  <c r="V526" i="6"/>
  <c r="Q527" i="6"/>
  <c r="R527" i="6"/>
  <c r="S527" i="6"/>
  <c r="T527" i="6"/>
  <c r="U527" i="6"/>
  <c r="V527" i="6"/>
  <c r="Q528" i="6"/>
  <c r="R528" i="6"/>
  <c r="S528" i="6"/>
  <c r="T528" i="6"/>
  <c r="U528" i="6"/>
  <c r="V528" i="6"/>
  <c r="Q529" i="6"/>
  <c r="R529" i="6"/>
  <c r="S529" i="6"/>
  <c r="T529" i="6"/>
  <c r="U529" i="6"/>
  <c r="V529" i="6"/>
  <c r="Q530" i="6"/>
  <c r="R530" i="6"/>
  <c r="S530" i="6"/>
  <c r="T530" i="6"/>
  <c r="U530" i="6"/>
  <c r="V530" i="6"/>
  <c r="Q531" i="6"/>
  <c r="R531" i="6"/>
  <c r="S531" i="6"/>
  <c r="T531" i="6"/>
  <c r="U531" i="6"/>
  <c r="V531" i="6"/>
  <c r="Q532" i="6"/>
  <c r="R532" i="6"/>
  <c r="S532" i="6"/>
  <c r="T532" i="6"/>
  <c r="U532" i="6"/>
  <c r="V532" i="6"/>
  <c r="Q533" i="6"/>
  <c r="R533" i="6"/>
  <c r="S533" i="6"/>
  <c r="T533" i="6"/>
  <c r="U533" i="6"/>
  <c r="V533" i="6"/>
  <c r="Q534" i="6"/>
  <c r="R534" i="6"/>
  <c r="S534" i="6"/>
  <c r="T534" i="6"/>
  <c r="U534" i="6"/>
  <c r="V534" i="6"/>
  <c r="Q535" i="6"/>
  <c r="R535" i="6"/>
  <c r="S535" i="6"/>
  <c r="T535" i="6"/>
  <c r="U535" i="6"/>
  <c r="V535" i="6"/>
  <c r="Q536" i="6"/>
  <c r="R536" i="6"/>
  <c r="S536" i="6"/>
  <c r="T536" i="6"/>
  <c r="U536" i="6"/>
  <c r="V536" i="6"/>
  <c r="Q537" i="6"/>
  <c r="R537" i="6"/>
  <c r="S537" i="6"/>
  <c r="T537" i="6"/>
  <c r="U537" i="6"/>
  <c r="V537" i="6"/>
  <c r="Q538" i="6"/>
  <c r="R538" i="6"/>
  <c r="S538" i="6"/>
  <c r="T538" i="6"/>
  <c r="U538" i="6"/>
  <c r="V538" i="6"/>
  <c r="Q539" i="6"/>
  <c r="R539" i="6"/>
  <c r="S539" i="6"/>
  <c r="T539" i="6"/>
  <c r="U539" i="6"/>
  <c r="V539" i="6"/>
  <c r="Q540" i="6"/>
  <c r="R540" i="6"/>
  <c r="S540" i="6"/>
  <c r="T540" i="6"/>
  <c r="U540" i="6"/>
  <c r="V540" i="6"/>
  <c r="Q541" i="6"/>
  <c r="R541" i="6"/>
  <c r="S541" i="6"/>
  <c r="T541" i="6"/>
  <c r="U541" i="6"/>
  <c r="V541" i="6"/>
  <c r="Q542" i="6"/>
  <c r="R542" i="6"/>
  <c r="S542" i="6"/>
  <c r="T542" i="6"/>
  <c r="U542" i="6"/>
  <c r="V542" i="6"/>
  <c r="Q543" i="6"/>
  <c r="R543" i="6"/>
  <c r="S543" i="6"/>
  <c r="T543" i="6"/>
  <c r="U543" i="6"/>
  <c r="V543" i="6"/>
  <c r="Q544" i="6"/>
  <c r="R544" i="6"/>
  <c r="S544" i="6"/>
  <c r="T544" i="6"/>
  <c r="U544" i="6"/>
  <c r="V544" i="6"/>
  <c r="Q545" i="6"/>
  <c r="R545" i="6"/>
  <c r="S545" i="6"/>
  <c r="T545" i="6"/>
  <c r="U545" i="6"/>
  <c r="V545" i="6"/>
  <c r="Q546" i="6"/>
  <c r="R546" i="6"/>
  <c r="S546" i="6"/>
  <c r="T546" i="6"/>
  <c r="U546" i="6"/>
  <c r="V546" i="6"/>
  <c r="Q547" i="6"/>
  <c r="R547" i="6"/>
  <c r="S547" i="6"/>
  <c r="T547" i="6"/>
  <c r="U547" i="6"/>
  <c r="V547" i="6"/>
  <c r="Q548" i="6"/>
  <c r="R548" i="6"/>
  <c r="S548" i="6"/>
  <c r="T548" i="6"/>
  <c r="U548" i="6"/>
  <c r="V548" i="6"/>
  <c r="Q549" i="6"/>
  <c r="R549" i="6"/>
  <c r="S549" i="6"/>
  <c r="T549" i="6"/>
  <c r="U549" i="6"/>
  <c r="V549" i="6"/>
  <c r="Q550" i="6"/>
  <c r="R550" i="6"/>
  <c r="S550" i="6"/>
  <c r="T550" i="6"/>
  <c r="U550" i="6"/>
  <c r="V550" i="6"/>
  <c r="Q551" i="6"/>
  <c r="R551" i="6"/>
  <c r="S551" i="6"/>
  <c r="T551" i="6"/>
  <c r="U551" i="6"/>
  <c r="V551" i="6"/>
  <c r="Q552" i="6"/>
  <c r="R552" i="6"/>
  <c r="S552" i="6"/>
  <c r="T552" i="6"/>
  <c r="U552" i="6"/>
  <c r="V552" i="6"/>
  <c r="Q553" i="6"/>
  <c r="R553" i="6"/>
  <c r="S553" i="6"/>
  <c r="T553" i="6"/>
  <c r="U553" i="6"/>
  <c r="V553" i="6"/>
  <c r="Q554" i="6"/>
  <c r="R554" i="6"/>
  <c r="S554" i="6"/>
  <c r="T554" i="6"/>
  <c r="U554" i="6"/>
  <c r="V554" i="6"/>
  <c r="Q555" i="6"/>
  <c r="R555" i="6"/>
  <c r="S555" i="6"/>
  <c r="T555" i="6"/>
  <c r="U555" i="6"/>
  <c r="V555" i="6"/>
  <c r="Q556" i="6"/>
  <c r="R556" i="6"/>
  <c r="S556" i="6"/>
  <c r="T556" i="6"/>
  <c r="U556" i="6"/>
  <c r="V556" i="6"/>
  <c r="Q557" i="6"/>
  <c r="R557" i="6"/>
  <c r="S557" i="6"/>
  <c r="T557" i="6"/>
  <c r="U557" i="6"/>
  <c r="V557" i="6"/>
  <c r="Q558" i="6"/>
  <c r="R558" i="6"/>
  <c r="S558" i="6"/>
  <c r="T558" i="6"/>
  <c r="U558" i="6"/>
  <c r="V558" i="6"/>
  <c r="Q559" i="6"/>
  <c r="R559" i="6"/>
  <c r="S559" i="6"/>
  <c r="T559" i="6"/>
  <c r="U559" i="6"/>
  <c r="V559" i="6"/>
  <c r="Q560" i="6"/>
  <c r="R560" i="6"/>
  <c r="S560" i="6"/>
  <c r="T560" i="6"/>
  <c r="U560" i="6"/>
  <c r="V560" i="6"/>
  <c r="Q561" i="6"/>
  <c r="R561" i="6"/>
  <c r="S561" i="6"/>
  <c r="T561" i="6"/>
  <c r="U561" i="6"/>
  <c r="V561" i="6"/>
  <c r="Q562" i="6"/>
  <c r="R562" i="6"/>
  <c r="S562" i="6"/>
  <c r="T562" i="6"/>
  <c r="U562" i="6"/>
  <c r="V562" i="6"/>
  <c r="Q563" i="6"/>
  <c r="R563" i="6"/>
  <c r="S563" i="6"/>
  <c r="T563" i="6"/>
  <c r="U563" i="6"/>
  <c r="V563" i="6"/>
  <c r="Q564" i="6"/>
  <c r="R564" i="6"/>
  <c r="S564" i="6"/>
  <c r="T564" i="6"/>
  <c r="U564" i="6"/>
  <c r="V564" i="6"/>
  <c r="Q565" i="6"/>
  <c r="R565" i="6"/>
  <c r="S565" i="6"/>
  <c r="T565" i="6"/>
  <c r="U565" i="6"/>
  <c r="V565" i="6"/>
  <c r="Q566" i="6"/>
  <c r="R566" i="6"/>
  <c r="S566" i="6"/>
  <c r="T566" i="6"/>
  <c r="U566" i="6"/>
  <c r="V566" i="6"/>
  <c r="Q567" i="6"/>
  <c r="R567" i="6"/>
  <c r="S567" i="6"/>
  <c r="T567" i="6"/>
  <c r="U567" i="6"/>
  <c r="V567" i="6"/>
  <c r="Q568" i="6"/>
  <c r="R568" i="6"/>
  <c r="S568" i="6"/>
  <c r="T568" i="6"/>
  <c r="U568" i="6"/>
  <c r="V568" i="6"/>
  <c r="Q569" i="6"/>
  <c r="R569" i="6"/>
  <c r="S569" i="6"/>
  <c r="T569" i="6"/>
  <c r="U569" i="6"/>
  <c r="V569" i="6"/>
  <c r="Q570" i="6"/>
  <c r="R570" i="6"/>
  <c r="S570" i="6"/>
  <c r="T570" i="6"/>
  <c r="U570" i="6"/>
  <c r="V570" i="6"/>
  <c r="Q571" i="6"/>
  <c r="R571" i="6"/>
  <c r="S571" i="6"/>
  <c r="T571" i="6"/>
  <c r="U571" i="6"/>
  <c r="V571" i="6"/>
  <c r="Q572" i="6"/>
  <c r="R572" i="6"/>
  <c r="S572" i="6"/>
  <c r="T572" i="6"/>
  <c r="U572" i="6"/>
  <c r="V572" i="6"/>
  <c r="Q573" i="6"/>
  <c r="R573" i="6"/>
  <c r="S573" i="6"/>
  <c r="T573" i="6"/>
  <c r="U573" i="6"/>
  <c r="V573" i="6"/>
  <c r="Q574" i="6"/>
  <c r="R574" i="6"/>
  <c r="S574" i="6"/>
  <c r="T574" i="6"/>
  <c r="U574" i="6"/>
  <c r="V574" i="6"/>
  <c r="Q575" i="6"/>
  <c r="R575" i="6"/>
  <c r="S575" i="6"/>
  <c r="T575" i="6"/>
  <c r="U575" i="6"/>
  <c r="V575" i="6"/>
  <c r="Q576" i="6"/>
  <c r="R576" i="6"/>
  <c r="S576" i="6"/>
  <c r="T576" i="6"/>
  <c r="U576" i="6"/>
  <c r="V576" i="6"/>
  <c r="Q577" i="6"/>
  <c r="R577" i="6"/>
  <c r="S577" i="6"/>
  <c r="T577" i="6"/>
  <c r="U577" i="6"/>
  <c r="V577" i="6"/>
  <c r="Q578" i="6"/>
  <c r="R578" i="6"/>
  <c r="S578" i="6"/>
  <c r="T578" i="6"/>
  <c r="U578" i="6"/>
  <c r="V578" i="6"/>
  <c r="Q579" i="6"/>
  <c r="R579" i="6"/>
  <c r="S579" i="6"/>
  <c r="T579" i="6"/>
  <c r="U579" i="6"/>
  <c r="V579" i="6"/>
  <c r="Q580" i="6"/>
  <c r="R580" i="6"/>
  <c r="S580" i="6"/>
  <c r="T580" i="6"/>
  <c r="U580" i="6"/>
  <c r="V580" i="6"/>
  <c r="Q581" i="6"/>
  <c r="R581" i="6"/>
  <c r="S581" i="6"/>
  <c r="T581" i="6"/>
  <c r="U581" i="6"/>
  <c r="V581" i="6"/>
  <c r="Q582" i="6"/>
  <c r="R582" i="6"/>
  <c r="S582" i="6"/>
  <c r="T582" i="6"/>
  <c r="U582" i="6"/>
  <c r="V582" i="6"/>
  <c r="Q583" i="6"/>
  <c r="R583" i="6"/>
  <c r="S583" i="6"/>
  <c r="T583" i="6"/>
  <c r="U583" i="6"/>
  <c r="V583" i="6"/>
  <c r="Q584" i="6"/>
  <c r="R584" i="6"/>
  <c r="S584" i="6"/>
  <c r="T584" i="6"/>
  <c r="U584" i="6"/>
  <c r="V584" i="6"/>
  <c r="Q585" i="6"/>
  <c r="R585" i="6"/>
  <c r="S585" i="6"/>
  <c r="T585" i="6"/>
  <c r="U585" i="6"/>
  <c r="V585" i="6"/>
  <c r="Q586" i="6"/>
  <c r="R586" i="6"/>
  <c r="S586" i="6"/>
  <c r="T586" i="6"/>
  <c r="U586" i="6"/>
  <c r="V586" i="6"/>
  <c r="Q587" i="6"/>
  <c r="R587" i="6"/>
  <c r="S587" i="6"/>
  <c r="T587" i="6"/>
  <c r="U587" i="6"/>
  <c r="V587" i="6"/>
  <c r="Q588" i="6"/>
  <c r="R588" i="6"/>
  <c r="S588" i="6"/>
  <c r="T588" i="6"/>
  <c r="U588" i="6"/>
  <c r="V588" i="6"/>
  <c r="Q589" i="6"/>
  <c r="R589" i="6"/>
  <c r="S589" i="6"/>
  <c r="T589" i="6"/>
  <c r="U589" i="6"/>
  <c r="V589" i="6"/>
  <c r="Q590" i="6"/>
  <c r="R590" i="6"/>
  <c r="S590" i="6"/>
  <c r="T590" i="6"/>
  <c r="U590" i="6"/>
  <c r="V590" i="6"/>
  <c r="Q591" i="6"/>
  <c r="R591" i="6"/>
  <c r="S591" i="6"/>
  <c r="T591" i="6"/>
  <c r="U591" i="6"/>
  <c r="V591" i="6"/>
  <c r="Q592" i="6"/>
  <c r="R592" i="6"/>
  <c r="S592" i="6"/>
  <c r="T592" i="6"/>
  <c r="U592" i="6"/>
  <c r="V592" i="6"/>
  <c r="Q593" i="6"/>
  <c r="R593" i="6"/>
  <c r="S593" i="6"/>
  <c r="T593" i="6"/>
  <c r="U593" i="6"/>
  <c r="V593" i="6"/>
  <c r="Q594" i="6"/>
  <c r="R594" i="6"/>
  <c r="S594" i="6"/>
  <c r="T594" i="6"/>
  <c r="U594" i="6"/>
  <c r="V594" i="6"/>
  <c r="Q595" i="6"/>
  <c r="R595" i="6"/>
  <c r="S595" i="6"/>
  <c r="T595" i="6"/>
  <c r="U595" i="6"/>
  <c r="V595" i="6"/>
  <c r="Q596" i="6"/>
  <c r="R596" i="6"/>
  <c r="S596" i="6"/>
  <c r="T596" i="6"/>
  <c r="U596" i="6"/>
  <c r="V596" i="6"/>
  <c r="Q597" i="6"/>
  <c r="R597" i="6"/>
  <c r="S597" i="6"/>
  <c r="T597" i="6"/>
  <c r="U597" i="6"/>
  <c r="V597" i="6"/>
  <c r="Q598" i="6"/>
  <c r="R598" i="6"/>
  <c r="S598" i="6"/>
  <c r="T598" i="6"/>
  <c r="U598" i="6"/>
  <c r="V598" i="6"/>
  <c r="V2" i="4"/>
  <c r="U2" i="4"/>
  <c r="T2" i="4"/>
  <c r="R2" i="4"/>
  <c r="S89" i="6" s="1"/>
  <c r="Q2" i="4"/>
  <c r="G5" i="1"/>
  <c r="G8" i="1"/>
  <c r="G9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S38" i="6"/>
  <c r="S23" i="6"/>
  <c r="S22" i="6"/>
  <c r="S19" i="6"/>
  <c r="Q2" i="6"/>
  <c r="R2" i="6"/>
  <c r="T2" i="6"/>
  <c r="U2" i="6"/>
  <c r="V2" i="6"/>
  <c r="Q3" i="6"/>
  <c r="R3" i="6"/>
  <c r="T3" i="6"/>
  <c r="U3" i="6"/>
  <c r="V3" i="6"/>
  <c r="Q4" i="6"/>
  <c r="R4" i="6"/>
  <c r="T4" i="6"/>
  <c r="U4" i="6"/>
  <c r="V4" i="6"/>
  <c r="Q5" i="6"/>
  <c r="R5" i="6"/>
  <c r="T5" i="6"/>
  <c r="U5" i="6"/>
  <c r="V5" i="6"/>
  <c r="Q6" i="6"/>
  <c r="R6" i="6"/>
  <c r="T6" i="6"/>
  <c r="U6" i="6"/>
  <c r="V6" i="6"/>
  <c r="Q7" i="6"/>
  <c r="R7" i="6"/>
  <c r="T7" i="6"/>
  <c r="U7" i="6"/>
  <c r="V7" i="6"/>
  <c r="Q8" i="6"/>
  <c r="R8" i="6"/>
  <c r="T8" i="6"/>
  <c r="U8" i="6"/>
  <c r="V8" i="6"/>
  <c r="Q9" i="6"/>
  <c r="R9" i="6"/>
  <c r="T9" i="6"/>
  <c r="U9" i="6"/>
  <c r="V9" i="6"/>
  <c r="Q10" i="6"/>
  <c r="R10" i="6"/>
  <c r="T10" i="6"/>
  <c r="U10" i="6"/>
  <c r="V10" i="6"/>
  <c r="Q11" i="6"/>
  <c r="R11" i="6"/>
  <c r="S11" i="6"/>
  <c r="T11" i="6"/>
  <c r="U11" i="6"/>
  <c r="V11" i="6"/>
  <c r="Q12" i="6"/>
  <c r="R12" i="6"/>
  <c r="S12" i="6"/>
  <c r="T12" i="6"/>
  <c r="U12" i="6"/>
  <c r="V12" i="6"/>
  <c r="Q13" i="6"/>
  <c r="R13" i="6"/>
  <c r="T13" i="6"/>
  <c r="U13" i="6"/>
  <c r="V13" i="6"/>
  <c r="Q14" i="6"/>
  <c r="R14" i="6"/>
  <c r="S14" i="6"/>
  <c r="T14" i="6"/>
  <c r="U14" i="6"/>
  <c r="V14" i="6"/>
  <c r="Q15" i="6"/>
  <c r="R15" i="6"/>
  <c r="T15" i="6"/>
  <c r="U15" i="6"/>
  <c r="V15" i="6"/>
  <c r="Q16" i="6"/>
  <c r="R16" i="6"/>
  <c r="T16" i="6"/>
  <c r="U16" i="6"/>
  <c r="V16" i="6"/>
  <c r="Q17" i="6"/>
  <c r="R17" i="6"/>
  <c r="S17" i="6"/>
  <c r="T17" i="6"/>
  <c r="U17" i="6"/>
  <c r="V17" i="6"/>
  <c r="Q18" i="6"/>
  <c r="R18" i="6"/>
  <c r="S18" i="6"/>
  <c r="T18" i="6"/>
  <c r="U18" i="6"/>
  <c r="V18" i="6"/>
  <c r="Q19" i="6"/>
  <c r="R19" i="6"/>
  <c r="T19" i="6"/>
  <c r="U19" i="6"/>
  <c r="V19" i="6"/>
  <c r="Q20" i="6"/>
  <c r="R20" i="6"/>
  <c r="T20" i="6"/>
  <c r="U20" i="6"/>
  <c r="V20" i="6"/>
  <c r="Q21" i="6"/>
  <c r="R21" i="6"/>
  <c r="S21" i="6"/>
  <c r="T21" i="6"/>
  <c r="U21" i="6"/>
  <c r="V21" i="6"/>
  <c r="Q22" i="6"/>
  <c r="R22" i="6"/>
  <c r="T22" i="6"/>
  <c r="U22" i="6"/>
  <c r="V22" i="6"/>
  <c r="Q23" i="6"/>
  <c r="R23" i="6"/>
  <c r="T23" i="6"/>
  <c r="U23" i="6"/>
  <c r="V23" i="6"/>
  <c r="Q24" i="6"/>
  <c r="R24" i="6"/>
  <c r="S24" i="6"/>
  <c r="T24" i="6"/>
  <c r="U24" i="6"/>
  <c r="V24" i="6"/>
  <c r="Q25" i="6"/>
  <c r="R25" i="6"/>
  <c r="S25" i="6"/>
  <c r="T25" i="6"/>
  <c r="U25" i="6"/>
  <c r="V25" i="6"/>
  <c r="Q26" i="6"/>
  <c r="R26" i="6"/>
  <c r="S26" i="6"/>
  <c r="T26" i="6"/>
  <c r="U26" i="6"/>
  <c r="V26" i="6"/>
  <c r="Q27" i="6"/>
  <c r="R27" i="6"/>
  <c r="S27" i="6"/>
  <c r="T27" i="6"/>
  <c r="U27" i="6"/>
  <c r="V27" i="6"/>
  <c r="Q28" i="6"/>
  <c r="R28" i="6"/>
  <c r="S28" i="6"/>
  <c r="T28" i="6"/>
  <c r="U28" i="6"/>
  <c r="V28" i="6"/>
  <c r="Q29" i="6"/>
  <c r="R29" i="6"/>
  <c r="S29" i="6"/>
  <c r="T29" i="6"/>
  <c r="U29" i="6"/>
  <c r="V29" i="6"/>
  <c r="Q30" i="6"/>
  <c r="R30" i="6"/>
  <c r="S30" i="6"/>
  <c r="T30" i="6"/>
  <c r="U30" i="6"/>
  <c r="V30" i="6"/>
  <c r="Q31" i="6"/>
  <c r="R31" i="6"/>
  <c r="S31" i="6"/>
  <c r="T31" i="6"/>
  <c r="U31" i="6"/>
  <c r="V31" i="6"/>
  <c r="Q32" i="6"/>
  <c r="R32" i="6"/>
  <c r="S32" i="6"/>
  <c r="T32" i="6"/>
  <c r="U32" i="6"/>
  <c r="V32" i="6"/>
  <c r="Q33" i="6"/>
  <c r="R33" i="6"/>
  <c r="S33" i="6"/>
  <c r="T33" i="6"/>
  <c r="U33" i="6"/>
  <c r="V33" i="6"/>
  <c r="Q34" i="6"/>
  <c r="R34" i="6"/>
  <c r="T34" i="6"/>
  <c r="U34" i="6"/>
  <c r="V34" i="6"/>
  <c r="Q35" i="6"/>
  <c r="R35" i="6"/>
  <c r="T35" i="6"/>
  <c r="U35" i="6"/>
  <c r="V35" i="6"/>
  <c r="Q36" i="6"/>
  <c r="R36" i="6"/>
  <c r="S36" i="6"/>
  <c r="T36" i="6"/>
  <c r="U36" i="6"/>
  <c r="V36" i="6"/>
  <c r="Q37" i="6"/>
  <c r="R37" i="6"/>
  <c r="S37" i="6"/>
  <c r="T37" i="6"/>
  <c r="U37" i="6"/>
  <c r="V37" i="6"/>
  <c r="Q38" i="6"/>
  <c r="R38" i="6"/>
  <c r="T38" i="6"/>
  <c r="U38" i="6"/>
  <c r="V38" i="6"/>
  <c r="Q39" i="6"/>
  <c r="R39" i="6"/>
  <c r="T39" i="6"/>
  <c r="U39" i="6"/>
  <c r="V39" i="6"/>
  <c r="Q40" i="6"/>
  <c r="R40" i="6"/>
  <c r="S40" i="6"/>
  <c r="T40" i="6"/>
  <c r="U40" i="6"/>
  <c r="V40" i="6"/>
  <c r="Q41" i="6"/>
  <c r="R41" i="6"/>
  <c r="T41" i="6"/>
  <c r="U41" i="6"/>
  <c r="V41" i="6"/>
  <c r="Q42" i="6"/>
  <c r="R42" i="6"/>
  <c r="S42" i="6"/>
  <c r="T42" i="6"/>
  <c r="U42" i="6"/>
  <c r="V42" i="6"/>
  <c r="Q43" i="6"/>
  <c r="R43" i="6"/>
  <c r="S43" i="6"/>
  <c r="T43" i="6"/>
  <c r="U43" i="6"/>
  <c r="V43" i="6"/>
  <c r="Q44" i="6"/>
  <c r="R44" i="6"/>
  <c r="S44" i="6"/>
  <c r="T44" i="6"/>
  <c r="U44" i="6"/>
  <c r="V44" i="6"/>
  <c r="Q45" i="6"/>
  <c r="R45" i="6"/>
  <c r="S45" i="6"/>
  <c r="T45" i="6"/>
  <c r="U45" i="6"/>
  <c r="V45" i="6"/>
  <c r="Q46" i="6"/>
  <c r="R46" i="6"/>
  <c r="S46" i="6"/>
  <c r="T46" i="6"/>
  <c r="U46" i="6"/>
  <c r="V46" i="6"/>
  <c r="Q47" i="6"/>
  <c r="R47" i="6"/>
  <c r="S47" i="6"/>
  <c r="T47" i="6"/>
  <c r="U47" i="6"/>
  <c r="V47" i="6"/>
  <c r="Q48" i="6"/>
  <c r="R48" i="6"/>
  <c r="S48" i="6"/>
  <c r="T48" i="6"/>
  <c r="U48" i="6"/>
  <c r="V48" i="6"/>
  <c r="Q49" i="6"/>
  <c r="R49" i="6"/>
  <c r="T49" i="6"/>
  <c r="U49" i="6"/>
  <c r="V49" i="6"/>
  <c r="Q50" i="6"/>
  <c r="R50" i="6"/>
  <c r="S50" i="6"/>
  <c r="T50" i="6"/>
  <c r="U50" i="6"/>
  <c r="V50" i="6"/>
  <c r="Q51" i="6"/>
  <c r="R51" i="6"/>
  <c r="S51" i="6"/>
  <c r="T51" i="6"/>
  <c r="U51" i="6"/>
  <c r="V51" i="6"/>
  <c r="Q52" i="6"/>
  <c r="R52" i="6"/>
  <c r="S52" i="6"/>
  <c r="T52" i="6"/>
  <c r="U52" i="6"/>
  <c r="V52" i="6"/>
  <c r="Q53" i="6"/>
  <c r="R53" i="6"/>
  <c r="T53" i="6"/>
  <c r="U53" i="6"/>
  <c r="V53" i="6"/>
  <c r="Q54" i="6"/>
  <c r="R54" i="6"/>
  <c r="S54" i="6"/>
  <c r="T54" i="6"/>
  <c r="U54" i="6"/>
  <c r="V54" i="6"/>
  <c r="Q55" i="6"/>
  <c r="R55" i="6"/>
  <c r="S55" i="6"/>
  <c r="T55" i="6"/>
  <c r="U55" i="6"/>
  <c r="V55" i="6"/>
  <c r="Q56" i="6"/>
  <c r="R56" i="6"/>
  <c r="S56" i="6"/>
  <c r="T56" i="6"/>
  <c r="U56" i="6"/>
  <c r="V56" i="6"/>
  <c r="Q57" i="6"/>
  <c r="R57" i="6"/>
  <c r="T57" i="6"/>
  <c r="U57" i="6"/>
  <c r="V57" i="6"/>
  <c r="Q58" i="6"/>
  <c r="R58" i="6"/>
  <c r="S58" i="6"/>
  <c r="T58" i="6"/>
  <c r="U58" i="6"/>
  <c r="V58" i="6"/>
  <c r="Q59" i="6"/>
  <c r="R59" i="6"/>
  <c r="S59" i="6"/>
  <c r="T59" i="6"/>
  <c r="U59" i="6"/>
  <c r="V59" i="6"/>
  <c r="Q60" i="6"/>
  <c r="R60" i="6"/>
  <c r="S60" i="6"/>
  <c r="T60" i="6"/>
  <c r="U60" i="6"/>
  <c r="V60" i="6"/>
  <c r="Q61" i="6"/>
  <c r="R61" i="6"/>
  <c r="T61" i="6"/>
  <c r="U61" i="6"/>
  <c r="V61" i="6"/>
  <c r="Q62" i="6"/>
  <c r="R62" i="6"/>
  <c r="S62" i="6"/>
  <c r="T62" i="6"/>
  <c r="U62" i="6"/>
  <c r="V62" i="6"/>
  <c r="Q63" i="6"/>
  <c r="R63" i="6"/>
  <c r="S63" i="6"/>
  <c r="T63" i="6"/>
  <c r="U63" i="6"/>
  <c r="V63" i="6"/>
  <c r="Q64" i="6"/>
  <c r="R64" i="6"/>
  <c r="S64" i="6"/>
  <c r="T64" i="6"/>
  <c r="U64" i="6"/>
  <c r="V64" i="6"/>
  <c r="Q65" i="6"/>
  <c r="R65" i="6"/>
  <c r="T65" i="6"/>
  <c r="U65" i="6"/>
  <c r="V65" i="6"/>
  <c r="Q66" i="6"/>
  <c r="R66" i="6"/>
  <c r="S66" i="6"/>
  <c r="T66" i="6"/>
  <c r="U66" i="6"/>
  <c r="V66" i="6"/>
  <c r="Q67" i="6"/>
  <c r="R67" i="6"/>
  <c r="S67" i="6"/>
  <c r="T67" i="6"/>
  <c r="U67" i="6"/>
  <c r="V67" i="6"/>
  <c r="Q68" i="6"/>
  <c r="R68" i="6"/>
  <c r="S68" i="6"/>
  <c r="T68" i="6"/>
  <c r="U68" i="6"/>
  <c r="V68" i="6"/>
  <c r="Q69" i="6"/>
  <c r="R69" i="6"/>
  <c r="S69" i="6"/>
  <c r="T69" i="6"/>
  <c r="U69" i="6"/>
  <c r="V69" i="6"/>
  <c r="Q70" i="6"/>
  <c r="R70" i="6"/>
  <c r="S70" i="6"/>
  <c r="T70" i="6"/>
  <c r="U70" i="6"/>
  <c r="V70" i="6"/>
  <c r="Q71" i="6"/>
  <c r="R71" i="6"/>
  <c r="S71" i="6"/>
  <c r="T71" i="6"/>
  <c r="U71" i="6"/>
  <c r="V71" i="6"/>
  <c r="Q72" i="6"/>
  <c r="R72" i="6"/>
  <c r="S72" i="6"/>
  <c r="T72" i="6"/>
  <c r="U72" i="6"/>
  <c r="V72" i="6"/>
  <c r="Q73" i="6"/>
  <c r="R73" i="6"/>
  <c r="S73" i="6"/>
  <c r="T73" i="6"/>
  <c r="U73" i="6"/>
  <c r="V73" i="6"/>
  <c r="Q74" i="6"/>
  <c r="R74" i="6"/>
  <c r="S74" i="6"/>
  <c r="T74" i="6"/>
  <c r="U74" i="6"/>
  <c r="V74" i="6"/>
  <c r="Q75" i="6"/>
  <c r="R75" i="6"/>
  <c r="S75" i="6"/>
  <c r="T75" i="6"/>
  <c r="U75" i="6"/>
  <c r="V75" i="6"/>
  <c r="Q76" i="6"/>
  <c r="R76" i="6"/>
  <c r="S76" i="6"/>
  <c r="T76" i="6"/>
  <c r="U76" i="6"/>
  <c r="V76" i="6"/>
  <c r="Q77" i="6"/>
  <c r="R77" i="6"/>
  <c r="S77" i="6"/>
  <c r="T77" i="6"/>
  <c r="U77" i="6"/>
  <c r="V77" i="6"/>
  <c r="Q78" i="6"/>
  <c r="R78" i="6"/>
  <c r="S78" i="6"/>
  <c r="T78" i="6"/>
  <c r="U78" i="6"/>
  <c r="V78" i="6"/>
  <c r="Q79" i="6"/>
  <c r="R79" i="6"/>
  <c r="S79" i="6"/>
  <c r="T79" i="6"/>
  <c r="U79" i="6"/>
  <c r="V79" i="6"/>
  <c r="Q80" i="6"/>
  <c r="R80" i="6"/>
  <c r="S80" i="6"/>
  <c r="T80" i="6"/>
  <c r="U80" i="6"/>
  <c r="V80" i="6"/>
  <c r="Q81" i="6"/>
  <c r="R81" i="6"/>
  <c r="S81" i="6"/>
  <c r="T81" i="6"/>
  <c r="U81" i="6"/>
  <c r="V81" i="6"/>
  <c r="Q82" i="6"/>
  <c r="R82" i="6"/>
  <c r="S82" i="6"/>
  <c r="T82" i="6"/>
  <c r="U82" i="6"/>
  <c r="V82" i="6"/>
  <c r="Q83" i="6"/>
  <c r="R83" i="6"/>
  <c r="T83" i="6"/>
  <c r="U83" i="6"/>
  <c r="V83" i="6"/>
  <c r="Q84" i="6"/>
  <c r="R84" i="6"/>
  <c r="S84" i="6"/>
  <c r="T84" i="6"/>
  <c r="U84" i="6"/>
  <c r="V84" i="6"/>
  <c r="Q85" i="6"/>
  <c r="R85" i="6"/>
  <c r="S85" i="6"/>
  <c r="T85" i="6"/>
  <c r="U85" i="6"/>
  <c r="V85" i="6"/>
  <c r="Q86" i="6"/>
  <c r="R86" i="6"/>
  <c r="S86" i="6"/>
  <c r="T86" i="6"/>
  <c r="U86" i="6"/>
  <c r="V86" i="6"/>
  <c r="Q87" i="6"/>
  <c r="R87" i="6"/>
  <c r="S87" i="6"/>
  <c r="T87" i="6"/>
  <c r="U87" i="6"/>
  <c r="V87" i="6"/>
  <c r="Q88" i="6"/>
  <c r="R88" i="6"/>
  <c r="S88" i="6"/>
  <c r="T88" i="6"/>
  <c r="U88" i="6"/>
  <c r="V88" i="6"/>
  <c r="Q89" i="6"/>
  <c r="R89" i="6"/>
  <c r="T89" i="6"/>
  <c r="U89" i="6"/>
  <c r="V89" i="6"/>
  <c r="Q90" i="6"/>
  <c r="R90" i="6"/>
  <c r="T90" i="6"/>
  <c r="U90" i="6"/>
  <c r="V90" i="6"/>
  <c r="Q91" i="6"/>
  <c r="R91" i="6"/>
  <c r="T91" i="6"/>
  <c r="U91" i="6"/>
  <c r="V91" i="6"/>
  <c r="Q92" i="6"/>
  <c r="R92" i="6"/>
  <c r="S92" i="6"/>
  <c r="T92" i="6"/>
  <c r="U92" i="6"/>
  <c r="V92" i="6"/>
  <c r="Q93" i="6"/>
  <c r="R93" i="6"/>
  <c r="S93" i="6"/>
  <c r="T93" i="6"/>
  <c r="U93" i="6"/>
  <c r="V93" i="6"/>
  <c r="Q94" i="6"/>
  <c r="R94" i="6"/>
  <c r="S94" i="6"/>
  <c r="T94" i="6"/>
  <c r="U94" i="6"/>
  <c r="V94" i="6"/>
  <c r="Q95" i="6"/>
  <c r="R95" i="6"/>
  <c r="S95" i="6"/>
  <c r="T95" i="6"/>
  <c r="U95" i="6"/>
  <c r="V95" i="6"/>
  <c r="Q96" i="6"/>
  <c r="R96" i="6"/>
  <c r="S96" i="6"/>
  <c r="T96" i="6"/>
  <c r="U96" i="6"/>
  <c r="V96" i="6"/>
  <c r="Q97" i="6"/>
  <c r="R97" i="6"/>
  <c r="S97" i="6"/>
  <c r="T97" i="6"/>
  <c r="U97" i="6"/>
  <c r="V97" i="6"/>
  <c r="Q98" i="6"/>
  <c r="R98" i="6"/>
  <c r="S98" i="6"/>
  <c r="T98" i="6"/>
  <c r="U98" i="6"/>
  <c r="V98" i="6"/>
  <c r="Q99" i="6"/>
  <c r="R99" i="6"/>
  <c r="S99" i="6"/>
  <c r="T99" i="6"/>
  <c r="U99" i="6"/>
  <c r="V99" i="6"/>
  <c r="Q100" i="6"/>
  <c r="R100" i="6"/>
  <c r="S100" i="6"/>
  <c r="T100" i="6"/>
  <c r="U100" i="6"/>
  <c r="V100" i="6"/>
  <c r="Q101" i="6"/>
  <c r="R101" i="6"/>
  <c r="S101" i="6"/>
  <c r="T101" i="6"/>
  <c r="U101" i="6"/>
  <c r="V101" i="6"/>
  <c r="Q102" i="6"/>
  <c r="R102" i="6"/>
  <c r="S102" i="6"/>
  <c r="T102" i="6"/>
  <c r="U102" i="6"/>
  <c r="V102" i="6"/>
  <c r="Q103" i="6"/>
  <c r="R103" i="6"/>
  <c r="S103" i="6"/>
  <c r="T103" i="6"/>
  <c r="U103" i="6"/>
  <c r="V103" i="6"/>
  <c r="Q104" i="6"/>
  <c r="R104" i="6"/>
  <c r="S104" i="6"/>
  <c r="T104" i="6"/>
  <c r="U104" i="6"/>
  <c r="V104" i="6"/>
  <c r="Q105" i="6"/>
  <c r="R105" i="6"/>
  <c r="S105" i="6"/>
  <c r="T105" i="6"/>
  <c r="U105" i="6"/>
  <c r="V105" i="6"/>
  <c r="Q106" i="6"/>
  <c r="R106" i="6"/>
  <c r="S106" i="6"/>
  <c r="T106" i="6"/>
  <c r="U106" i="6"/>
  <c r="V106" i="6"/>
  <c r="Q107" i="6"/>
  <c r="R107" i="6"/>
  <c r="S107" i="6"/>
  <c r="T107" i="6"/>
  <c r="U107" i="6"/>
  <c r="V107" i="6"/>
  <c r="Q108" i="6"/>
  <c r="R108" i="6"/>
  <c r="S108" i="6"/>
  <c r="T108" i="6"/>
  <c r="U108" i="6"/>
  <c r="V108" i="6"/>
  <c r="Q109" i="6"/>
  <c r="R109" i="6"/>
  <c r="S109" i="6"/>
  <c r="T109" i="6"/>
  <c r="U109" i="6"/>
  <c r="V109" i="6"/>
  <c r="Q110" i="6"/>
  <c r="R110" i="6"/>
  <c r="S110" i="6"/>
  <c r="T110" i="6"/>
  <c r="U110" i="6"/>
  <c r="V110" i="6"/>
  <c r="Q111" i="6"/>
  <c r="R111" i="6"/>
  <c r="S111" i="6"/>
  <c r="T111" i="6"/>
  <c r="U111" i="6"/>
  <c r="V111" i="6"/>
  <c r="Q112" i="6"/>
  <c r="R112" i="6"/>
  <c r="S112" i="6"/>
  <c r="T112" i="6"/>
  <c r="U112" i="6"/>
  <c r="V112" i="6"/>
  <c r="Q113" i="6"/>
  <c r="R113" i="6"/>
  <c r="S113" i="6"/>
  <c r="T113" i="6"/>
  <c r="U113" i="6"/>
  <c r="V113" i="6"/>
  <c r="Q114" i="6"/>
  <c r="R114" i="6"/>
  <c r="S114" i="6"/>
  <c r="T114" i="6"/>
  <c r="U114" i="6"/>
  <c r="V114" i="6"/>
  <c r="Q115" i="6"/>
  <c r="R115" i="6"/>
  <c r="S115" i="6"/>
  <c r="T115" i="6"/>
  <c r="U115" i="6"/>
  <c r="V115" i="6"/>
  <c r="Q116" i="6"/>
  <c r="R116" i="6"/>
  <c r="S116" i="6"/>
  <c r="T116" i="6"/>
  <c r="U116" i="6"/>
  <c r="V116" i="6"/>
  <c r="Q117" i="6"/>
  <c r="R117" i="6"/>
  <c r="S117" i="6"/>
  <c r="T117" i="6"/>
  <c r="U117" i="6"/>
  <c r="V117" i="6"/>
  <c r="Q118" i="6"/>
  <c r="R118" i="6"/>
  <c r="S118" i="6"/>
  <c r="T118" i="6"/>
  <c r="U118" i="6"/>
  <c r="V118" i="6"/>
  <c r="Q119" i="6"/>
  <c r="R119" i="6"/>
  <c r="S119" i="6"/>
  <c r="T119" i="6"/>
  <c r="U119" i="6"/>
  <c r="V119" i="6"/>
  <c r="Q120" i="6"/>
  <c r="R120" i="6"/>
  <c r="S120" i="6"/>
  <c r="T120" i="6"/>
  <c r="U120" i="6"/>
  <c r="V120" i="6"/>
  <c r="Q121" i="6"/>
  <c r="R121" i="6"/>
  <c r="S121" i="6"/>
  <c r="T121" i="6"/>
  <c r="U121" i="6"/>
  <c r="V121" i="6"/>
  <c r="Q122" i="6"/>
  <c r="R122" i="6"/>
  <c r="S122" i="6"/>
  <c r="T122" i="6"/>
  <c r="U122" i="6"/>
  <c r="V122" i="6"/>
  <c r="Q123" i="6"/>
  <c r="R123" i="6"/>
  <c r="S123" i="6"/>
  <c r="T123" i="6"/>
  <c r="U123" i="6"/>
  <c r="V123" i="6"/>
  <c r="Q124" i="6"/>
  <c r="R124" i="6"/>
  <c r="S124" i="6"/>
  <c r="T124" i="6"/>
  <c r="U124" i="6"/>
  <c r="V124" i="6"/>
  <c r="Q125" i="6"/>
  <c r="R125" i="6"/>
  <c r="S125" i="6"/>
  <c r="T125" i="6"/>
  <c r="U125" i="6"/>
  <c r="V125" i="6"/>
  <c r="Q126" i="6"/>
  <c r="R126" i="6"/>
  <c r="S126" i="6"/>
  <c r="T126" i="6"/>
  <c r="U126" i="6"/>
  <c r="V126" i="6"/>
  <c r="Q127" i="6"/>
  <c r="R127" i="6"/>
  <c r="S127" i="6"/>
  <c r="T127" i="6"/>
  <c r="U127" i="6"/>
  <c r="V127" i="6"/>
  <c r="Q128" i="6"/>
  <c r="R128" i="6"/>
  <c r="S128" i="6"/>
  <c r="T128" i="6"/>
  <c r="U128" i="6"/>
  <c r="V128" i="6"/>
  <c r="Q129" i="6"/>
  <c r="R129" i="6"/>
  <c r="S129" i="6"/>
  <c r="T129" i="6"/>
  <c r="U129" i="6"/>
  <c r="V129" i="6"/>
  <c r="Q130" i="6"/>
  <c r="R130" i="6"/>
  <c r="S130" i="6"/>
  <c r="T130" i="6"/>
  <c r="U130" i="6"/>
  <c r="V130" i="6"/>
  <c r="Q131" i="6"/>
  <c r="R131" i="6"/>
  <c r="S131" i="6"/>
  <c r="T131" i="6"/>
  <c r="U131" i="6"/>
  <c r="V131" i="6"/>
  <c r="Q132" i="6"/>
  <c r="R132" i="6"/>
  <c r="S132" i="6"/>
  <c r="T132" i="6"/>
  <c r="U132" i="6"/>
  <c r="V132" i="6"/>
  <c r="Q133" i="6"/>
  <c r="R133" i="6"/>
  <c r="S133" i="6"/>
  <c r="T133" i="6"/>
  <c r="U133" i="6"/>
  <c r="V133" i="6"/>
  <c r="Q134" i="6"/>
  <c r="R134" i="6"/>
  <c r="S134" i="6"/>
  <c r="T134" i="6"/>
  <c r="U134" i="6"/>
  <c r="V134" i="6"/>
  <c r="Q135" i="6"/>
  <c r="R135" i="6"/>
  <c r="S135" i="6"/>
  <c r="T135" i="6"/>
  <c r="U135" i="6"/>
  <c r="V135" i="6"/>
  <c r="Q136" i="6"/>
  <c r="R136" i="6"/>
  <c r="S136" i="6"/>
  <c r="T136" i="6"/>
  <c r="U136" i="6"/>
  <c r="V136" i="6"/>
  <c r="Q137" i="6"/>
  <c r="R137" i="6"/>
  <c r="S137" i="6"/>
  <c r="T137" i="6"/>
  <c r="U137" i="6"/>
  <c r="V137" i="6"/>
  <c r="Q138" i="6"/>
  <c r="R138" i="6"/>
  <c r="S138" i="6"/>
  <c r="T138" i="6"/>
  <c r="U138" i="6"/>
  <c r="V138" i="6"/>
  <c r="Q139" i="6"/>
  <c r="R139" i="6"/>
  <c r="S139" i="6"/>
  <c r="T139" i="6"/>
  <c r="U139" i="6"/>
  <c r="V139" i="6"/>
  <c r="Q140" i="6"/>
  <c r="R140" i="6"/>
  <c r="S140" i="6"/>
  <c r="T140" i="6"/>
  <c r="U140" i="6"/>
  <c r="V140" i="6"/>
  <c r="Q141" i="6"/>
  <c r="R141" i="6"/>
  <c r="S141" i="6"/>
  <c r="T141" i="6"/>
  <c r="U141" i="6"/>
  <c r="V141" i="6"/>
  <c r="Q142" i="6"/>
  <c r="R142" i="6"/>
  <c r="S142" i="6"/>
  <c r="T142" i="6"/>
  <c r="U142" i="6"/>
  <c r="V142" i="6"/>
  <c r="Q143" i="6"/>
  <c r="R143" i="6"/>
  <c r="S143" i="6"/>
  <c r="T143" i="6"/>
  <c r="U143" i="6"/>
  <c r="V143" i="6"/>
  <c r="Q144" i="6"/>
  <c r="R144" i="6"/>
  <c r="S144" i="6"/>
  <c r="T144" i="6"/>
  <c r="U144" i="6"/>
  <c r="V144" i="6"/>
  <c r="Q145" i="6"/>
  <c r="R145" i="6"/>
  <c r="S145" i="6"/>
  <c r="T145" i="6"/>
  <c r="U145" i="6"/>
  <c r="V145" i="6"/>
  <c r="Q146" i="6"/>
  <c r="R146" i="6"/>
  <c r="S146" i="6"/>
  <c r="T146" i="6"/>
  <c r="U146" i="6"/>
  <c r="V146" i="6"/>
  <c r="Q147" i="6"/>
  <c r="R147" i="6"/>
  <c r="S147" i="6"/>
  <c r="T147" i="6"/>
  <c r="U147" i="6"/>
  <c r="V147" i="6"/>
  <c r="Q148" i="6"/>
  <c r="R148" i="6"/>
  <c r="S148" i="6"/>
  <c r="T148" i="6"/>
  <c r="U148" i="6"/>
  <c r="V148" i="6"/>
  <c r="Q149" i="6"/>
  <c r="R149" i="6"/>
  <c r="S149" i="6"/>
  <c r="T149" i="6"/>
  <c r="U149" i="6"/>
  <c r="V149" i="6"/>
  <c r="Q150" i="6"/>
  <c r="R150" i="6"/>
  <c r="S150" i="6"/>
  <c r="T150" i="6"/>
  <c r="U150" i="6"/>
  <c r="V150" i="6"/>
  <c r="Q151" i="6"/>
  <c r="R151" i="6"/>
  <c r="S151" i="6"/>
  <c r="T151" i="6"/>
  <c r="U151" i="6"/>
  <c r="V151" i="6"/>
  <c r="Q152" i="6"/>
  <c r="R152" i="6"/>
  <c r="S152" i="6"/>
  <c r="T152" i="6"/>
  <c r="U152" i="6"/>
  <c r="V152" i="6"/>
  <c r="Q153" i="6"/>
  <c r="R153" i="6"/>
  <c r="S153" i="6"/>
  <c r="T153" i="6"/>
  <c r="U153" i="6"/>
  <c r="V153" i="6"/>
  <c r="Q154" i="6"/>
  <c r="R154" i="6"/>
  <c r="S154" i="6"/>
  <c r="T154" i="6"/>
  <c r="U154" i="6"/>
  <c r="V154" i="6"/>
  <c r="Q155" i="6"/>
  <c r="R155" i="6"/>
  <c r="S155" i="6"/>
  <c r="T155" i="6"/>
  <c r="U155" i="6"/>
  <c r="V155" i="6"/>
  <c r="Q156" i="6"/>
  <c r="R156" i="6"/>
  <c r="S156" i="6"/>
  <c r="T156" i="6"/>
  <c r="U156" i="6"/>
  <c r="V156" i="6"/>
  <c r="Q157" i="6"/>
  <c r="R157" i="6"/>
  <c r="S157" i="6"/>
  <c r="T157" i="6"/>
  <c r="U157" i="6"/>
  <c r="V157" i="6"/>
  <c r="Q158" i="6"/>
  <c r="R158" i="6"/>
  <c r="S158" i="6"/>
  <c r="T158" i="6"/>
  <c r="U158" i="6"/>
  <c r="V158" i="6"/>
  <c r="Q159" i="6"/>
  <c r="R159" i="6"/>
  <c r="S159" i="6"/>
  <c r="T159" i="6"/>
  <c r="U159" i="6"/>
  <c r="V159" i="6"/>
  <c r="Q160" i="6"/>
  <c r="R160" i="6"/>
  <c r="S160" i="6"/>
  <c r="T160" i="6"/>
  <c r="U160" i="6"/>
  <c r="V160" i="6"/>
  <c r="Q161" i="6"/>
  <c r="R161" i="6"/>
  <c r="S161" i="6"/>
  <c r="T161" i="6"/>
  <c r="U161" i="6"/>
  <c r="V161" i="6"/>
  <c r="Q162" i="6"/>
  <c r="R162" i="6"/>
  <c r="S162" i="6"/>
  <c r="T162" i="6"/>
  <c r="U162" i="6"/>
  <c r="V162" i="6"/>
  <c r="Q163" i="6"/>
  <c r="R163" i="6"/>
  <c r="S163" i="6"/>
  <c r="T163" i="6"/>
  <c r="U163" i="6"/>
  <c r="V163" i="6"/>
  <c r="Q164" i="6"/>
  <c r="R164" i="6"/>
  <c r="S164" i="6"/>
  <c r="T164" i="6"/>
  <c r="U164" i="6"/>
  <c r="V164" i="6"/>
  <c r="Q165" i="6"/>
  <c r="R165" i="6"/>
  <c r="S165" i="6"/>
  <c r="T165" i="6"/>
  <c r="U165" i="6"/>
  <c r="V165" i="6"/>
  <c r="Q166" i="6"/>
  <c r="R166" i="6"/>
  <c r="S166" i="6"/>
  <c r="T166" i="6"/>
  <c r="U166" i="6"/>
  <c r="V166" i="6"/>
  <c r="Q167" i="6"/>
  <c r="R167" i="6"/>
  <c r="S167" i="6"/>
  <c r="T167" i="6"/>
  <c r="U167" i="6"/>
  <c r="V167" i="6"/>
  <c r="Q168" i="6"/>
  <c r="R168" i="6"/>
  <c r="S168" i="6"/>
  <c r="T168" i="6"/>
  <c r="U168" i="6"/>
  <c r="V168" i="6"/>
  <c r="Q169" i="6"/>
  <c r="R169" i="6"/>
  <c r="S169" i="6"/>
  <c r="T169" i="6"/>
  <c r="U169" i="6"/>
  <c r="V169" i="6"/>
  <c r="Q170" i="6"/>
  <c r="R170" i="6"/>
  <c r="S170" i="6"/>
  <c r="T170" i="6"/>
  <c r="U170" i="6"/>
  <c r="V170" i="6"/>
  <c r="Q171" i="6"/>
  <c r="R171" i="6"/>
  <c r="S171" i="6"/>
  <c r="T171" i="6"/>
  <c r="U171" i="6"/>
  <c r="V171" i="6"/>
  <c r="Q172" i="6"/>
  <c r="R172" i="6"/>
  <c r="S172" i="6"/>
  <c r="T172" i="6"/>
  <c r="U172" i="6"/>
  <c r="V172" i="6"/>
  <c r="Q173" i="6"/>
  <c r="R173" i="6"/>
  <c r="S173" i="6"/>
  <c r="T173" i="6"/>
  <c r="U173" i="6"/>
  <c r="V173" i="6"/>
  <c r="Q174" i="6"/>
  <c r="R174" i="6"/>
  <c r="S174" i="6"/>
  <c r="T174" i="6"/>
  <c r="U174" i="6"/>
  <c r="V174" i="6"/>
  <c r="Q175" i="6"/>
  <c r="R175" i="6"/>
  <c r="S175" i="6"/>
  <c r="T175" i="6"/>
  <c r="U175" i="6"/>
  <c r="V175" i="6"/>
  <c r="Q176" i="6"/>
  <c r="R176" i="6"/>
  <c r="S176" i="6"/>
  <c r="T176" i="6"/>
  <c r="U176" i="6"/>
  <c r="V176" i="6"/>
  <c r="Q177" i="6"/>
  <c r="R177" i="6"/>
  <c r="S177" i="6"/>
  <c r="T177" i="6"/>
  <c r="U177" i="6"/>
  <c r="V177" i="6"/>
  <c r="Q178" i="6"/>
  <c r="R178" i="6"/>
  <c r="S178" i="6"/>
  <c r="T178" i="6"/>
  <c r="U178" i="6"/>
  <c r="V178" i="6"/>
  <c r="Q179" i="6"/>
  <c r="R179" i="6"/>
  <c r="S179" i="6"/>
  <c r="T179" i="6"/>
  <c r="U179" i="6"/>
  <c r="V179" i="6"/>
  <c r="Q180" i="6"/>
  <c r="R180" i="6"/>
  <c r="S180" i="6"/>
  <c r="T180" i="6"/>
  <c r="U180" i="6"/>
  <c r="V180" i="6"/>
  <c r="Q181" i="6"/>
  <c r="R181" i="6"/>
  <c r="S181" i="6"/>
  <c r="T181" i="6"/>
  <c r="U181" i="6"/>
  <c r="V181" i="6"/>
  <c r="Q182" i="6"/>
  <c r="R182" i="6"/>
  <c r="S182" i="6"/>
  <c r="T182" i="6"/>
  <c r="U182" i="6"/>
  <c r="V182" i="6"/>
  <c r="Q183" i="6"/>
  <c r="R183" i="6"/>
  <c r="S183" i="6"/>
  <c r="T183" i="6"/>
  <c r="U183" i="6"/>
  <c r="V183" i="6"/>
  <c r="Q184" i="6"/>
  <c r="R184" i="6"/>
  <c r="S184" i="6"/>
  <c r="T184" i="6"/>
  <c r="U184" i="6"/>
  <c r="V184" i="6"/>
  <c r="Q185" i="6"/>
  <c r="R185" i="6"/>
  <c r="S185" i="6"/>
  <c r="T185" i="6"/>
  <c r="U185" i="6"/>
  <c r="V185" i="6"/>
  <c r="Q186" i="6"/>
  <c r="R186" i="6"/>
  <c r="S186" i="6"/>
  <c r="T186" i="6"/>
  <c r="U186" i="6"/>
  <c r="V186" i="6"/>
  <c r="Q187" i="6"/>
  <c r="R187" i="6"/>
  <c r="S187" i="6"/>
  <c r="T187" i="6"/>
  <c r="U187" i="6"/>
  <c r="V187" i="6"/>
  <c r="Q188" i="6"/>
  <c r="R188" i="6"/>
  <c r="S188" i="6"/>
  <c r="T188" i="6"/>
  <c r="U188" i="6"/>
  <c r="V188" i="6"/>
  <c r="Q189" i="6"/>
  <c r="R189" i="6"/>
  <c r="S189" i="6"/>
  <c r="T189" i="6"/>
  <c r="U189" i="6"/>
  <c r="V189" i="6"/>
  <c r="Q190" i="6"/>
  <c r="R190" i="6"/>
  <c r="S190" i="6"/>
  <c r="T190" i="6"/>
  <c r="U190" i="6"/>
  <c r="V190" i="6"/>
  <c r="Q191" i="6"/>
  <c r="R191" i="6"/>
  <c r="S191" i="6"/>
  <c r="T191" i="6"/>
  <c r="U191" i="6"/>
  <c r="V191" i="6"/>
  <c r="Q192" i="6"/>
  <c r="R192" i="6"/>
  <c r="S192" i="6"/>
  <c r="T192" i="6"/>
  <c r="U192" i="6"/>
  <c r="V192" i="6"/>
  <c r="Q193" i="6"/>
  <c r="R193" i="6"/>
  <c r="S193" i="6"/>
  <c r="T193" i="6"/>
  <c r="U193" i="6"/>
  <c r="V193" i="6"/>
  <c r="Q194" i="6"/>
  <c r="R194" i="6"/>
  <c r="S194" i="6"/>
  <c r="T194" i="6"/>
  <c r="U194" i="6"/>
  <c r="V194" i="6"/>
  <c r="Q195" i="6"/>
  <c r="R195" i="6"/>
  <c r="S195" i="6"/>
  <c r="T195" i="6"/>
  <c r="U195" i="6"/>
  <c r="V195" i="6"/>
  <c r="Q196" i="6"/>
  <c r="R196" i="6"/>
  <c r="S196" i="6"/>
  <c r="T196" i="6"/>
  <c r="U196" i="6"/>
  <c r="V196" i="6"/>
  <c r="Q197" i="6"/>
  <c r="R197" i="6"/>
  <c r="S197" i="6"/>
  <c r="T197" i="6"/>
  <c r="U197" i="6"/>
  <c r="V197" i="6"/>
  <c r="Q198" i="6"/>
  <c r="R198" i="6"/>
  <c r="S198" i="6"/>
  <c r="T198" i="6"/>
  <c r="U198" i="6"/>
  <c r="V198" i="6"/>
  <c r="Q199" i="6"/>
  <c r="R199" i="6"/>
  <c r="S199" i="6"/>
  <c r="T199" i="6"/>
  <c r="U199" i="6"/>
  <c r="V199" i="6"/>
  <c r="Q200" i="6"/>
  <c r="R200" i="6"/>
  <c r="S200" i="6"/>
  <c r="T200" i="6"/>
  <c r="U200" i="6"/>
  <c r="V200" i="6"/>
  <c r="Q201" i="6"/>
  <c r="R201" i="6"/>
  <c r="S201" i="6"/>
  <c r="T201" i="6"/>
  <c r="U201" i="6"/>
  <c r="V201" i="6"/>
  <c r="Q202" i="6"/>
  <c r="R202" i="6"/>
  <c r="S202" i="6"/>
  <c r="T202" i="6"/>
  <c r="U202" i="6"/>
  <c r="V202" i="6"/>
  <c r="Q203" i="6"/>
  <c r="R203" i="6"/>
  <c r="S203" i="6"/>
  <c r="T203" i="6"/>
  <c r="U203" i="6"/>
  <c r="V203" i="6"/>
  <c r="Q204" i="6"/>
  <c r="R204" i="6"/>
  <c r="S204" i="6"/>
  <c r="T204" i="6"/>
  <c r="U204" i="6"/>
  <c r="V204" i="6"/>
  <c r="Q205" i="6"/>
  <c r="R205" i="6"/>
  <c r="S205" i="6"/>
  <c r="T205" i="6"/>
  <c r="U205" i="6"/>
  <c r="V205" i="6"/>
  <c r="Q206" i="6"/>
  <c r="R206" i="6"/>
  <c r="S206" i="6"/>
  <c r="T206" i="6"/>
  <c r="U206" i="6"/>
  <c r="V206" i="6"/>
  <c r="Q207" i="6"/>
  <c r="R207" i="6"/>
  <c r="S207" i="6"/>
  <c r="T207" i="6"/>
  <c r="U207" i="6"/>
  <c r="V207" i="6"/>
  <c r="Q208" i="6"/>
  <c r="R208" i="6"/>
  <c r="S208" i="6"/>
  <c r="T208" i="6"/>
  <c r="U208" i="6"/>
  <c r="V208" i="6"/>
  <c r="Q209" i="6"/>
  <c r="R209" i="6"/>
  <c r="S209" i="6"/>
  <c r="T209" i="6"/>
  <c r="U209" i="6"/>
  <c r="V209" i="6"/>
  <c r="Q210" i="6"/>
  <c r="R210" i="6"/>
  <c r="S210" i="6"/>
  <c r="T210" i="6"/>
  <c r="U210" i="6"/>
  <c r="V210" i="6"/>
  <c r="Q211" i="6"/>
  <c r="R211" i="6"/>
  <c r="S211" i="6"/>
  <c r="T211" i="6"/>
  <c r="U211" i="6"/>
  <c r="V211" i="6"/>
  <c r="Q212" i="6"/>
  <c r="R212" i="6"/>
  <c r="S212" i="6"/>
  <c r="T212" i="6"/>
  <c r="U212" i="6"/>
  <c r="V212" i="6"/>
  <c r="Q213" i="6"/>
  <c r="R213" i="6"/>
  <c r="S213" i="6"/>
  <c r="T213" i="6"/>
  <c r="U213" i="6"/>
  <c r="V213" i="6"/>
  <c r="Q214" i="6"/>
  <c r="R214" i="6"/>
  <c r="S214" i="6"/>
  <c r="T214" i="6"/>
  <c r="U214" i="6"/>
  <c r="V214" i="6"/>
  <c r="Q215" i="6"/>
  <c r="R215" i="6"/>
  <c r="S215" i="6"/>
  <c r="T215" i="6"/>
  <c r="U215" i="6"/>
  <c r="V215" i="6"/>
  <c r="Q216" i="6"/>
  <c r="R216" i="6"/>
  <c r="S216" i="6"/>
  <c r="T216" i="6"/>
  <c r="U216" i="6"/>
  <c r="V216" i="6"/>
  <c r="Q217" i="6"/>
  <c r="R217" i="6"/>
  <c r="S217" i="6"/>
  <c r="T217" i="6"/>
  <c r="U217" i="6"/>
  <c r="V217" i="6"/>
  <c r="Q218" i="6"/>
  <c r="R218" i="6"/>
  <c r="S218" i="6"/>
  <c r="T218" i="6"/>
  <c r="U218" i="6"/>
  <c r="V218" i="6"/>
  <c r="Q219" i="6"/>
  <c r="R219" i="6"/>
  <c r="S219" i="6"/>
  <c r="T219" i="6"/>
  <c r="U219" i="6"/>
  <c r="V219" i="6"/>
  <c r="Q220" i="6"/>
  <c r="R220" i="6"/>
  <c r="S220" i="6"/>
  <c r="T220" i="6"/>
  <c r="U220" i="6"/>
  <c r="V220" i="6"/>
  <c r="Q221" i="6"/>
  <c r="R221" i="6"/>
  <c r="S221" i="6"/>
  <c r="T221" i="6"/>
  <c r="U221" i="6"/>
  <c r="V221" i="6"/>
  <c r="Q222" i="6"/>
  <c r="R222" i="6"/>
  <c r="S222" i="6"/>
  <c r="T222" i="6"/>
  <c r="U222" i="6"/>
  <c r="V222" i="6"/>
  <c r="Q223" i="6"/>
  <c r="R223" i="6"/>
  <c r="S223" i="6"/>
  <c r="T223" i="6"/>
  <c r="U223" i="6"/>
  <c r="V223" i="6"/>
  <c r="Q224" i="6"/>
  <c r="R224" i="6"/>
  <c r="S224" i="6"/>
  <c r="T224" i="6"/>
  <c r="U224" i="6"/>
  <c r="V224" i="6"/>
  <c r="Q225" i="6"/>
  <c r="R225" i="6"/>
  <c r="S225" i="6"/>
  <c r="T225" i="6"/>
  <c r="U225" i="6"/>
  <c r="V225" i="6"/>
  <c r="Q226" i="6"/>
  <c r="R226" i="6"/>
  <c r="S226" i="6"/>
  <c r="T226" i="6"/>
  <c r="U226" i="6"/>
  <c r="V226" i="6"/>
  <c r="Q227" i="6"/>
  <c r="R227" i="6"/>
  <c r="S227" i="6"/>
  <c r="T227" i="6"/>
  <c r="U227" i="6"/>
  <c r="V227" i="6"/>
  <c r="Q228" i="6"/>
  <c r="R228" i="6"/>
  <c r="S228" i="6"/>
  <c r="T228" i="6"/>
  <c r="U228" i="6"/>
  <c r="V228" i="6"/>
  <c r="Q229" i="6"/>
  <c r="R229" i="6"/>
  <c r="S229" i="6"/>
  <c r="T229" i="6"/>
  <c r="U229" i="6"/>
  <c r="V229" i="6"/>
  <c r="Q230" i="6"/>
  <c r="R230" i="6"/>
  <c r="S230" i="6"/>
  <c r="T230" i="6"/>
  <c r="U230" i="6"/>
  <c r="V230" i="6"/>
  <c r="Q231" i="6"/>
  <c r="R231" i="6"/>
  <c r="S231" i="6"/>
  <c r="T231" i="6"/>
  <c r="U231" i="6"/>
  <c r="V231" i="6"/>
  <c r="Q232" i="6"/>
  <c r="R232" i="6"/>
  <c r="S232" i="6"/>
  <c r="T232" i="6"/>
  <c r="U232" i="6"/>
  <c r="V232" i="6"/>
  <c r="Q233" i="6"/>
  <c r="R233" i="6"/>
  <c r="S233" i="6"/>
  <c r="T233" i="6"/>
  <c r="U233" i="6"/>
  <c r="V233" i="6"/>
  <c r="Q234" i="6"/>
  <c r="R234" i="6"/>
  <c r="S234" i="6"/>
  <c r="T234" i="6"/>
  <c r="U234" i="6"/>
  <c r="V234" i="6"/>
  <c r="Q235" i="6"/>
  <c r="R235" i="6"/>
  <c r="S235" i="6"/>
  <c r="T235" i="6"/>
  <c r="U235" i="6"/>
  <c r="V235" i="6"/>
  <c r="Q236" i="6"/>
  <c r="R236" i="6"/>
  <c r="S236" i="6"/>
  <c r="T236" i="6"/>
  <c r="U236" i="6"/>
  <c r="V236" i="6"/>
  <c r="Q237" i="6"/>
  <c r="R237" i="6"/>
  <c r="S237" i="6"/>
  <c r="T237" i="6"/>
  <c r="U237" i="6"/>
  <c r="V237" i="6"/>
  <c r="Q238" i="6"/>
  <c r="R238" i="6"/>
  <c r="S238" i="6"/>
  <c r="T238" i="6"/>
  <c r="U238" i="6"/>
  <c r="V238" i="6"/>
  <c r="Q239" i="6"/>
  <c r="R239" i="6"/>
  <c r="S239" i="6"/>
  <c r="T239" i="6"/>
  <c r="U239" i="6"/>
  <c r="V239" i="6"/>
  <c r="Q240" i="6"/>
  <c r="R240" i="6"/>
  <c r="S240" i="6"/>
  <c r="T240" i="6"/>
  <c r="U240" i="6"/>
  <c r="V240" i="6"/>
  <c r="Q241" i="6"/>
  <c r="R241" i="6"/>
  <c r="S241" i="6"/>
  <c r="T241" i="6"/>
  <c r="U241" i="6"/>
  <c r="V241" i="6"/>
  <c r="Q242" i="6"/>
  <c r="R242" i="6"/>
  <c r="S242" i="6"/>
  <c r="T242" i="6"/>
  <c r="U242" i="6"/>
  <c r="V242" i="6"/>
  <c r="Q243" i="6"/>
  <c r="R243" i="6"/>
  <c r="S243" i="6"/>
  <c r="T243" i="6"/>
  <c r="U243" i="6"/>
  <c r="V243" i="6"/>
  <c r="Q244" i="6"/>
  <c r="R244" i="6"/>
  <c r="S244" i="6"/>
  <c r="T244" i="6"/>
  <c r="U244" i="6"/>
  <c r="V244" i="6"/>
  <c r="Q245" i="6"/>
  <c r="R245" i="6"/>
  <c r="S245" i="6"/>
  <c r="T245" i="6"/>
  <c r="U245" i="6"/>
  <c r="V245" i="6"/>
  <c r="Q246" i="6"/>
  <c r="R246" i="6"/>
  <c r="S246" i="6"/>
  <c r="T246" i="6"/>
  <c r="U246" i="6"/>
  <c r="V246" i="6"/>
  <c r="Q247" i="6"/>
  <c r="R247" i="6"/>
  <c r="S247" i="6"/>
  <c r="T247" i="6"/>
  <c r="U247" i="6"/>
  <c r="V247" i="6"/>
  <c r="Q248" i="6"/>
  <c r="R248" i="6"/>
  <c r="S248" i="6"/>
  <c r="T248" i="6"/>
  <c r="U248" i="6"/>
  <c r="V248" i="6"/>
  <c r="Q249" i="6"/>
  <c r="R249" i="6"/>
  <c r="S249" i="6"/>
  <c r="T249" i="6"/>
  <c r="U249" i="6"/>
  <c r="V249" i="6"/>
  <c r="Q250" i="6"/>
  <c r="R250" i="6"/>
  <c r="S250" i="6"/>
  <c r="T250" i="6"/>
  <c r="U250" i="6"/>
  <c r="V250" i="6"/>
  <c r="Q251" i="6"/>
  <c r="R251" i="6"/>
  <c r="S251" i="6"/>
  <c r="T251" i="6"/>
  <c r="U251" i="6"/>
  <c r="V251" i="6"/>
  <c r="Q252" i="6"/>
  <c r="R252" i="6"/>
  <c r="S252" i="6"/>
  <c r="T252" i="6"/>
  <c r="U252" i="6"/>
  <c r="V252" i="6"/>
  <c r="Q253" i="6"/>
  <c r="R253" i="6"/>
  <c r="S253" i="6"/>
  <c r="T253" i="6"/>
  <c r="U253" i="6"/>
  <c r="V253" i="6"/>
  <c r="Q254" i="6"/>
  <c r="R254" i="6"/>
  <c r="S254" i="6"/>
  <c r="T254" i="6"/>
  <c r="U254" i="6"/>
  <c r="V254" i="6"/>
  <c r="Q255" i="6"/>
  <c r="R255" i="6"/>
  <c r="S255" i="6"/>
  <c r="T255" i="6"/>
  <c r="U255" i="6"/>
  <c r="V255" i="6"/>
  <c r="Q256" i="6"/>
  <c r="R256" i="6"/>
  <c r="S256" i="6"/>
  <c r="T256" i="6"/>
  <c r="U256" i="6"/>
  <c r="V256" i="6"/>
  <c r="Q257" i="6"/>
  <c r="R257" i="6"/>
  <c r="S257" i="6"/>
  <c r="T257" i="6"/>
  <c r="U257" i="6"/>
  <c r="V257" i="6"/>
  <c r="M41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S6" i="6" l="1"/>
  <c r="S7" i="4"/>
  <c r="S8" i="4"/>
  <c r="S2" i="4"/>
  <c r="S91" i="6"/>
  <c r="S90" i="6"/>
  <c r="S83" i="6"/>
  <c r="S16" i="6"/>
  <c r="S65" i="6"/>
  <c r="S61" i="6"/>
  <c r="S57" i="6"/>
  <c r="S53" i="6"/>
  <c r="S49" i="6"/>
  <c r="S41" i="6"/>
  <c r="S20" i="6"/>
  <c r="S34" i="6"/>
  <c r="S10" i="6"/>
  <c r="S39" i="6"/>
  <c r="S35" i="6"/>
  <c r="S15" i="6"/>
  <c r="S4" i="6"/>
  <c r="S2" i="6"/>
  <c r="S3" i="6"/>
</calcChain>
</file>

<file path=xl/sharedStrings.xml><?xml version="1.0" encoding="utf-8"?>
<sst xmlns="http://schemas.openxmlformats.org/spreadsheetml/2006/main" count="17587" uniqueCount="4491">
  <si>
    <t>instructor_</t>
  </si>
  <si>
    <t>rut_instructor</t>
  </si>
  <si>
    <t>codigo_perfil_cv</t>
  </si>
  <si>
    <t>firma_</t>
  </si>
  <si>
    <t>marcas</t>
  </si>
  <si>
    <t>tipo</t>
  </si>
  <si>
    <t>modelo</t>
  </si>
  <si>
    <t>Marcelo Camilo Barrera Acevedo</t>
  </si>
  <si>
    <t>13.364.290-0</t>
  </si>
  <si>
    <t>P-8549-2359-004-V01</t>
  </si>
  <si>
    <t>Marcelo Barrera A.</t>
  </si>
  <si>
    <t>MERCEDES BENZ</t>
  </si>
  <si>
    <t>BUS 1 PISO</t>
  </si>
  <si>
    <t>O500 RS - OC500 RF</t>
  </si>
  <si>
    <t>Daniel Rodrigo Carvajal Bucarey</t>
  </si>
  <si>
    <t>10.528.715-1</t>
  </si>
  <si>
    <t>Daniel Carvajal B.</t>
  </si>
  <si>
    <t>ZHONG TONG</t>
  </si>
  <si>
    <t>BUS 1 1/2  PISO</t>
  </si>
  <si>
    <t>O500 RS-D</t>
  </si>
  <si>
    <t>Fernando Rodrigo Maza Roman</t>
  </si>
  <si>
    <t>12.476.744-k</t>
  </si>
  <si>
    <t>Fernando Maza R.</t>
  </si>
  <si>
    <t>SCANIA</t>
  </si>
  <si>
    <t>BUS 2 PISOS</t>
  </si>
  <si>
    <t>SPRINTER 315 – 415 – 515 – 517 4X2</t>
  </si>
  <si>
    <t>Gilberto Leonardo Urtubia Carvajal</t>
  </si>
  <si>
    <t>9.249.626-0</t>
  </si>
  <si>
    <t>Gilerto Urtubia C.</t>
  </si>
  <si>
    <t xml:space="preserve">VOLVO </t>
  </si>
  <si>
    <t>TAXIBUS</t>
  </si>
  <si>
    <t>SPRINTER 516 4x4</t>
  </si>
  <si>
    <t>Milla Miranda Guillermo Andres</t>
  </si>
  <si>
    <t>15.325.100-2</t>
  </si>
  <si>
    <t>Guillermo Milla M.</t>
  </si>
  <si>
    <t>VOLARE</t>
  </si>
  <si>
    <t>MINIBUS</t>
  </si>
  <si>
    <t>LO915 - LO916</t>
  </si>
  <si>
    <t>IVECO</t>
  </si>
  <si>
    <t>F310 HB</t>
  </si>
  <si>
    <t>MAXUS </t>
  </si>
  <si>
    <t>K 360 IB</t>
  </si>
  <si>
    <t>YUTONG</t>
  </si>
  <si>
    <t>K 410CB</t>
  </si>
  <si>
    <t>K 440 IB</t>
  </si>
  <si>
    <t>K 400 IB</t>
  </si>
  <si>
    <t>B 420R - B 430R</t>
  </si>
  <si>
    <t>B 450R</t>
  </si>
  <si>
    <t>DAILY 50 - 170 4X2</t>
  </si>
  <si>
    <t>ZT LCK6129EV</t>
  </si>
  <si>
    <t>V8L 4X4</t>
  </si>
  <si>
    <t>E DELIBERY  9</t>
  </si>
  <si>
    <t>C9 ZK6709H</t>
  </si>
  <si>
    <t>Nombre Completo</t>
  </si>
  <si>
    <t>Número de Documento</t>
  </si>
  <si>
    <t>Cargo</t>
  </si>
  <si>
    <t>Nombre Área</t>
  </si>
  <si>
    <t>Abarca Vivar Juan Agustin</t>
  </si>
  <si>
    <t>8.448.934-4</t>
  </si>
  <si>
    <t>CONDUCTOR DE BUS AREA INDUSTRIAL</t>
  </si>
  <si>
    <t>AURA - DAND</t>
  </si>
  <si>
    <t>CONDUCTOR DE BUS</t>
  </si>
  <si>
    <t>CODELCO VP ANDINA 2022</t>
  </si>
  <si>
    <t>Abello Rojas Paola Soledad</t>
  </si>
  <si>
    <t>12.575.276-4</t>
  </si>
  <si>
    <t>CONDUCTOR DE FURGON</t>
  </si>
  <si>
    <t>SERVICIO CODELCO DMH</t>
  </si>
  <si>
    <t>Acevedo González Manuel Guillermo</t>
  </si>
  <si>
    <t>7.614.405-2</t>
  </si>
  <si>
    <t>SIERRA GORDA - OPERACION</t>
  </si>
  <si>
    <t>Acevedo Jofré Jorge Andrés</t>
  </si>
  <si>
    <t>11.478.221-1</t>
  </si>
  <si>
    <t>SYNCORE - TALABRE</t>
  </si>
  <si>
    <t>Acevedo Mardones William Mario</t>
  </si>
  <si>
    <t>10.160.908-1</t>
  </si>
  <si>
    <t>VALPARAISO</t>
  </si>
  <si>
    <t>Acosta Salazar Oberney</t>
  </si>
  <si>
    <t>26.607.465-4</t>
  </si>
  <si>
    <t>ALTO NORTE</t>
  </si>
  <si>
    <t>Acuña Henriquez Milton Andre</t>
  </si>
  <si>
    <t>14.305.012-2</t>
  </si>
  <si>
    <t>CONDUCTOR DE MINIBUS AREA INDUSTRIAL</t>
  </si>
  <si>
    <t>CODELCO ANDINA 2022</t>
  </si>
  <si>
    <t>Adaro Leal Franco Ignacio</t>
  </si>
  <si>
    <t>18.006.078-2</t>
  </si>
  <si>
    <t>COORDINADOR DE SERVICIOS</t>
  </si>
  <si>
    <t>NEWREST COLLAHUASI</t>
  </si>
  <si>
    <t>Agosin Lara David Adolfo</t>
  </si>
  <si>
    <t>12.643.301-8</t>
  </si>
  <si>
    <t>FLIX VIÑA DEL MAR</t>
  </si>
  <si>
    <t>Aguayo Salinas Miguel Angel</t>
  </si>
  <si>
    <t>8.805.198-k</t>
  </si>
  <si>
    <t>JM SERVICIOS ESPECIALES</t>
  </si>
  <si>
    <t>Aguilar Esquivel Juan Luis</t>
  </si>
  <si>
    <t>9.887.780-0</t>
  </si>
  <si>
    <t>ARAMARK MINISTRO HALES INTERNO</t>
  </si>
  <si>
    <t>Aguilar Gallardo Ulises Aquiles</t>
  </si>
  <si>
    <t>12.398.429-3</t>
  </si>
  <si>
    <t>Aguilar Gonzalez Esteban Andres</t>
  </si>
  <si>
    <t>13.020.492-9</t>
  </si>
  <si>
    <t>ADMINISTRATIVO DE VENTAS</t>
  </si>
  <si>
    <t>Aguilera Acevedo Arnoldo Andres</t>
  </si>
  <si>
    <t>15.962.899-k</t>
  </si>
  <si>
    <t>FLUOR-SALFA CENTINELA</t>
  </si>
  <si>
    <t>Aguilera Barrera Marco Antonio</t>
  </si>
  <si>
    <t>9.636.932-8</t>
  </si>
  <si>
    <t>Aguilera Moyano Dario Antonio</t>
  </si>
  <si>
    <t>15.065.729-6</t>
  </si>
  <si>
    <t>Aguilera Osorio Eduardo Rodrigo</t>
  </si>
  <si>
    <t>13.539.704-0</t>
  </si>
  <si>
    <t>Aguilera Osorio Víctor Hugo</t>
  </si>
  <si>
    <t>10.544.077-4</t>
  </si>
  <si>
    <t>Aguilera Quintana Víctor Josué</t>
  </si>
  <si>
    <t>13.587.720-4</t>
  </si>
  <si>
    <t>Aguilera Silva German Hermin</t>
  </si>
  <si>
    <t>15.427.322-0</t>
  </si>
  <si>
    <t>CONDUCTOR DE MINI BUS</t>
  </si>
  <si>
    <t>NEWREST DAND</t>
  </si>
  <si>
    <t>Aguilera Silva Roberto Andres</t>
  </si>
  <si>
    <t>16.114.858-k</t>
  </si>
  <si>
    <t>Aguirre Araya Daniel Hernán</t>
  </si>
  <si>
    <t>13.645.182-0</t>
  </si>
  <si>
    <t>Aguirre Rocha Karla Monserratt Illani</t>
  </si>
  <si>
    <t>20.654.308-6</t>
  </si>
  <si>
    <t>AUXILIAR</t>
  </si>
  <si>
    <t>NEWREST ANTUCOYA</t>
  </si>
  <si>
    <t>Aguirre Ruiz Pedro Jonathan</t>
  </si>
  <si>
    <t>15.910.290-4</t>
  </si>
  <si>
    <t>FLIX LA SERENA</t>
  </si>
  <si>
    <t>Agurto Pereda Jaime Sebastián</t>
  </si>
  <si>
    <t>16.172.476-9</t>
  </si>
  <si>
    <t>FLIX VALPARAISO</t>
  </si>
  <si>
    <t>Ahumada Briones Juan Alberto</t>
  </si>
  <si>
    <t>9.800.159-k</t>
  </si>
  <si>
    <t>ASEADOR</t>
  </si>
  <si>
    <t>ADMINISTRACION</t>
  </si>
  <si>
    <t>Ahumada Cataldo Eduardo Andrés</t>
  </si>
  <si>
    <t>16.333.448-8</t>
  </si>
  <si>
    <t>ELECTROMECANICO</t>
  </si>
  <si>
    <t>Ahumada Fernandez Leopoldo Enrique</t>
  </si>
  <si>
    <t>7.919.994-k</t>
  </si>
  <si>
    <t>CONDUCTOR MINIBUS ACERCAMIENTO</t>
  </si>
  <si>
    <t>Ahumada Figueroa Hector Alexis</t>
  </si>
  <si>
    <t>14.357.926-3</t>
  </si>
  <si>
    <t>Ahumada Montenegro Victor Antonio</t>
  </si>
  <si>
    <t>13.189.267-5</t>
  </si>
  <si>
    <t>Ahumada Rivera Claudio Fabian</t>
  </si>
  <si>
    <t>11.464.893-0</t>
  </si>
  <si>
    <t>NEWREST CENTINELA</t>
  </si>
  <si>
    <t>Ahumada Rodriguez Maicol Gerardo</t>
  </si>
  <si>
    <t>18.972.617-1</t>
  </si>
  <si>
    <t>AUXILIAR DE BUS</t>
  </si>
  <si>
    <t>ARAMARK SPENCE</t>
  </si>
  <si>
    <t>Alamos Parra Fidel Antonio</t>
  </si>
  <si>
    <t>7.708.418-5</t>
  </si>
  <si>
    <t>Alarcon Araya Carlos Alberto</t>
  </si>
  <si>
    <t>12.702.825-7</t>
  </si>
  <si>
    <t>BERLIAM - DRT CHANCADO SECUNDARIO</t>
  </si>
  <si>
    <t>Alarcon Flores Cesar Hernan</t>
  </si>
  <si>
    <t>17.222.881-k</t>
  </si>
  <si>
    <t>CODELCO VP CHUQUI</t>
  </si>
  <si>
    <t>Alarcon Guzman Jose Alexi</t>
  </si>
  <si>
    <t>14.391.135-7</t>
  </si>
  <si>
    <t>Alarcon Mardones Luis Leonardo</t>
  </si>
  <si>
    <t>10.040.744-2</t>
  </si>
  <si>
    <t>ARAMARK CAMPAMENTO ZONA NORTE INTERNO</t>
  </si>
  <si>
    <t>Albarran Ramos Jesus Argenis</t>
  </si>
  <si>
    <t>26.747.232-7</t>
  </si>
  <si>
    <t>Albiñez Ceron Pablo Enrique</t>
  </si>
  <si>
    <t>7.881.723-2</t>
  </si>
  <si>
    <t>JEFE TURNO NIVEL 1</t>
  </si>
  <si>
    <t>MANTENCION JM</t>
  </si>
  <si>
    <t>Albornoz Montaño Arnaldo Jose</t>
  </si>
  <si>
    <t>10.370.475-8</t>
  </si>
  <si>
    <t>Albornoz Reyes Oscar Omar</t>
  </si>
  <si>
    <t>12.972.242-8</t>
  </si>
  <si>
    <t>MECANICO</t>
  </si>
  <si>
    <t>MANTENCION CALAMA JM</t>
  </si>
  <si>
    <t>Alcapan Ñancupil Victor Octavio</t>
  </si>
  <si>
    <t>14.036.195-k</t>
  </si>
  <si>
    <t>NOATUM - EL ABRA</t>
  </si>
  <si>
    <t>Alcaras Aliaga Aldo Fernando</t>
  </si>
  <si>
    <t>10.441.844-9</t>
  </si>
  <si>
    <t>Alcayaga Vallejos Omar Enrique</t>
  </si>
  <si>
    <t>14.437.680-3</t>
  </si>
  <si>
    <t>PROYECTO STEEL BOTADERO RIPIO DRT</t>
  </si>
  <si>
    <t>Alcota Azua Carlos Agustin</t>
  </si>
  <si>
    <t>11.629.786-8</t>
  </si>
  <si>
    <t>Aldunce De La Fuente Mauricio Renato</t>
  </si>
  <si>
    <t>10.543.147-3</t>
  </si>
  <si>
    <t>Aldunce Ide Sergio Gerardo</t>
  </si>
  <si>
    <t>8.467.684-5</t>
  </si>
  <si>
    <t>Alfaro Araya Octavio Arnoldo</t>
  </si>
  <si>
    <t>12.445.976-1</t>
  </si>
  <si>
    <t>Alfaro Colarte Mauricio Alejandro</t>
  </si>
  <si>
    <t>13.363.601-3</t>
  </si>
  <si>
    <t>Alfaro Gonzalez Renato Eliseo</t>
  </si>
  <si>
    <t>11.730.553-8</t>
  </si>
  <si>
    <t>Alfaro Rojas Rafael Eduardo</t>
  </si>
  <si>
    <t>11.621.307-9</t>
  </si>
  <si>
    <t>Alfaro Valencia Luis Antonio</t>
  </si>
  <si>
    <t>11.941.415-6</t>
  </si>
  <si>
    <t>Aliaga Rodríguez Jorge Felipe Andrés</t>
  </si>
  <si>
    <t>16.034.684-1</t>
  </si>
  <si>
    <t>Altamirano Benavente Jose Antonio</t>
  </si>
  <si>
    <t>12.701.105-2</t>
  </si>
  <si>
    <t>Altamirano Carrillo Luis Homero</t>
  </si>
  <si>
    <t>12.363.162-5</t>
  </si>
  <si>
    <t>Altamirano Oyanedel Gonzalo Alberto</t>
  </si>
  <si>
    <t>15.742.831-4</t>
  </si>
  <si>
    <t>ARAMARK ESCONDIDA</t>
  </si>
  <si>
    <t>Altamirano Vera Patricio Andres</t>
  </si>
  <si>
    <t>14.358.496-8</t>
  </si>
  <si>
    <t>Alvarado Lopez Sergio Andres</t>
  </si>
  <si>
    <t>15.571.664-9</t>
  </si>
  <si>
    <t>SUPERVISOR DE OPERACIONES</t>
  </si>
  <si>
    <t>Alvarez Alvarez David Edgardo</t>
  </si>
  <si>
    <t>13.748.498-6</t>
  </si>
  <si>
    <t>Alvarez Cortes Hector Fernando</t>
  </si>
  <si>
    <t>10.120.921-0</t>
  </si>
  <si>
    <t>Alvarez Malebran Alexis Manuel</t>
  </si>
  <si>
    <t>12.620.677-1</t>
  </si>
  <si>
    <t>Álvarez Ramírez Andrés Salvador</t>
  </si>
  <si>
    <t>11.647.601-0</t>
  </si>
  <si>
    <t>Álvarez Rivera María Constanza</t>
  </si>
  <si>
    <t>17.409.749-6</t>
  </si>
  <si>
    <t>Álvarez Vega Josue Lucas</t>
  </si>
  <si>
    <t>10.204.867-9</t>
  </si>
  <si>
    <t>ENAEX ANDINA</t>
  </si>
  <si>
    <t>Álvarez Vega Thomas Antonio</t>
  </si>
  <si>
    <t>15.950.851-k</t>
  </si>
  <si>
    <t>JEFE DE OPERACIONES</t>
  </si>
  <si>
    <t>CODELCO DRT</t>
  </si>
  <si>
    <t>Alvial Muñoz Rodrigo Enrique</t>
  </si>
  <si>
    <t>13.629.761-9</t>
  </si>
  <si>
    <t>Andrade Zamora Marcelo Antonio</t>
  </si>
  <si>
    <t>19.131.564-2</t>
  </si>
  <si>
    <t>ARAMARK - PRET</t>
  </si>
  <si>
    <t>Angel Mondaca Eugenio Rafael</t>
  </si>
  <si>
    <t>10.196.088-9</t>
  </si>
  <si>
    <t>Angel Rojas Juan Julio</t>
  </si>
  <si>
    <t>10.484.482-0</t>
  </si>
  <si>
    <t>Anza Colamar Waldo Jorge</t>
  </si>
  <si>
    <t>11.505.737-5</t>
  </si>
  <si>
    <t>Aondio Cortez Victor Manuel</t>
  </si>
  <si>
    <t>16.487.599-7</t>
  </si>
  <si>
    <t>ASISTENTE DE FACTURACION Y COBRANZA</t>
  </si>
  <si>
    <t>FACTURACION Y COBRANZA JM</t>
  </si>
  <si>
    <t>Apablaza Bustamante Alejandro Mario</t>
  </si>
  <si>
    <t>11.729.621-0</t>
  </si>
  <si>
    <t>Apablaza Canales Jorge Luis</t>
  </si>
  <si>
    <t>8.804.066-k</t>
  </si>
  <si>
    <t>MECANICO ELECTRICO</t>
  </si>
  <si>
    <t>Apablaza Canales Richard Henry</t>
  </si>
  <si>
    <t>12.015.765-5</t>
  </si>
  <si>
    <t>Arancibia Avalos Alejandro Mauricio</t>
  </si>
  <si>
    <t>13.216.795-8</t>
  </si>
  <si>
    <t>CONDUCTOR DE TAXI BUS</t>
  </si>
  <si>
    <t>Arancibia Carvajal Eduardo Andres</t>
  </si>
  <si>
    <t>17.468.826-5</t>
  </si>
  <si>
    <t>ARAMARK SIERRA GORDA</t>
  </si>
  <si>
    <t>Arancibia Esbry Luis Humberto</t>
  </si>
  <si>
    <t>10.256.815-k</t>
  </si>
  <si>
    <t>Arancibia Farias Hugo Alberto</t>
  </si>
  <si>
    <t>16.852.446-3</t>
  </si>
  <si>
    <t>Arancibia Hans Annais Mirllaray</t>
  </si>
  <si>
    <t>20.984.843-0</t>
  </si>
  <si>
    <t>ADMINISTRATIVO DE OPERACIONES</t>
  </si>
  <si>
    <t>Arancibia Hernandez Juan Josue</t>
  </si>
  <si>
    <t>20.175.390-2</t>
  </si>
  <si>
    <t>Arancibia Morel Eduardo Ernesto</t>
  </si>
  <si>
    <t>8.071.239-1</t>
  </si>
  <si>
    <t>Arancibia Pereira Marcos Hugo</t>
  </si>
  <si>
    <t>10.878.018-5</t>
  </si>
  <si>
    <t>Arancibia Salazar Fernando Dario</t>
  </si>
  <si>
    <t>9.049.676-k</t>
  </si>
  <si>
    <t>Arancibia Silva Alfredo Julio</t>
  </si>
  <si>
    <t>8.503.408-1</t>
  </si>
  <si>
    <t>Arancibia Tapia Sergio Hernan</t>
  </si>
  <si>
    <t>7.616.574-2</t>
  </si>
  <si>
    <t>FINNING ARMADO DAND</t>
  </si>
  <si>
    <t>Arancibia Tarifeño Gaston Lincon</t>
  </si>
  <si>
    <t>13.753.326-k</t>
  </si>
  <si>
    <t>Arancibia Vargas Juan Robinson</t>
  </si>
  <si>
    <t>10.351.655-2</t>
  </si>
  <si>
    <t>Arancibia Vasquez Benito Antonio</t>
  </si>
  <si>
    <t>15.090.736-5</t>
  </si>
  <si>
    <t>SUPERVISOR DE TRANSPORTE</t>
  </si>
  <si>
    <t>Aranda Cañete Cristian Mario</t>
  </si>
  <si>
    <t>10.980.425-8</t>
  </si>
  <si>
    <t>Araneda Espinoza Alexis Antonio</t>
  </si>
  <si>
    <t>9.791.156-8</t>
  </si>
  <si>
    <t>Aravena Alarcon Claudio Ivan</t>
  </si>
  <si>
    <t>7.464.971-8</t>
  </si>
  <si>
    <t>SERVICIOS ESPECIALES INTERURBANO</t>
  </si>
  <si>
    <t>Aravena Martinez Fernando Humberto</t>
  </si>
  <si>
    <t>10.977.870-2</t>
  </si>
  <si>
    <t>Aravena Narbona Alejandra Andrea</t>
  </si>
  <si>
    <t>18.346.826-k</t>
  </si>
  <si>
    <t>JEFE DE CONTROL DE GESTION</t>
  </si>
  <si>
    <t>CONTABILIDAD JM</t>
  </si>
  <si>
    <t>Aravena Vicencio Elizabeth Del Pilar</t>
  </si>
  <si>
    <t>16.702.549-8</t>
  </si>
  <si>
    <t>Araya Adonis Eduardo Patricio</t>
  </si>
  <si>
    <t>9.140.699-3</t>
  </si>
  <si>
    <t>ADMINISTRACION CALAMA</t>
  </si>
  <si>
    <t>Araya Alvarado Joaquin Humberto</t>
  </si>
  <si>
    <t>15.817.325-5</t>
  </si>
  <si>
    <t>Araya Araya Ronald Esteban</t>
  </si>
  <si>
    <t>15.981.752-0</t>
  </si>
  <si>
    <t>Araya Arevalo Enrique Osvaldo</t>
  </si>
  <si>
    <t>12.838.747-1</t>
  </si>
  <si>
    <t>Araya Argandoña Enrique Antonio</t>
  </si>
  <si>
    <t>10.235.039-1</t>
  </si>
  <si>
    <t>Araya Campaña Roberto Daniel</t>
  </si>
  <si>
    <t>12.770.350-7</t>
  </si>
  <si>
    <t>Araya Cangana Jorge Aníbal</t>
  </si>
  <si>
    <t>12.170.467-6</t>
  </si>
  <si>
    <t>Araya Canivilo Marcelo Rolando</t>
  </si>
  <si>
    <t>13.329.284-5</t>
  </si>
  <si>
    <t>Araya Castillo Rodrigo Benedicto</t>
  </si>
  <si>
    <t>13.359.982-7</t>
  </si>
  <si>
    <t>DMC CENTINELA</t>
  </si>
  <si>
    <t>Araya Contreras Luis Haroldo</t>
  </si>
  <si>
    <t>14.347.933-1</t>
  </si>
  <si>
    <t>Araya Contreras Manuel Jesús</t>
  </si>
  <si>
    <t>10.195.464-1</t>
  </si>
  <si>
    <t>Araya Figueroa Alonso Del Valle</t>
  </si>
  <si>
    <t>7.148.100-k</t>
  </si>
  <si>
    <t>Araya Figueroa Francisco Javier</t>
  </si>
  <si>
    <t>9.809.609-4</t>
  </si>
  <si>
    <t>Araya Herrera Macarena Solange</t>
  </si>
  <si>
    <t>18.563.138-9</t>
  </si>
  <si>
    <t>ANALISTA DE TESORERIA</t>
  </si>
  <si>
    <t>TESORERIA JM</t>
  </si>
  <si>
    <t>Araya Luna Tomas Alejandro</t>
  </si>
  <si>
    <t>11.939.547-k</t>
  </si>
  <si>
    <t>Araya Mendez Cristian Alexis</t>
  </si>
  <si>
    <t>10.944.181-3</t>
  </si>
  <si>
    <t>Araya Monardes Claudio Mauricio</t>
  </si>
  <si>
    <t>12.576.366-9</t>
  </si>
  <si>
    <t>BERLIAM ZALDIVAR</t>
  </si>
  <si>
    <t>Araya Muñoz Alejandro Enrique</t>
  </si>
  <si>
    <t>10.683.012-6</t>
  </si>
  <si>
    <t>Araya Nettle Raul Edgardo</t>
  </si>
  <si>
    <t>7.979.576-3</t>
  </si>
  <si>
    <t>BERLIAM DRT CHANCADO</t>
  </si>
  <si>
    <t>Araya Nuñez Ibar Orlando</t>
  </si>
  <si>
    <t>9.682.802-0</t>
  </si>
  <si>
    <t>Araya Ocayo Isidro Eleazar</t>
  </si>
  <si>
    <t>10.850.917-1</t>
  </si>
  <si>
    <t>Araya Olavarria Cristian Erwin</t>
  </si>
  <si>
    <t>10.684.809-2</t>
  </si>
  <si>
    <t>Araya Pizarro Edgardo Antonio</t>
  </si>
  <si>
    <t>13.535.834-7</t>
  </si>
  <si>
    <t>Araya Ramos Oscar Rubén</t>
  </si>
  <si>
    <t>10.977.185-6</t>
  </si>
  <si>
    <t>SCHWAGER DCH</t>
  </si>
  <si>
    <t>Araya Urbina Alfredo Ricardo</t>
  </si>
  <si>
    <t>13.095.396-4</t>
  </si>
  <si>
    <t>Araya Veas Carmen Isabel</t>
  </si>
  <si>
    <t>8.879.476-1</t>
  </si>
  <si>
    <t>Araya Veas Irma Ester</t>
  </si>
  <si>
    <t>12.419.515-2</t>
  </si>
  <si>
    <t>Arce Miranda Claudio Andres</t>
  </si>
  <si>
    <t>12.817.960-7</t>
  </si>
  <si>
    <t>Arce Quevedo Valentina Macarena</t>
  </si>
  <si>
    <t>18.840.314-k</t>
  </si>
  <si>
    <t>INGENIERO DE ESTUDIOS</t>
  </si>
  <si>
    <t>COMERCIAL JM</t>
  </si>
  <si>
    <t>Arellano Campos Octavio Enrique</t>
  </si>
  <si>
    <t>8.991.935-5</t>
  </si>
  <si>
    <t>Arenas Lira Roberto Antonio</t>
  </si>
  <si>
    <t>9.382.610-8</t>
  </si>
  <si>
    <t>Arévalo León Vicente Esteban</t>
  </si>
  <si>
    <t>22.388.255-2</t>
  </si>
  <si>
    <t>AYUDANTE MECANICO</t>
  </si>
  <si>
    <t>Arias Gutiérrez Eduardo Alejandro Miguel</t>
  </si>
  <si>
    <t>10.281.427-4</t>
  </si>
  <si>
    <t>Arias Martinez Romina Sandy</t>
  </si>
  <si>
    <t>17.093.917-4</t>
  </si>
  <si>
    <t>Arias Quintana Joel Abner</t>
  </si>
  <si>
    <t>9.148.592-3</t>
  </si>
  <si>
    <t>Arias Ramos José Miguel</t>
  </si>
  <si>
    <t>15.023.550-2</t>
  </si>
  <si>
    <t>Arias Tello Jorge Oriel</t>
  </si>
  <si>
    <t>13.216.612-9</t>
  </si>
  <si>
    <t>Arratia Carcamo Isac Pablo</t>
  </si>
  <si>
    <t>14.094.462-9</t>
  </si>
  <si>
    <t>ADMINISTRADOR DE CONTRATOS</t>
  </si>
  <si>
    <t>Arredondo Villarroel Alfredo Patricio</t>
  </si>
  <si>
    <t>13.536.121-6</t>
  </si>
  <si>
    <t>Arriagada Arriagada Rodrigo Alejandro</t>
  </si>
  <si>
    <t>14.194.122-4</t>
  </si>
  <si>
    <t>Arriagada Melo Ivan Rodrigo</t>
  </si>
  <si>
    <t>12.869.777-2</t>
  </si>
  <si>
    <t>NEWREST ANTUCOYA SIMSA</t>
  </si>
  <si>
    <t>Arroyo . Juan Marcelo</t>
  </si>
  <si>
    <t>14.744.920-8</t>
  </si>
  <si>
    <t>Ascencio Ascencio Gonzalo Adolfo</t>
  </si>
  <si>
    <t>17.975.735-4</t>
  </si>
  <si>
    <t>MANTENEDOR DE ASISTENCIA EN RUTA</t>
  </si>
  <si>
    <t>Ascencio Leiva Mylene Alejandra Yamile</t>
  </si>
  <si>
    <t>11.819.667-8</t>
  </si>
  <si>
    <t>ARAMARK GABY INTERNO</t>
  </si>
  <si>
    <t>Astorga Muñoz Carmen Gloria</t>
  </si>
  <si>
    <t>11.730.107-9</t>
  </si>
  <si>
    <t>Astorga Plaza Luis Edgardo</t>
  </si>
  <si>
    <t>14.296.600-k</t>
  </si>
  <si>
    <t>Astorga Riquelme Victor Orlando</t>
  </si>
  <si>
    <t>14.237.581-8</t>
  </si>
  <si>
    <t>Astudillo Aguilera Luis Ernesto</t>
  </si>
  <si>
    <t>7.388.986-3</t>
  </si>
  <si>
    <t>Astudillo Belmar Héctor Javier</t>
  </si>
  <si>
    <t>12.534.218-3</t>
  </si>
  <si>
    <t>Astudillo Correa Victor Rodrigo</t>
  </si>
  <si>
    <t>12.447.766-2</t>
  </si>
  <si>
    <t>Astudillo Matta Rodrigo Andres</t>
  </si>
  <si>
    <t>19.471.086-0</t>
  </si>
  <si>
    <t>Astudillo Valdebenito Camilo Cesar</t>
  </si>
  <si>
    <t>13.896.049-8</t>
  </si>
  <si>
    <t>Avalos Ossandon Jorge Andres</t>
  </si>
  <si>
    <t>11.721.561-k</t>
  </si>
  <si>
    <t>Avendaño Diaz Ernesto Alejandro</t>
  </si>
  <si>
    <t>17.655.659-5</t>
  </si>
  <si>
    <t>Avila Sandoval Marcelino Edilberto</t>
  </si>
  <si>
    <t>22.096.654-2</t>
  </si>
  <si>
    <t>Aviles Hidalgo Ramon Osciel</t>
  </si>
  <si>
    <t>12.576.066-k</t>
  </si>
  <si>
    <t>Ayala Ibaceta Roberto Jose</t>
  </si>
  <si>
    <t>7.615.632-8</t>
  </si>
  <si>
    <t>Ayavire Cruz Roxana Irene</t>
  </si>
  <si>
    <t>13.633.606-1</t>
  </si>
  <si>
    <t>ADMINISTRATIVO RRHH</t>
  </si>
  <si>
    <t>Baeza Fredes Ivan Arturo</t>
  </si>
  <si>
    <t>10.704.305-5</t>
  </si>
  <si>
    <t>Bahamondes Fuentes Marco Andrés</t>
  </si>
  <si>
    <t>8.842.437-9</t>
  </si>
  <si>
    <t>Bahamondes Gonzalez Humberto Sergio</t>
  </si>
  <si>
    <t>7.652.388-6</t>
  </si>
  <si>
    <t>BODEGA JM</t>
  </si>
  <si>
    <t>Bahamondes Parada Pablo Antonio</t>
  </si>
  <si>
    <t>14.390.190-4</t>
  </si>
  <si>
    <t>Balarezo Azua Ivan Manuel</t>
  </si>
  <si>
    <t>10.006.673-4</t>
  </si>
  <si>
    <t>Barboza Puca Juan Andres</t>
  </si>
  <si>
    <t>6.632.607-1</t>
  </si>
  <si>
    <t>Barra Leiva Jorge Waldo</t>
  </si>
  <si>
    <t>13.363.957-8</t>
  </si>
  <si>
    <t>JEFE DE PREVENCION DE RIESGOS</t>
  </si>
  <si>
    <t>Barra Peña Jonathan Alexis</t>
  </si>
  <si>
    <t>17.899.124-8</t>
  </si>
  <si>
    <t>PREVENCIONISTA DE RIESGOS</t>
  </si>
  <si>
    <t>Barraza Barraza Jorge Alejandro</t>
  </si>
  <si>
    <t>12.949.036-5</t>
  </si>
  <si>
    <t>Barraza Bruna Daniel Jesus</t>
  </si>
  <si>
    <t>8.893.029-0</t>
  </si>
  <si>
    <t>Barraza Cabrera Giovani Enrique</t>
  </si>
  <si>
    <t>16.306.177-5</t>
  </si>
  <si>
    <t>Barraza González Caleb Isaac</t>
  </si>
  <si>
    <t>9.705.539-4</t>
  </si>
  <si>
    <t>Barraza La Fuente Alejandro Marcelo</t>
  </si>
  <si>
    <t>12.581.334-8</t>
  </si>
  <si>
    <t>Barraza Mera Andrés Giancarlo</t>
  </si>
  <si>
    <t>16.467.245-k</t>
  </si>
  <si>
    <t>Barraza Suares Pedro Hernán</t>
  </si>
  <si>
    <t>13.529.137-4</t>
  </si>
  <si>
    <t>Barrera Acevedo Marcelo Camilo</t>
  </si>
  <si>
    <t>INSTRUCTOR DE SERVICIOS</t>
  </si>
  <si>
    <t>Barrera Jofre Oscar Ernesto</t>
  </si>
  <si>
    <t>9.142.419-3</t>
  </si>
  <si>
    <t>Barrera Olmos Julio Cesar</t>
  </si>
  <si>
    <t>8.995.927-6</t>
  </si>
  <si>
    <t>Barrera Otarola Rogers Franchescoly</t>
  </si>
  <si>
    <t>16.702.339-8</t>
  </si>
  <si>
    <t>Barrera Parra Hector Jaime</t>
  </si>
  <si>
    <t>11.944.525-6</t>
  </si>
  <si>
    <t>Barría Vásquez Luis Guillermo</t>
  </si>
  <si>
    <t>21.980.642-6</t>
  </si>
  <si>
    <t>Bartolomé Tejerina Bárbara Grace</t>
  </si>
  <si>
    <t>16.259.341-2</t>
  </si>
  <si>
    <t>Bastias Burgos Carlos Alberto</t>
  </si>
  <si>
    <t>12.621.958-k</t>
  </si>
  <si>
    <t>ANALISTA CONTABLE SENIOR</t>
  </si>
  <si>
    <t>Bedoya Sanchez Andres Felipe</t>
  </si>
  <si>
    <t>26.453.548-4</t>
  </si>
  <si>
    <t>JEFE DE BODEGA</t>
  </si>
  <si>
    <t>Beiza Valenzuela Veronica Elizabeth</t>
  </si>
  <si>
    <t>14.253.840-7</t>
  </si>
  <si>
    <t>Benavides Astorga Francisco Gabriel</t>
  </si>
  <si>
    <t>18.680.388-4</t>
  </si>
  <si>
    <t>FINNING MARC DAND</t>
  </si>
  <si>
    <t>Bermudez Mogrobejo Reynaldo Dionicio</t>
  </si>
  <si>
    <t>27.679.003-k</t>
  </si>
  <si>
    <t>Bernal Codo Jorge Osvaldo</t>
  </si>
  <si>
    <t>11.399.925-k</t>
  </si>
  <si>
    <t>Bernal Valverde Alejandra Ester</t>
  </si>
  <si>
    <t>11.399.397-9</t>
  </si>
  <si>
    <t>JEFE DE RRHH</t>
  </si>
  <si>
    <t>Berrios Gatica Alejandro Manuel</t>
  </si>
  <si>
    <t>12.484.430-4</t>
  </si>
  <si>
    <t>Berrios Maturana Sebastián Andrés</t>
  </si>
  <si>
    <t>16.421.844-9</t>
  </si>
  <si>
    <t>Berrios Mena Camila Ivonne</t>
  </si>
  <si>
    <t>20.408.899-3</t>
  </si>
  <si>
    <t>Bolados Alvarez Juan Felipe</t>
  </si>
  <si>
    <t>15.969.544-1</t>
  </si>
  <si>
    <t>Boldrini Godoy Rodolfo Eduardo</t>
  </si>
  <si>
    <t>9.957.957-9</t>
  </si>
  <si>
    <t>Bolivar Cabello Mario Ricardo</t>
  </si>
  <si>
    <t>13.251.695-2</t>
  </si>
  <si>
    <t>Bonta Castillo Javier Esteban</t>
  </si>
  <si>
    <t>18.201.662-4</t>
  </si>
  <si>
    <t>COORDINADOR OPERATIVO DE TRANSPORTE</t>
  </si>
  <si>
    <t>Borda Gonzalez Barbara Scarleth</t>
  </si>
  <si>
    <t>20.093.386-9</t>
  </si>
  <si>
    <t>SECRETARIO TECNICO</t>
  </si>
  <si>
    <t>Bordones Campillay Alfredo Galvin</t>
  </si>
  <si>
    <t>11.934.726-2</t>
  </si>
  <si>
    <t>Borguero Sepulveda Cristian Mauricio</t>
  </si>
  <si>
    <t>12.531.219-5</t>
  </si>
  <si>
    <t>Borquez Belmar Ricardo Del Carmen</t>
  </si>
  <si>
    <t>8.928.353-1</t>
  </si>
  <si>
    <t>Borquez Guerra Juan Cristobal</t>
  </si>
  <si>
    <t>16.851.516-2</t>
  </si>
  <si>
    <t>Borquez Rojas Javier Andres</t>
  </si>
  <si>
    <t>12.579.038-0</t>
  </si>
  <si>
    <t>Brante Román Luis Alberto</t>
  </si>
  <si>
    <t>9.870.090-0</t>
  </si>
  <si>
    <t>Bravo Velasco Hugo Jesus</t>
  </si>
  <si>
    <t>15.738.119-9</t>
  </si>
  <si>
    <t>Bravo Vergara Robinson Cipriano</t>
  </si>
  <si>
    <t>9.922.711-7</t>
  </si>
  <si>
    <t>Briceño Cortes Vicente Ignacio</t>
  </si>
  <si>
    <t>19.214.717-4</t>
  </si>
  <si>
    <t>Briceño Gálvez Jaime Andrés</t>
  </si>
  <si>
    <t>15.056.288-0</t>
  </si>
  <si>
    <t>Briceño Soumastres Manuel Rogelio</t>
  </si>
  <si>
    <t>8.846.165-7</t>
  </si>
  <si>
    <t>Briones Diaz Cristian Hernan</t>
  </si>
  <si>
    <t>10.229.457-2</t>
  </si>
  <si>
    <t>Brito Hurtado Arsael</t>
  </si>
  <si>
    <t>24.954.346-2</t>
  </si>
  <si>
    <t>CONDUCTOR MINIBUS 4X2</t>
  </si>
  <si>
    <t>SOTRASER-DMH</t>
  </si>
  <si>
    <t>Bruna Castro Fabian Alfredo</t>
  </si>
  <si>
    <t>17.971.739-5</t>
  </si>
  <si>
    <t>Bruna Castro Juan Segundo</t>
  </si>
  <si>
    <t>16.874.289-4</t>
  </si>
  <si>
    <t>Bruna Silva Miguel Patricio</t>
  </si>
  <si>
    <t>18.259.004-5</t>
  </si>
  <si>
    <t>Bueno Gonzalez Luis Alberto</t>
  </si>
  <si>
    <t>11.854.981-3</t>
  </si>
  <si>
    <t>Bugueño Henriquez Cristian Aliro</t>
  </si>
  <si>
    <t>15.770.214-9</t>
  </si>
  <si>
    <t>Bugueño Loreto Nelson Sergio</t>
  </si>
  <si>
    <t>12.212.759-1</t>
  </si>
  <si>
    <t>NEWREST - QB PUERTO TECK</t>
  </si>
  <si>
    <t>Burgos Ogalde Alex Leonardo</t>
  </si>
  <si>
    <t>10.766.316-9</t>
  </si>
  <si>
    <t>Burgos Rubilar Mauricio Enrique</t>
  </si>
  <si>
    <t>14.426.110-0</t>
  </si>
  <si>
    <t>NEWREST ZALDIVAR</t>
  </si>
  <si>
    <t>Burgos Saez Abel De La Cruz</t>
  </si>
  <si>
    <t>14.298.468-7</t>
  </si>
  <si>
    <t>Bustamante Jimenez Patricio Alberto</t>
  </si>
  <si>
    <t>12.347.746-4</t>
  </si>
  <si>
    <t>Bustamante Muñoz Eduardo Ariel</t>
  </si>
  <si>
    <t>14.304.955-8</t>
  </si>
  <si>
    <t>Bustos Meza Waldo Antonio</t>
  </si>
  <si>
    <t>9.710.121-3</t>
  </si>
  <si>
    <t>Bustos Molina Jocsan David</t>
  </si>
  <si>
    <t>12.929.654-2</t>
  </si>
  <si>
    <t>But Pacheco Vannia Arlette</t>
  </si>
  <si>
    <t>18.853.192-k</t>
  </si>
  <si>
    <t>RECURSOS HUMANOS ZONA NORTE</t>
  </si>
  <si>
    <t>Caballero Carrasco Javier Ricardo</t>
  </si>
  <si>
    <t>11.517.519-k</t>
  </si>
  <si>
    <t>Cabello Saavedra Yadra Erick</t>
  </si>
  <si>
    <t>13.529.964-2</t>
  </si>
  <si>
    <t>Cabrera Recabarren Octavio Guillermo</t>
  </si>
  <si>
    <t>17.356.632-8</t>
  </si>
  <si>
    <t>JEFE DE TURNO</t>
  </si>
  <si>
    <t>Cáceres Angel Diego Alonso</t>
  </si>
  <si>
    <t>19.301.592-1</t>
  </si>
  <si>
    <t>Caceres Aravena Luis Bernardo</t>
  </si>
  <si>
    <t>15.259.095-4</t>
  </si>
  <si>
    <t>Caceres Castillo Joaquin Eduardo</t>
  </si>
  <si>
    <t>11.188.872-8</t>
  </si>
  <si>
    <t>Cáceres Coca Orlando Cesáreo</t>
  </si>
  <si>
    <t>10.731.942-5</t>
  </si>
  <si>
    <t>Caceres Espinoza Pedro Francisco</t>
  </si>
  <si>
    <t>17.898.004-1</t>
  </si>
  <si>
    <t>Cáceres Muriel Alex Eduardo</t>
  </si>
  <si>
    <t>16.748.721-1</t>
  </si>
  <si>
    <t>FLIX ALGARROBO</t>
  </si>
  <si>
    <t>Caceres Olivares Jose Ramon</t>
  </si>
  <si>
    <t>12.095.158-0</t>
  </si>
  <si>
    <t>Cáceres Seguel Iván Antonio</t>
  </si>
  <si>
    <t>16.729.706-4</t>
  </si>
  <si>
    <t>Caimalquen Navarrete Ricardo Felix</t>
  </si>
  <si>
    <t>12.624.737-0</t>
  </si>
  <si>
    <t>Calderón Núñez Angélica María</t>
  </si>
  <si>
    <t>19.887.937-1</t>
  </si>
  <si>
    <t>ASISTENTE DE RRHH</t>
  </si>
  <si>
    <t>RECURSOS HUMANOS JM</t>
  </si>
  <si>
    <t>Calderon Torres Jorge Fernando</t>
  </si>
  <si>
    <t>8.848.968-3</t>
  </si>
  <si>
    <t>CONDUCTOR DE BUS SALADILLO</t>
  </si>
  <si>
    <t>Calla Moreira Wilfredo</t>
  </si>
  <si>
    <t>22.579.075-2</t>
  </si>
  <si>
    <t>Campos Encina Jose Luis</t>
  </si>
  <si>
    <t>9.274.976-2</t>
  </si>
  <si>
    <t>Campos Orellana Juan Pablo</t>
  </si>
  <si>
    <t>12.963.108-2</t>
  </si>
  <si>
    <t>Campos Segura Juan Antonio</t>
  </si>
  <si>
    <t>16.077.732-k</t>
  </si>
  <si>
    <t>Camus Toro Juan Manuel</t>
  </si>
  <si>
    <t>7.185.204-0</t>
  </si>
  <si>
    <t>CONDUCTOR INTERURBANO</t>
  </si>
  <si>
    <t>Canelo Gonzalez Braulio Sebastian</t>
  </si>
  <si>
    <t>17.994.581-9</t>
  </si>
  <si>
    <t>EXPEDITOR</t>
  </si>
  <si>
    <t>Canelo Lobos Miguel Angel</t>
  </si>
  <si>
    <t>8.872.732-0</t>
  </si>
  <si>
    <t>Caniupan Díaz Jorge Adalberto</t>
  </si>
  <si>
    <t>11.244.871-3</t>
  </si>
  <si>
    <t>Cantillano Cabrera Hernán Patricio</t>
  </si>
  <si>
    <t>12.111.219-1</t>
  </si>
  <si>
    <t>Canto Villegas Eliu Dagoberto</t>
  </si>
  <si>
    <t>15.928.729-7</t>
  </si>
  <si>
    <t>Cañulef Neipan Jaime Andres</t>
  </si>
  <si>
    <t>16.832.369-7</t>
  </si>
  <si>
    <t>Carcamo Manriquez Guido Ivan</t>
  </si>
  <si>
    <t>10.007.926-7</t>
  </si>
  <si>
    <t>Carmona González Luis Rubén</t>
  </si>
  <si>
    <t>10.244.913-4</t>
  </si>
  <si>
    <t>Caro Castillo Alejandro Humberto</t>
  </si>
  <si>
    <t>13.217.436-9</t>
  </si>
  <si>
    <t>Caro Muñoz Juan Antonio</t>
  </si>
  <si>
    <t>8.554.544-2</t>
  </si>
  <si>
    <t>Caro Piérola Eduardo Andrés</t>
  </si>
  <si>
    <t>15.602.476-7</t>
  </si>
  <si>
    <t>JEFE CONTROL DE MANTENCION</t>
  </si>
  <si>
    <t>Caro Pizarro Joel Enrique</t>
  </si>
  <si>
    <t>16.702.700-8</t>
  </si>
  <si>
    <t>Caroca Díaz Marcelo Eugenio</t>
  </si>
  <si>
    <t>11.864.193-0</t>
  </si>
  <si>
    <t>MANTENCION ANTOFAGASTA JM</t>
  </si>
  <si>
    <t>Carrasco Basualto Mauricio Antonio</t>
  </si>
  <si>
    <t>13.431.424-9</t>
  </si>
  <si>
    <t>SUPERVISOR DE TERRENO</t>
  </si>
  <si>
    <t>Carrasco Gonzalez Mario Enrique</t>
  </si>
  <si>
    <t>9.270.338-k</t>
  </si>
  <si>
    <t>Carrasco González Marlene Jeannette</t>
  </si>
  <si>
    <t>10.345.410-7</t>
  </si>
  <si>
    <t>Carreño Mena Julio Ernesto</t>
  </si>
  <si>
    <t>10.390.193-6</t>
  </si>
  <si>
    <t>Carrillo Toloza Iván Enrique</t>
  </si>
  <si>
    <t>10.237.882-2</t>
  </si>
  <si>
    <t>Carrion Cordova Jose Miguel</t>
  </si>
  <si>
    <t>17.300.128-2</t>
  </si>
  <si>
    <t>Cartajena Rives Gonzalo Hernán</t>
  </si>
  <si>
    <t>11.620.367-7</t>
  </si>
  <si>
    <t>Carter Ledezma Arnaldo Javier</t>
  </si>
  <si>
    <t>12.802.123-k</t>
  </si>
  <si>
    <t>Cartes Perez Cristhian Eloy</t>
  </si>
  <si>
    <t>10.040.643-8</t>
  </si>
  <si>
    <t>Carvajal Bucarey Daniel Rodrigo</t>
  </si>
  <si>
    <t>Carvajal Rodríguez Franco Hernaldo</t>
  </si>
  <si>
    <t>13.535.309-4</t>
  </si>
  <si>
    <t>Carvajal Zumaran Gioanny Alexanders</t>
  </si>
  <si>
    <t>19.538.353-7</t>
  </si>
  <si>
    <t>Carvallo Díaz Cristian Ricardo</t>
  </si>
  <si>
    <t>12.665.718-8</t>
  </si>
  <si>
    <t>Casanova Astudillo Aracely Julia</t>
  </si>
  <si>
    <t>18.362.912-3</t>
  </si>
  <si>
    <t>INGENIERO DE CALIDAD</t>
  </si>
  <si>
    <t>Castañeda Munizaga Jose Alejandro</t>
  </si>
  <si>
    <t>12.029.321-4</t>
  </si>
  <si>
    <t>Castañeda Torres Patricio Alejandro</t>
  </si>
  <si>
    <t>16.026.652-k</t>
  </si>
  <si>
    <t>Castillo Arancibia Claudio Hernan</t>
  </si>
  <si>
    <t>15.769.480-4</t>
  </si>
  <si>
    <t>Castillo Arcos Victor Hugo</t>
  </si>
  <si>
    <t>8.101.566-k</t>
  </si>
  <si>
    <t>SK SALARES NORTE</t>
  </si>
  <si>
    <t>Castillo Castillo Sandra Jacqueline</t>
  </si>
  <si>
    <t>11.327.773-4</t>
  </si>
  <si>
    <t>Castillo Cisternas Christian Armando</t>
  </si>
  <si>
    <t>18.679.860-0</t>
  </si>
  <si>
    <t>Castillo Contreras Patricio Antonio Armando</t>
  </si>
  <si>
    <t>16.109.345-9</t>
  </si>
  <si>
    <t>Castillo Diaz Alberto Alejandro</t>
  </si>
  <si>
    <t>15.802.675-9</t>
  </si>
  <si>
    <t>Castillo Díaz Luis Rodrigo</t>
  </si>
  <si>
    <t>14.401.173-2</t>
  </si>
  <si>
    <t>Castillo Gatica Juan Ambrosio</t>
  </si>
  <si>
    <t>15.104.915-k</t>
  </si>
  <si>
    <t>Castillo Herrera Katherine Javiera</t>
  </si>
  <si>
    <t>19.582.273-5</t>
  </si>
  <si>
    <t>RECURSOS HUMANOS PLAZA VIEJA</t>
  </si>
  <si>
    <t>Castillo Huenchunao Mario Eliseo</t>
  </si>
  <si>
    <t>12.735.870-2</t>
  </si>
  <si>
    <t>Castillo Maluenda Sebastian Andres</t>
  </si>
  <si>
    <t>21.209.348-3</t>
  </si>
  <si>
    <t>Castillo Silva Henry Claudio</t>
  </si>
  <si>
    <t>10.398.451-3</t>
  </si>
  <si>
    <t>Castillo Soto Bernabe Leonardo</t>
  </si>
  <si>
    <t>12.948.965-0</t>
  </si>
  <si>
    <t>Castro Antiman Rodrigo Alejandro</t>
  </si>
  <si>
    <t>13.298.992-3</t>
  </si>
  <si>
    <t>Castro Cabrera Jorge Antonio</t>
  </si>
  <si>
    <t>13.184.887-0</t>
  </si>
  <si>
    <t>Castro Campos Andres Osvaldo</t>
  </si>
  <si>
    <t>16.851.762-9</t>
  </si>
  <si>
    <t>Castro Garcés Miguel Angel</t>
  </si>
  <si>
    <t>13.626.760-4</t>
  </si>
  <si>
    <t>Castro Palacios Victor David</t>
  </si>
  <si>
    <t>13.751.866-k</t>
  </si>
  <si>
    <t>SUPERVISOR CONTABLE</t>
  </si>
  <si>
    <t>Castro Salinas Rene Augusto</t>
  </si>
  <si>
    <t>9.421.952-3</t>
  </si>
  <si>
    <t>Castro Salinas Rodolfo Elías</t>
  </si>
  <si>
    <t>13.751.443-5</t>
  </si>
  <si>
    <t>Castro Torres Hector Luis</t>
  </si>
  <si>
    <t>9.544.697-3</t>
  </si>
  <si>
    <t>Cataldo Castillo Jose Ignacio</t>
  </si>
  <si>
    <t>20.525.341-6</t>
  </si>
  <si>
    <t>Cataldo Romero Francisco Javier</t>
  </si>
  <si>
    <t>12.400.400-4</t>
  </si>
  <si>
    <t>Cayo Soto Sonia Cristina</t>
  </si>
  <si>
    <t>14.709.768-9</t>
  </si>
  <si>
    <t>Ceballo Betanzo Richard Rodrigo</t>
  </si>
  <si>
    <t>16.447.614-6</t>
  </si>
  <si>
    <t>Celedón Roco Patricio Andrés</t>
  </si>
  <si>
    <t>20.541.984-5</t>
  </si>
  <si>
    <t>Celedon Rojas Nelson Guillermo</t>
  </si>
  <si>
    <t>9.047.187-2</t>
  </si>
  <si>
    <t>Celman Molina Miguel Angel</t>
  </si>
  <si>
    <t>10.438.385-8</t>
  </si>
  <si>
    <t>Cepeda Aranda Nelson Andres</t>
  </si>
  <si>
    <t>16.305.902-9</t>
  </si>
  <si>
    <t>Cepeda Quijanes Orlando Patricio</t>
  </si>
  <si>
    <t>12.400.909-k</t>
  </si>
  <si>
    <t>Cerda Antiquera Alain Christopher</t>
  </si>
  <si>
    <t>13.973.466-1</t>
  </si>
  <si>
    <t>Cerda Dejeas Juan Bernardo</t>
  </si>
  <si>
    <t>9.293.881-6</t>
  </si>
  <si>
    <t>Cerda Encalada Marcelo Anselmo</t>
  </si>
  <si>
    <t>12.901.836-4</t>
  </si>
  <si>
    <t>Cerda Ovalle Pablo Rodrigo</t>
  </si>
  <si>
    <t>14.357.728-7</t>
  </si>
  <si>
    <t>Cerda Valdebenito Jorge Emilio</t>
  </si>
  <si>
    <t>13.231.061-0</t>
  </si>
  <si>
    <t>Cerda Villarroel Juan Antonio</t>
  </si>
  <si>
    <t>11.505.880-0</t>
  </si>
  <si>
    <t>Cerna Paredes Agustin Alejandro</t>
  </si>
  <si>
    <t>13.795.512-1</t>
  </si>
  <si>
    <t>Cerpa Aucal Sergio Humberto</t>
  </si>
  <si>
    <t>15.541.808-7</t>
  </si>
  <si>
    <t>FLIX QUINTERO</t>
  </si>
  <si>
    <t>Cervela Cifuentes Claudio Andres</t>
  </si>
  <si>
    <t>14.358.592-1</t>
  </si>
  <si>
    <t>Cespedes Fernandez Manuel Alejandro</t>
  </si>
  <si>
    <t>12.950.456-0</t>
  </si>
  <si>
    <t>FLIX SAN FELIPE</t>
  </si>
  <si>
    <t>Cespedes Fernandez Patricio Rodrigo</t>
  </si>
  <si>
    <t>13.980.936-k</t>
  </si>
  <si>
    <t>Chambe Mollo Jose Miguel</t>
  </si>
  <si>
    <t>11.333.813-k</t>
  </si>
  <si>
    <t>Chandía Chandía Albertina Del Carmen</t>
  </si>
  <si>
    <t>8.847.958-0</t>
  </si>
  <si>
    <t>Chaparro Contreras Juan Eduardo</t>
  </si>
  <si>
    <t>11.730.990-8</t>
  </si>
  <si>
    <t>INGRESO Y LIC CONDUCIR DEL CONTRATO</t>
  </si>
  <si>
    <t>Chavez Chavez Domingo Del Transito</t>
  </si>
  <si>
    <t>10.394.006-0</t>
  </si>
  <si>
    <t>Chavez Gomez Humberto Gaston</t>
  </si>
  <si>
    <t>11.729.892-2</t>
  </si>
  <si>
    <t>Chavez Guenante Hector Fermin</t>
  </si>
  <si>
    <t>11.601.334-7</t>
  </si>
  <si>
    <t>Chávez Silva Matías Humberto</t>
  </si>
  <si>
    <t>20.301.566-6</t>
  </si>
  <si>
    <t>Chavez Vivar Nataly Alejandra</t>
  </si>
  <si>
    <t>16.334.010-0</t>
  </si>
  <si>
    <t>Chimaja Chimaja Cristian Javier</t>
  </si>
  <si>
    <t>14.102.282-2</t>
  </si>
  <si>
    <t>Choque Condori Yver Rene</t>
  </si>
  <si>
    <t>22.674.602-1</t>
  </si>
  <si>
    <t>Cifuentes González Rodolfo Andrés</t>
  </si>
  <si>
    <t>15.285.418-8</t>
  </si>
  <si>
    <t>INDIRECTOS ZONA II</t>
  </si>
  <si>
    <t>Cifuentes Morgado Oscar Edgardo</t>
  </si>
  <si>
    <t>10.371.419-2</t>
  </si>
  <si>
    <t>Cisternas Achurra Jose Miguel</t>
  </si>
  <si>
    <t>15.045.573-1</t>
  </si>
  <si>
    <t>Cisternas Jeria Paola Belén</t>
  </si>
  <si>
    <t>20.088.596-1</t>
  </si>
  <si>
    <t>Psicólogo/a Organizacional</t>
  </si>
  <si>
    <t>RECURSOS HUMANOS CNN</t>
  </si>
  <si>
    <t>Cisternas Soldavino Juan Miguel</t>
  </si>
  <si>
    <t>6.602.440-7</t>
  </si>
  <si>
    <t>Clavero Leiva Felipe Alejandro</t>
  </si>
  <si>
    <t>14.101.521-4</t>
  </si>
  <si>
    <t>Colarte Villalon Nestor Segundo</t>
  </si>
  <si>
    <t>14.417.119-5</t>
  </si>
  <si>
    <t>Coliboro Díaz Claudio Andrés</t>
  </si>
  <si>
    <t>16.160.148-9</t>
  </si>
  <si>
    <t>Collado Aracena César Andrés</t>
  </si>
  <si>
    <t>16.333.679-0</t>
  </si>
  <si>
    <t>Collao Contreras Leonidas Salvador</t>
  </si>
  <si>
    <t>17.469.166-5</t>
  </si>
  <si>
    <t>INGENIERO AMBIENTAL</t>
  </si>
  <si>
    <t>PREVENCION DE RIESGOS JM</t>
  </si>
  <si>
    <t>Collao Lazo Marcela Del Carmen</t>
  </si>
  <si>
    <t>11.944.257-5</t>
  </si>
  <si>
    <t>Collao Olivares José Miguel</t>
  </si>
  <si>
    <t>10.580.707-4</t>
  </si>
  <si>
    <t>Comihual Espinoza Raul Omar</t>
  </si>
  <si>
    <t>7.602.662-9</t>
  </si>
  <si>
    <t>Concha De La Cruz Marco Esteban</t>
  </si>
  <si>
    <t>12.556.745-2</t>
  </si>
  <si>
    <t>Concha Gomez Carlos Alberto</t>
  </si>
  <si>
    <t>11.623.282-0</t>
  </si>
  <si>
    <t>Concha Mirabal Oscar Jonnathan</t>
  </si>
  <si>
    <t>17.829.106-8</t>
  </si>
  <si>
    <t>JEFE DE PREVENCIÓN DE RIESGOS</t>
  </si>
  <si>
    <t>Concha Saez Ismael Luis</t>
  </si>
  <si>
    <t>9.697.929-0</t>
  </si>
  <si>
    <t>Conde Forero Hermes Ivan</t>
  </si>
  <si>
    <t>27.437.890-5</t>
  </si>
  <si>
    <t>Conejeros Calderon Marcelo Gabriel</t>
  </si>
  <si>
    <t>12.774.799-7</t>
  </si>
  <si>
    <t>Contreras . Eduardo Domingo</t>
  </si>
  <si>
    <t>9.544.456-3</t>
  </si>
  <si>
    <t>Contreras Araya Viviana Natali</t>
  </si>
  <si>
    <t>15.969.698-7</t>
  </si>
  <si>
    <t>Contreras Astudillo Guillermo Antonio</t>
  </si>
  <si>
    <t>8.979.956-2</t>
  </si>
  <si>
    <t>ARAMARK CAMPAMENTO ZONA NORTE</t>
  </si>
  <si>
    <t>Contreras Cortes Mario Elias</t>
  </si>
  <si>
    <t>10.277.434-5</t>
  </si>
  <si>
    <t>Contreras Hernandez Mario Willman</t>
  </si>
  <si>
    <t>13.981.723-0</t>
  </si>
  <si>
    <t>Contreras Herrera Martin Alfonso</t>
  </si>
  <si>
    <t>19.788.391-k</t>
  </si>
  <si>
    <t>ASISTENTE DE ADQUISICIONES</t>
  </si>
  <si>
    <t>ABASTECIMIENTO JM</t>
  </si>
  <si>
    <t>Contreras Molina Estefanía José</t>
  </si>
  <si>
    <t>18.113.658-8</t>
  </si>
  <si>
    <t>Contreras Palavecino Héctor Moisés</t>
  </si>
  <si>
    <t>17.971.444-2</t>
  </si>
  <si>
    <t>Contreras Pastén Alejandro Manuel</t>
  </si>
  <si>
    <t>16.565.851-5</t>
  </si>
  <si>
    <t>Contreras Ramirez Bernardino Fortunato</t>
  </si>
  <si>
    <t>11.944.971-5</t>
  </si>
  <si>
    <t>Contreras Rapiman Luis Antonio</t>
  </si>
  <si>
    <t>14.255.261-2</t>
  </si>
  <si>
    <t>Contreras Uribe Víctor Hugo</t>
  </si>
  <si>
    <t>13.827.306-7</t>
  </si>
  <si>
    <t>Copa Calcina Emilio</t>
  </si>
  <si>
    <t>14.647.384-9</t>
  </si>
  <si>
    <t>Corbacho Tilbe Eduardo Mauricio</t>
  </si>
  <si>
    <t>14.454.819-1</t>
  </si>
  <si>
    <t>Cordero  Eudys Yudar</t>
  </si>
  <si>
    <t>26.067.393-9</t>
  </si>
  <si>
    <t>Córdova Fuentes Fernando Jesús</t>
  </si>
  <si>
    <t>10.981.544-6</t>
  </si>
  <si>
    <t>Cordova Reyes Jaime Osvaldo</t>
  </si>
  <si>
    <t>10.435.544-7</t>
  </si>
  <si>
    <t>Córdova Videla Felipe Andrés</t>
  </si>
  <si>
    <t>15.554.697-2</t>
  </si>
  <si>
    <t>BODEGUERO</t>
  </si>
  <si>
    <t>Cornejo Pino Miguel Ángel</t>
  </si>
  <si>
    <t>10.396.058-4</t>
  </si>
  <si>
    <t>Cornejo Sanchez Waldo Ralff</t>
  </si>
  <si>
    <t>11.731.733-1</t>
  </si>
  <si>
    <t>ANALISTA DE OPERACIONES</t>
  </si>
  <si>
    <t>CONTROL FLOTA JM</t>
  </si>
  <si>
    <t>Corral Vargas Carlos Maximiliano Alexander</t>
  </si>
  <si>
    <t>19.254.267-7</t>
  </si>
  <si>
    <t>INDIRECTOS ZONA III</t>
  </si>
  <si>
    <t>Correa Bravo Wenceslao Arturo</t>
  </si>
  <si>
    <t>13.717.842-7</t>
  </si>
  <si>
    <t>Cortes Angel Pedro Nelson</t>
  </si>
  <si>
    <t>13.219.120-4</t>
  </si>
  <si>
    <t>EL PEÑON</t>
  </si>
  <si>
    <t>Cortés Araya Isabel Gladys</t>
  </si>
  <si>
    <t>11.784.345-9</t>
  </si>
  <si>
    <t>Cortes Contreras Augusto Antonio</t>
  </si>
  <si>
    <t>9.494.528-3</t>
  </si>
  <si>
    <t>Cortés Contreras Robinson Hernán</t>
  </si>
  <si>
    <t>13.329.908-4</t>
  </si>
  <si>
    <t>Cortés Córdova Angelo Francisco</t>
  </si>
  <si>
    <t>12.949.074-8</t>
  </si>
  <si>
    <t>FLIX SANTIAGO</t>
  </si>
  <si>
    <t>Cortes Cortes Rafael Segundo</t>
  </si>
  <si>
    <t>8.977.294-k</t>
  </si>
  <si>
    <t>Cortés Durán Gustavo Nicolas</t>
  </si>
  <si>
    <t>22.009.060-4</t>
  </si>
  <si>
    <t>Cortes Espejo Adolfo Andres</t>
  </si>
  <si>
    <t>13.363.703-6</t>
  </si>
  <si>
    <t>Cortés Espejo Raúl Alejandro</t>
  </si>
  <si>
    <t>12.950.738-1</t>
  </si>
  <si>
    <t>Cortés Gallardo Favián Eduardo</t>
  </si>
  <si>
    <t>19.463.316-5</t>
  </si>
  <si>
    <t>Cortés Lazcano Leonardo Alejandro</t>
  </si>
  <si>
    <t>10.365.730-k</t>
  </si>
  <si>
    <t>Cortés Lugo Ivan Alejandro</t>
  </si>
  <si>
    <t>17.655.635-8</t>
  </si>
  <si>
    <t>JEFE DE PREVENCION DE RIESGOS ZONA NORTE</t>
  </si>
  <si>
    <t>INDIRECTO ZONA II CNN</t>
  </si>
  <si>
    <t>Cortés Lugo Mayori Del Carmen</t>
  </si>
  <si>
    <t>19.537.726-k</t>
  </si>
  <si>
    <t>Cortes Martinez Marcos Antonio</t>
  </si>
  <si>
    <t>12.703.451-6</t>
  </si>
  <si>
    <t>Cortes Matus Rolando Patricio</t>
  </si>
  <si>
    <t>10.149.520-5</t>
  </si>
  <si>
    <t>Cortés Ramírez Sergio Ernesto</t>
  </si>
  <si>
    <t>10.676.614-2</t>
  </si>
  <si>
    <t>Cortes Vasquez Jose Alejandro</t>
  </si>
  <si>
    <t>10.988.719-6</t>
  </si>
  <si>
    <t>Cortés Vilches Patricio Josue Jonas</t>
  </si>
  <si>
    <t>16.306.792-7</t>
  </si>
  <si>
    <t>Cortez Carrasco Enrique Alexis</t>
  </si>
  <si>
    <t>13.209.316-4</t>
  </si>
  <si>
    <t>Cortez Gutierrez Luis Alberto</t>
  </si>
  <si>
    <t>7.590.853-9</t>
  </si>
  <si>
    <t>Cortez Henriquez Alejandro Andres</t>
  </si>
  <si>
    <t>14.357.916-6</t>
  </si>
  <si>
    <t>FLUOR - EL ABRA</t>
  </si>
  <si>
    <t>Cortez Oyarzun Rodolfo Alejandro</t>
  </si>
  <si>
    <t>16.456.613-7</t>
  </si>
  <si>
    <t>Cortez Tapia Cristopher David</t>
  </si>
  <si>
    <t>17.819.169-1</t>
  </si>
  <si>
    <t>ENCARGADO SGI</t>
  </si>
  <si>
    <t>Cortez Tapia Daniela Paz</t>
  </si>
  <si>
    <t>19.267.975-3</t>
  </si>
  <si>
    <t>Corvalan Vergara Margarita Estelvina</t>
  </si>
  <si>
    <t>10.376.112-3</t>
  </si>
  <si>
    <t>SECRETARIA</t>
  </si>
  <si>
    <t>Covarrubias Carrasco Onofre Humberto</t>
  </si>
  <si>
    <t>17.164.489-5</t>
  </si>
  <si>
    <t>Cox Maturana Christian Manuel Alejandro</t>
  </si>
  <si>
    <t>17.017.328-7</t>
  </si>
  <si>
    <t>Coz Coz Fabian Andrés</t>
  </si>
  <si>
    <t>18.036.211-8</t>
  </si>
  <si>
    <t>Cruz Arhuire Bo Akin</t>
  </si>
  <si>
    <t>14.677.589-6</t>
  </si>
  <si>
    <t>Cruz Ayabire Guillermo Andrés</t>
  </si>
  <si>
    <t>12.348.547-5</t>
  </si>
  <si>
    <t>Cruz Barrera Claudio Enrique</t>
  </si>
  <si>
    <t>9.423.174-4</t>
  </si>
  <si>
    <t>Cruz Berna Mónica De Jesús</t>
  </si>
  <si>
    <t>18.400.266-3</t>
  </si>
  <si>
    <t>Cruz Cruz Carlos Robin</t>
  </si>
  <si>
    <t>11.505.885-1</t>
  </si>
  <si>
    <t>Cruz Guerrero Mercedes Aurora</t>
  </si>
  <si>
    <t>12.569.128-5</t>
  </si>
  <si>
    <t>Cruz Macaya Guerald Antonio</t>
  </si>
  <si>
    <t>15.544.419-3</t>
  </si>
  <si>
    <t>Cruz Macaya Jorge Ignacio</t>
  </si>
  <si>
    <t>16.042.779-5</t>
  </si>
  <si>
    <t>Cruz Ramos Manuel Jesus</t>
  </si>
  <si>
    <t>8.283.033-2</t>
  </si>
  <si>
    <t>ICV DMH CHUQUI</t>
  </si>
  <si>
    <t>Cruz Ramos Pedro</t>
  </si>
  <si>
    <t>7.830.399-9</t>
  </si>
  <si>
    <t>Cruzat Silva Patricio Alberto</t>
  </si>
  <si>
    <t>12.070.362-5</t>
  </si>
  <si>
    <t>Cuadra Opazo Alejandro Cristian Octavio</t>
  </si>
  <si>
    <t>11.338.103-5</t>
  </si>
  <si>
    <t>Cuadro Bustos Giannina Lissette</t>
  </si>
  <si>
    <t>16.706.352-7</t>
  </si>
  <si>
    <t>ANALISTA DE CONTROL DE GESTION</t>
  </si>
  <si>
    <t>Cuadro Bustos Yiries Alonso</t>
  </si>
  <si>
    <t>19.887.797-2</t>
  </si>
  <si>
    <t>ANALISTA SALA DE CONTROL</t>
  </si>
  <si>
    <t>Cubillos Figueroa Ronie Aldo</t>
  </si>
  <si>
    <t>10.783.186-k</t>
  </si>
  <si>
    <t>Cuellar Bazan Jose Luis</t>
  </si>
  <si>
    <t>24.608.493-9</t>
  </si>
  <si>
    <t>Cuello Barrios Mario Alejandro</t>
  </si>
  <si>
    <t>13.175.263-6</t>
  </si>
  <si>
    <t>Cueto Alvarez Jessica Andrea</t>
  </si>
  <si>
    <t>14.002.487-2</t>
  </si>
  <si>
    <t>ENCARGADO DE RRHH</t>
  </si>
  <si>
    <t>Cuevas Lopez Arturo Patricio</t>
  </si>
  <si>
    <t>10.983.498-k</t>
  </si>
  <si>
    <t>Cumaly Ballesteros Antonio</t>
  </si>
  <si>
    <t>7.237.575-0</t>
  </si>
  <si>
    <t>D` Gallardo Vega Tahir Alberto</t>
  </si>
  <si>
    <t>12.013.704-2</t>
  </si>
  <si>
    <t>NEWREST MUELLE</t>
  </si>
  <si>
    <t>Davegno Alarcon Gino Stefano</t>
  </si>
  <si>
    <t>12.133.445-3</t>
  </si>
  <si>
    <t>De La Cruz Soto Hipólito Enrique</t>
  </si>
  <si>
    <t>8.447.999-3</t>
  </si>
  <si>
    <t>Del Canto Zamorano Juana Hortensia</t>
  </si>
  <si>
    <t>12.686.428-0</t>
  </si>
  <si>
    <t>Delgado Farias Esteban Jonathan</t>
  </si>
  <si>
    <t>13.827.952-9</t>
  </si>
  <si>
    <t>Delgado Muñoz Henry Antonio</t>
  </si>
  <si>
    <t>15.020.830-0</t>
  </si>
  <si>
    <t>Delgado Ramos David Reinaldo</t>
  </si>
  <si>
    <t>12.581.606-1</t>
  </si>
  <si>
    <t>Delgado Saavedra Juan Amaro</t>
  </si>
  <si>
    <t>11.325.768-7</t>
  </si>
  <si>
    <t>Devia Paez Luis Fernando</t>
  </si>
  <si>
    <t>10.905.693-6</t>
  </si>
  <si>
    <t>Diaz Arancibia German Higinio</t>
  </si>
  <si>
    <t>10.949.463-1</t>
  </si>
  <si>
    <t>Diaz Araya Diego Andres</t>
  </si>
  <si>
    <t>18.689.431-6</t>
  </si>
  <si>
    <t>Diaz Ascencio Gloria Francisca</t>
  </si>
  <si>
    <t>17.778.298-k</t>
  </si>
  <si>
    <t>ANALISTA DE REMUNERACIONES</t>
  </si>
  <si>
    <t>Diaz Ávila Rene Enrique</t>
  </si>
  <si>
    <t>12.406.832-0</t>
  </si>
  <si>
    <t>Díaz Briones Jaime Ignacio</t>
  </si>
  <si>
    <t>21.474.154-7</t>
  </si>
  <si>
    <t>Diaz Contreras Alejandro Bastían</t>
  </si>
  <si>
    <t>17.646.540-9</t>
  </si>
  <si>
    <t>Díaz Contreras Héctor Sebastián</t>
  </si>
  <si>
    <t>15.823.327-4</t>
  </si>
  <si>
    <t>Diaz Donoso Benjamin Antonio</t>
  </si>
  <si>
    <t>20.408.679-6</t>
  </si>
  <si>
    <t>Diaz Flores Eric Ismael</t>
  </si>
  <si>
    <t>13.149.154-9</t>
  </si>
  <si>
    <t>Diaz Fuentes Fabian Antonio</t>
  </si>
  <si>
    <t>13.173.301-1</t>
  </si>
  <si>
    <t>Diaz Jorquera Pedro Antonio</t>
  </si>
  <si>
    <t>12.076.857-3</t>
  </si>
  <si>
    <t>XTREME MINING PMCHS</t>
  </si>
  <si>
    <t>Diaz Layana Gary Eduardo</t>
  </si>
  <si>
    <t>11.727.771-2</t>
  </si>
  <si>
    <t>Díaz Medel Luis Marcelo</t>
  </si>
  <si>
    <t>11.386.580-6</t>
  </si>
  <si>
    <t>Diaz Ossandon Herman Alexis</t>
  </si>
  <si>
    <t>11.720.738-2</t>
  </si>
  <si>
    <t>Díaz Quiroz Cristian Rodrigo</t>
  </si>
  <si>
    <t>9.930.385-9</t>
  </si>
  <si>
    <t>Díaz Reinoso Carlos Antonio</t>
  </si>
  <si>
    <t>11.855.382-9</t>
  </si>
  <si>
    <t>Diaz Saavedra Javier Salvador</t>
  </si>
  <si>
    <t>12.836.409-9</t>
  </si>
  <si>
    <t>Diaz Trivik Yerko Alejandro</t>
  </si>
  <si>
    <t>17.469.548-2</t>
  </si>
  <si>
    <t>Diaz Villarroel Jorge Gonzalo</t>
  </si>
  <si>
    <t>10.174.076-5</t>
  </si>
  <si>
    <t>Donaire Cataldo Javier Antonio</t>
  </si>
  <si>
    <t>9.684.287-2</t>
  </si>
  <si>
    <t>Donoso Alvarez Juan Carlos</t>
  </si>
  <si>
    <t>13.186.948-7</t>
  </si>
  <si>
    <t>Donoso Farias Roberto Ignacio</t>
  </si>
  <si>
    <t>21.012.326-1</t>
  </si>
  <si>
    <t>Donoso González Alan Alejandro</t>
  </si>
  <si>
    <t>15.484.491-0</t>
  </si>
  <si>
    <t>Donoso Guajardo Cristian Andres</t>
  </si>
  <si>
    <t>16.550.260-4</t>
  </si>
  <si>
    <t>JEFE DE COMPRAS</t>
  </si>
  <si>
    <t>Donoso Guajardo Juan Alberto</t>
  </si>
  <si>
    <t>13.751.984-4</t>
  </si>
  <si>
    <t>Donoso Herrera Luis Andres</t>
  </si>
  <si>
    <t>15.554.833-9</t>
  </si>
  <si>
    <t>Donoso Saavedra Sergio Alejandro</t>
  </si>
  <si>
    <t>14.279.233-8</t>
  </si>
  <si>
    <t>Donoso Soto Rene Esteban</t>
  </si>
  <si>
    <t>9.729.615-4</t>
  </si>
  <si>
    <t>Duarte Ríos Rodrigo Alejandro</t>
  </si>
  <si>
    <t>16.522.751-4</t>
  </si>
  <si>
    <t>Durán Cortés Nelson Eddie</t>
  </si>
  <si>
    <t>10.880.076-3</t>
  </si>
  <si>
    <t>Durán Gallardo Ethian Gonzalo</t>
  </si>
  <si>
    <t>13.692.646-2</t>
  </si>
  <si>
    <t>Duran Llanos Francisco Javier</t>
  </si>
  <si>
    <t>16.490.007-k</t>
  </si>
  <si>
    <t>Duran Ramirez Patricio Marcial</t>
  </si>
  <si>
    <t>12.357.505-9</t>
  </si>
  <si>
    <t>Echeverria Alvarez Nelson Fernando</t>
  </si>
  <si>
    <t>11.342.325-0</t>
  </si>
  <si>
    <t>Echeverria Fuenzalida Peter Ruben</t>
  </si>
  <si>
    <t>9.539.520-1</t>
  </si>
  <si>
    <t>Echeverría Páez Alex Ariel</t>
  </si>
  <si>
    <t>11.516.853-3</t>
  </si>
  <si>
    <t>Echeverria Torres Sergio Moises</t>
  </si>
  <si>
    <t>11.570.449-4</t>
  </si>
  <si>
    <t>Elgueda Torres Ismael Andres</t>
  </si>
  <si>
    <t>8.561.641-2</t>
  </si>
  <si>
    <t>Elguezabal Fernández Felipe Antonio</t>
  </si>
  <si>
    <t>16.268.178-8</t>
  </si>
  <si>
    <t>Encina Guerra Diego Armando</t>
  </si>
  <si>
    <t>13.980.857-6</t>
  </si>
  <si>
    <t>Escobar Aguilar Ruben Nicolas</t>
  </si>
  <si>
    <t>18.258.181-k</t>
  </si>
  <si>
    <t>Escobar Anguita Moisés Héctor</t>
  </si>
  <si>
    <t>17.646.591-3</t>
  </si>
  <si>
    <t>Escobar Barrera Marcelo Renato</t>
  </si>
  <si>
    <t>11.730.542-2</t>
  </si>
  <si>
    <t>Escobar Cortés Cristian</t>
  </si>
  <si>
    <t>15.014.307-1</t>
  </si>
  <si>
    <t>Escobar Galdámez Narciso Abner</t>
  </si>
  <si>
    <t>16.077.965-9</t>
  </si>
  <si>
    <t>Escobar Ramirez Jacqueline De Las Nieves</t>
  </si>
  <si>
    <t>9.319.244-3</t>
  </si>
  <si>
    <t>Escobar Rojas Humberto Enrique</t>
  </si>
  <si>
    <t>10.329.840-7</t>
  </si>
  <si>
    <t>Escobar Silva Hector Homero</t>
  </si>
  <si>
    <t>13.985.312-1</t>
  </si>
  <si>
    <t>R y Q PMCHS</t>
  </si>
  <si>
    <t>Escobedo Jaque Raimundo Antonio</t>
  </si>
  <si>
    <t>12.418.297-2</t>
  </si>
  <si>
    <t>Escudero Alvarez Juan Francisco</t>
  </si>
  <si>
    <t>11.469.798-2</t>
  </si>
  <si>
    <t>Escudero Herrera José Ricardo</t>
  </si>
  <si>
    <t>21.290.844-4</t>
  </si>
  <si>
    <t>Escudero Rojas Diego Alejandro</t>
  </si>
  <si>
    <t>17.435.076-0</t>
  </si>
  <si>
    <t>LIDER LOGISTICO</t>
  </si>
  <si>
    <t>Escudero Sepúlveda Jorge Baltazar</t>
  </si>
  <si>
    <t>10.668.191-0</t>
  </si>
  <si>
    <t>Espejo Alfaro Fernando Jorge</t>
  </si>
  <si>
    <t>7.807.995-9</t>
  </si>
  <si>
    <t>Espejo Diaz Alejandro Andrés</t>
  </si>
  <si>
    <t>15.000.280-k</t>
  </si>
  <si>
    <t>Espindola Guerra Eduardo Rene</t>
  </si>
  <si>
    <t>7.551.139-6</t>
  </si>
  <si>
    <t>CONTADOR</t>
  </si>
  <si>
    <t>Espindola Vilches Luis Andrés</t>
  </si>
  <si>
    <t>13.980.700-6</t>
  </si>
  <si>
    <t>Espinola Guerrero Rodrigo Hernan</t>
  </si>
  <si>
    <t>15.735.055-2</t>
  </si>
  <si>
    <t>PLANIFICADOR DE TRANSPORTE</t>
  </si>
  <si>
    <t>Espinoza Avello José Héctor</t>
  </si>
  <si>
    <t>10.227.565-9</t>
  </si>
  <si>
    <t>Espinoza Colarte Luis Alfredo</t>
  </si>
  <si>
    <t>6.886.007-5</t>
  </si>
  <si>
    <t>Espinoza Collao Maycor Yohani</t>
  </si>
  <si>
    <t>13.290.486-3</t>
  </si>
  <si>
    <t>Espinoza Gallardo Miguel Angel</t>
  </si>
  <si>
    <t>12.096.485-2</t>
  </si>
  <si>
    <t>Espinoza Julio Jose Luis</t>
  </si>
  <si>
    <t>15.016.806-6</t>
  </si>
  <si>
    <t>Espinoza Maldonado Barbara Del Pilar</t>
  </si>
  <si>
    <t>15.563.226-7</t>
  </si>
  <si>
    <t>Espinoza Maldonado Michael Andrés</t>
  </si>
  <si>
    <t>17.971.499-k</t>
  </si>
  <si>
    <t>Estay Herrera Osvaldo Enrique</t>
  </si>
  <si>
    <t>9.047.241-0</t>
  </si>
  <si>
    <t>Estay Michea Fredy Cesar</t>
  </si>
  <si>
    <t>12.351.462-9</t>
  </si>
  <si>
    <t>Estay Rivera Miguel Angel</t>
  </si>
  <si>
    <t>16.026.934-0</t>
  </si>
  <si>
    <t>Estay Rojas Juan Manuel</t>
  </si>
  <si>
    <t>15.754.795-k</t>
  </si>
  <si>
    <t>Estay Trujillo Carlos Alfonso</t>
  </si>
  <si>
    <t>12.401.120-5</t>
  </si>
  <si>
    <t>Estrada Hervas Marco Antonio</t>
  </si>
  <si>
    <t>11.667.950-7</t>
  </si>
  <si>
    <t>Farías Araya Angélica Andrea</t>
  </si>
  <si>
    <t>17.017.251-5</t>
  </si>
  <si>
    <t>Farias Cruz Arturo Miguel</t>
  </si>
  <si>
    <t>11.944.777-1</t>
  </si>
  <si>
    <t>Farias Gavia Williams Eduardo</t>
  </si>
  <si>
    <t>13.417.653-9</t>
  </si>
  <si>
    <t>Farias Vargas Felipe Alfonso</t>
  </si>
  <si>
    <t>15.091.454-k</t>
  </si>
  <si>
    <t>Fernandez Acevedo Rodrigo Manuel</t>
  </si>
  <si>
    <t>12.889.078-5</t>
  </si>
  <si>
    <t>Fernández Apala Robinson David</t>
  </si>
  <si>
    <t>15.768.138-9</t>
  </si>
  <si>
    <t>Fernández Astudillo Augusto Manuel</t>
  </si>
  <si>
    <t>12.952.814-1</t>
  </si>
  <si>
    <t>Fernandez Bermudez Cristian Elias</t>
  </si>
  <si>
    <t>15.761.593-9</t>
  </si>
  <si>
    <t>Fernandez Borquez Jose Matias</t>
  </si>
  <si>
    <t>18.258.833-4</t>
  </si>
  <si>
    <t>Fernandez Cabrera Claudio Hernan</t>
  </si>
  <si>
    <t>7.969.017-1</t>
  </si>
  <si>
    <t>INSPECTOR DE RUTA</t>
  </si>
  <si>
    <t>Fernandez Cortez Victor Patricio</t>
  </si>
  <si>
    <t>15.761.219-0</t>
  </si>
  <si>
    <t>Fernandez Espinoza Freddy Daniel</t>
  </si>
  <si>
    <t>10.814.576-5</t>
  </si>
  <si>
    <t>Fernandez Fernandez Luis Felipe</t>
  </si>
  <si>
    <t>13.073.104-k</t>
  </si>
  <si>
    <t>Ferreira Maricura Patricio Eugenio</t>
  </si>
  <si>
    <t>15.201.345-0</t>
  </si>
  <si>
    <t>Ferreira Vega José Victorino</t>
  </si>
  <si>
    <t>13.827.753-4</t>
  </si>
  <si>
    <t>Ferrer Arraño Franco Adan</t>
  </si>
  <si>
    <t>16.990.363-8</t>
  </si>
  <si>
    <t>Ferrin Velez Cruz Maroly</t>
  </si>
  <si>
    <t>26.919.032-9</t>
  </si>
  <si>
    <t>ASISTENTE DE BUSES</t>
  </si>
  <si>
    <t>Fierro Riquelme Ana María</t>
  </si>
  <si>
    <t>13.380.789-6</t>
  </si>
  <si>
    <t>Figueroa  Roberto Alejandro</t>
  </si>
  <si>
    <t>10.547.177-7</t>
  </si>
  <si>
    <t>Figueroa Barahona Cristóbal Mariano</t>
  </si>
  <si>
    <t>10.445.069-5</t>
  </si>
  <si>
    <t>Figueroa Gómez Jorge Antonio</t>
  </si>
  <si>
    <t>10.126.519-6</t>
  </si>
  <si>
    <t>Figueroa Hatte Juan Antonio</t>
  </si>
  <si>
    <t>8.991.514-7</t>
  </si>
  <si>
    <t>Figueroa Rojas Luis Eduardo</t>
  </si>
  <si>
    <t>15.499.419-k</t>
  </si>
  <si>
    <t>Figueroa Saavedra Hugo Alex</t>
  </si>
  <si>
    <t>12.718.686-3</t>
  </si>
  <si>
    <t>Figueroa Sánchez Víctor Samuel</t>
  </si>
  <si>
    <t>19.887.502-3</t>
  </si>
  <si>
    <t>Filippi Cruz Andro Fabián</t>
  </si>
  <si>
    <t>19.977.654-1</t>
  </si>
  <si>
    <t>Flores Contreras Pedro Nicolas</t>
  </si>
  <si>
    <t>13.047.566-3</t>
  </si>
  <si>
    <t>Flores Contreras Rubén Darío</t>
  </si>
  <si>
    <t>12.834.564-7</t>
  </si>
  <si>
    <t>Flores Flores Luis Mauricio</t>
  </si>
  <si>
    <t>9.853.410-5</t>
  </si>
  <si>
    <t>Flores Guzman Alexis Ruben</t>
  </si>
  <si>
    <t>12.703.219-k</t>
  </si>
  <si>
    <t>Flores Luengo Gregorio Alberto</t>
  </si>
  <si>
    <t>10.624.978-4</t>
  </si>
  <si>
    <t>Flores Maza Patricio Andres</t>
  </si>
  <si>
    <t>12.020.359-2</t>
  </si>
  <si>
    <t>Flores Ortega Juan Jesús</t>
  </si>
  <si>
    <t>20.730.954-0</t>
  </si>
  <si>
    <t>Flores Pizarro Ramon Del Rosario</t>
  </si>
  <si>
    <t>10.504.389-9</t>
  </si>
  <si>
    <t>Flores Soto Lenar</t>
  </si>
  <si>
    <t>24.419.516-4</t>
  </si>
  <si>
    <t>Flores Soza Alejandra Andrea</t>
  </si>
  <si>
    <t>13.910.562-1</t>
  </si>
  <si>
    <t>Flores Tapia Juan Eladio</t>
  </si>
  <si>
    <t>10.683.459-8</t>
  </si>
  <si>
    <t>Flores Tapia Pedro Argennis</t>
  </si>
  <si>
    <t>18.350.826-1</t>
  </si>
  <si>
    <t>Flores Vega Roberto Ismael</t>
  </si>
  <si>
    <t>17.094.238-8</t>
  </si>
  <si>
    <t>Flores Vilca Wilfredo Martin</t>
  </si>
  <si>
    <t>11.505.707-3</t>
  </si>
  <si>
    <t>Foncea Cepeda Jaime Humberto</t>
  </si>
  <si>
    <t>10.900.357-3</t>
  </si>
  <si>
    <t>Fonseca Ramírez Flavio Andrés</t>
  </si>
  <si>
    <t>15.604.881-k</t>
  </si>
  <si>
    <t>Fredes Alarcón Camila Francisca</t>
  </si>
  <si>
    <t>18.506.609-6</t>
  </si>
  <si>
    <t>Fredes Ávila Flor Jasmín</t>
  </si>
  <si>
    <t>17.468.830-3</t>
  </si>
  <si>
    <t>Fredes Leguás Claudio Andrés</t>
  </si>
  <si>
    <t>14.544.485-3</t>
  </si>
  <si>
    <t>Frez Gomez Pedro Antonio</t>
  </si>
  <si>
    <t>11.136.419-2</t>
  </si>
  <si>
    <t>Frez Romero Katerine Paola</t>
  </si>
  <si>
    <t>17.831.594-3</t>
  </si>
  <si>
    <t>Frias  Hector Dario</t>
  </si>
  <si>
    <t>14.649.170-7</t>
  </si>
  <si>
    <t>Fuentes Cisternas Roque Agustin</t>
  </si>
  <si>
    <t>7.995.540-k</t>
  </si>
  <si>
    <t>CONDUCTOR DE MINIBUS 4X4</t>
  </si>
  <si>
    <t>Fuentes Cortes Robinson Pelayo</t>
  </si>
  <si>
    <t>7.537.003-2</t>
  </si>
  <si>
    <t>Fuentes Fuentes Francisco Antonio</t>
  </si>
  <si>
    <t>17.164.229-9</t>
  </si>
  <si>
    <t>Fuentes Gonzalez Osvaldo Francisco</t>
  </si>
  <si>
    <t>6.895.723-0</t>
  </si>
  <si>
    <t>Fuentes Mellado Jose Ernesto</t>
  </si>
  <si>
    <t>12.331.448-4</t>
  </si>
  <si>
    <t>Fuentes Mendoza Mario Daniel</t>
  </si>
  <si>
    <t>11.359.590-6</t>
  </si>
  <si>
    <t>Fuentes Montoya Jose Ricardo</t>
  </si>
  <si>
    <t>17.843.753-4</t>
  </si>
  <si>
    <t>Fuentes Olivares David Alberto</t>
  </si>
  <si>
    <t>15.084.323-5</t>
  </si>
  <si>
    <t>Fuenzalida Monasterio Cristian Roberto</t>
  </si>
  <si>
    <t>14.362.897-3</t>
  </si>
  <si>
    <t>Fuenzalida Nuñez Sebastian Andres</t>
  </si>
  <si>
    <t>17.211.571-3</t>
  </si>
  <si>
    <t>Gaete Díaz Luciano Emanuel</t>
  </si>
  <si>
    <t>19.267.965-6</t>
  </si>
  <si>
    <t>Gaete Fernandez Cristian Hernan</t>
  </si>
  <si>
    <t>8.382.288-0</t>
  </si>
  <si>
    <t>Gago Castillo Pedro Pablo</t>
  </si>
  <si>
    <t>18.185.004-3</t>
  </si>
  <si>
    <t>JEFE DE TALLER</t>
  </si>
  <si>
    <t>Gahona Vergara Guillermo Sebastian</t>
  </si>
  <si>
    <t>17.819.283-3</t>
  </si>
  <si>
    <t>Gajardo Barrera Cristopher Nataniel</t>
  </si>
  <si>
    <t>17.655.753-2</t>
  </si>
  <si>
    <t>Gajardo Córdova Raúl Eduardo</t>
  </si>
  <si>
    <t>6.903.904-9</t>
  </si>
  <si>
    <t>Gajardo Palma Víctor Hugo</t>
  </si>
  <si>
    <t>12.922.578-5</t>
  </si>
  <si>
    <t>Galarce Tapia Antonio Armando</t>
  </si>
  <si>
    <t>9.776.091-8</t>
  </si>
  <si>
    <t>Galarce Ugaldes Octavio Alfonso</t>
  </si>
  <si>
    <t>14.419.986-3</t>
  </si>
  <si>
    <t>Galdames Galdames Jose Antonio</t>
  </si>
  <si>
    <t>15.926.202-2</t>
  </si>
  <si>
    <t>Galdames Quijanes Allen Emilio</t>
  </si>
  <si>
    <t>10.822.234-4</t>
  </si>
  <si>
    <t>Galdamez Adasme Horacio Baltazar</t>
  </si>
  <si>
    <t>7.723.851-4</t>
  </si>
  <si>
    <t>Galdamez Donoso Gabriel Antonio</t>
  </si>
  <si>
    <t>11.729.651-2</t>
  </si>
  <si>
    <t>Galdámez Muñoz Jorge Andrés</t>
  </si>
  <si>
    <t>18.853.755-3</t>
  </si>
  <si>
    <t>Galdamez Ulloa Sergio Alfonso</t>
  </si>
  <si>
    <t>10.838.962-1</t>
  </si>
  <si>
    <t>Gallardo Arancibia German Nelson</t>
  </si>
  <si>
    <t>9.433.054-8</t>
  </si>
  <si>
    <t>Gallardo Carvajal Andres Alexis</t>
  </si>
  <si>
    <t>19.887.176-1</t>
  </si>
  <si>
    <t>Gallardo Flores Leonel Alejandro</t>
  </si>
  <si>
    <t>21.020.136-k</t>
  </si>
  <si>
    <t>Gallardo Herrera Erlyn Eleazar</t>
  </si>
  <si>
    <t>10.361.952-1</t>
  </si>
  <si>
    <t>Gallardo Lagos Roberto Alejandro</t>
  </si>
  <si>
    <t>10.379.621-0</t>
  </si>
  <si>
    <t>Gallardo Muñoz Manuel Angel</t>
  </si>
  <si>
    <t>8.077.137-1</t>
  </si>
  <si>
    <t>Gallardo Pulgar Constanza Alejandra</t>
  </si>
  <si>
    <t>19.448.124-1</t>
  </si>
  <si>
    <t>ENCARGADO HERRAMIENTAS GESTION PREVENTIVA</t>
  </si>
  <si>
    <t>Gallegos Jerez Carolina Valeska</t>
  </si>
  <si>
    <t>16.770.897-8</t>
  </si>
  <si>
    <t>Gallegos Porcile Luis Leonardo</t>
  </si>
  <si>
    <t>9.345.108-2</t>
  </si>
  <si>
    <t>Gallegos Quispe Juan Carlos</t>
  </si>
  <si>
    <t>22.273.698-6</t>
  </si>
  <si>
    <t>Galleguillos Castro Enrique Alejandro</t>
  </si>
  <si>
    <t>13.534.151-7</t>
  </si>
  <si>
    <t>Gálvez Farías Efrén Antonio</t>
  </si>
  <si>
    <t>13.681.035-9</t>
  </si>
  <si>
    <t>Gamboa Carrasco Rosalia Alejandra</t>
  </si>
  <si>
    <t>18.013.972-9</t>
  </si>
  <si>
    <t>Gamboa Espinoza Jorge Antonio</t>
  </si>
  <si>
    <t>13.539.494-7</t>
  </si>
  <si>
    <t>Gamboa Tobar Cristian Marcelo</t>
  </si>
  <si>
    <t>14.279.428-4</t>
  </si>
  <si>
    <t>Garat Gonzalez Juan Pablo</t>
  </si>
  <si>
    <t>16.702.980-9</t>
  </si>
  <si>
    <t>Garces Isla Roman Aaron</t>
  </si>
  <si>
    <t>13.727.780-8</t>
  </si>
  <si>
    <t>COMTECSA - PMCHS</t>
  </si>
  <si>
    <t>Garcia Aballay Sergio Rafael</t>
  </si>
  <si>
    <t>7.996.867-6</t>
  </si>
  <si>
    <t>Garcia Ordenes Luis Omar</t>
  </si>
  <si>
    <t>10.469.030-0</t>
  </si>
  <si>
    <t>Garcia Ordenes Manuel Jesus</t>
  </si>
  <si>
    <t>10.704.190-7</t>
  </si>
  <si>
    <t>SALFA MONTAJES VP ANDINA</t>
  </si>
  <si>
    <t>Garcia Parra Alexis Moises</t>
  </si>
  <si>
    <t>10.770.015-3</t>
  </si>
  <si>
    <t>García Urrutia María José</t>
  </si>
  <si>
    <t>13.980.895-9</t>
  </si>
  <si>
    <t>Garrido Candia Joaquín Ignacio</t>
  </si>
  <si>
    <t>19.196.575-2</t>
  </si>
  <si>
    <t>Garrido Medel Julio César</t>
  </si>
  <si>
    <t>10.841.612-2</t>
  </si>
  <si>
    <t>Garrido Rivera Eric Wladimir</t>
  </si>
  <si>
    <t>10.517.639-2</t>
  </si>
  <si>
    <t>Garrido Sanguino Richard Sergio</t>
  </si>
  <si>
    <t>12.607.419-0</t>
  </si>
  <si>
    <t>ARAMARK GABY</t>
  </si>
  <si>
    <t>Gatica Aguilera Miguel Arturo</t>
  </si>
  <si>
    <t>11.944.974-k</t>
  </si>
  <si>
    <t>Gatica Aro Benjamin Eduardo</t>
  </si>
  <si>
    <t>20.483.072-k</t>
  </si>
  <si>
    <t>Gatica Tardon Israel Antonio</t>
  </si>
  <si>
    <t>11.966.811-5</t>
  </si>
  <si>
    <t>Gauna Vega Cristian Paulo</t>
  </si>
  <si>
    <t>12.259.100-k</t>
  </si>
  <si>
    <t>Geraldo Aaby Jan Pool</t>
  </si>
  <si>
    <t>16.438.275-3</t>
  </si>
  <si>
    <t>Gertosio Cerda Mario Roberto</t>
  </si>
  <si>
    <t>9.801.922-7</t>
  </si>
  <si>
    <t>Godoi Rosas María José</t>
  </si>
  <si>
    <t>20.754.120-6</t>
  </si>
  <si>
    <t>ENCARGADO DE LOGISTICA DE ALMACENAMIENTO Y DISTRIBUCION</t>
  </si>
  <si>
    <t>Godoi Saavedra Paulo Antonio</t>
  </si>
  <si>
    <t>15.237.484-4</t>
  </si>
  <si>
    <t>Godoy Campos Luis Eduardo</t>
  </si>
  <si>
    <t>7.548.988-9</t>
  </si>
  <si>
    <t>Godoy Campusano Luis Rolando</t>
  </si>
  <si>
    <t>20.840.300-1</t>
  </si>
  <si>
    <t>Godoy Cespedes Sandro Omar</t>
  </si>
  <si>
    <t>12.137.650-4</t>
  </si>
  <si>
    <t>Godoy Donoso Javiera Alejandra</t>
  </si>
  <si>
    <t>19.449.158-1</t>
  </si>
  <si>
    <t>Godoy Navarro Gonzalo Roberto</t>
  </si>
  <si>
    <t>13.364.534-9</t>
  </si>
  <si>
    <t>Gomez Arredondo Ana Gabriela</t>
  </si>
  <si>
    <t>26.580.001-7</t>
  </si>
  <si>
    <t>BROADSPECTRUM MEL COLOSO</t>
  </si>
  <si>
    <t>Gomez Barraza Luis Ernesto</t>
  </si>
  <si>
    <t>10.087.336-2</t>
  </si>
  <si>
    <t>Gomez Callet Guillermo Patricio</t>
  </si>
  <si>
    <t>12.820.667-1</t>
  </si>
  <si>
    <t>Gomez Chambe Hugo Cancio</t>
  </si>
  <si>
    <t>12.439.767-7</t>
  </si>
  <si>
    <t>Gómez Luengo Karen Marlene</t>
  </si>
  <si>
    <t>16.135.922-k</t>
  </si>
  <si>
    <t>Gomez Olivares Juan Antonio</t>
  </si>
  <si>
    <t>9.543.066-k</t>
  </si>
  <si>
    <t>Gómez Quilacán Efraín Ariel</t>
  </si>
  <si>
    <t>17.826.337-4</t>
  </si>
  <si>
    <t>Gómez Sáez Verónica Del Carmen</t>
  </si>
  <si>
    <t>9.106.583-5</t>
  </si>
  <si>
    <t>Gomez Sanchez Christian Eduardo</t>
  </si>
  <si>
    <t>14.280.089-6</t>
  </si>
  <si>
    <t>González Aguilar Alan William</t>
  </si>
  <si>
    <t>10.210.099-9</t>
  </si>
  <si>
    <t>ARAMARK SIERRA GORDA INTERNO</t>
  </si>
  <si>
    <t>Gonzalez Amigo Claudio Alfonso</t>
  </si>
  <si>
    <t>13.575.811-6</t>
  </si>
  <si>
    <t>González Beltrán Gonzalo Benjamín</t>
  </si>
  <si>
    <t>12.156.854-3</t>
  </si>
  <si>
    <t>Gonzalez Carrosa Arnoldo Enrique</t>
  </si>
  <si>
    <t>9.533.558-6</t>
  </si>
  <si>
    <t>Gonzalez Cruz Juan Antonio</t>
  </si>
  <si>
    <t>14.111.537-5</t>
  </si>
  <si>
    <t>Gonzalez De La Barra Jorge Antonio</t>
  </si>
  <si>
    <t>9.273.028-k</t>
  </si>
  <si>
    <t>Gonzalez Diaz Gabriel Felipe</t>
  </si>
  <si>
    <t>17.868.933-9</t>
  </si>
  <si>
    <t>González Díaz Luis Rolando</t>
  </si>
  <si>
    <t>12.850.518-0</t>
  </si>
  <si>
    <t>González Farfán Miguel Alejandro</t>
  </si>
  <si>
    <t>12.726.257-8</t>
  </si>
  <si>
    <t>Gonzalez Figueroa Milton Alexie</t>
  </si>
  <si>
    <t>10.062.178-9</t>
  </si>
  <si>
    <t>González Gavia David Ariel</t>
  </si>
  <si>
    <t>11.333.057-0</t>
  </si>
  <si>
    <t>González González Juan Francisco</t>
  </si>
  <si>
    <t>13.013.330-4</t>
  </si>
  <si>
    <t>Gonzalez Miranda Amanda Raquel</t>
  </si>
  <si>
    <t>14.561.027-3</t>
  </si>
  <si>
    <t>Gonzalez Olivares Jorge Hernan</t>
  </si>
  <si>
    <t>11.386.329-3</t>
  </si>
  <si>
    <t>Gonzalez Onell Cristian Martin</t>
  </si>
  <si>
    <t>12.837.860-k</t>
  </si>
  <si>
    <t>Gonzalez Pino Gustavo Enrique</t>
  </si>
  <si>
    <t>13.979.818-k</t>
  </si>
  <si>
    <t>Gonzalez Reyes Victor Rene</t>
  </si>
  <si>
    <t>11.672.667-k</t>
  </si>
  <si>
    <t>González Rodríguez Luis Ernesto</t>
  </si>
  <si>
    <t>17.040.770-9</t>
  </si>
  <si>
    <t>Gonzalez Saa Hector Guillermo</t>
  </si>
  <si>
    <t>15.844.733-9</t>
  </si>
  <si>
    <t>Gonzalez Saavedra Jose Guillermo</t>
  </si>
  <si>
    <t>10.195.433-1</t>
  </si>
  <si>
    <t>González Soto Diego Esteban</t>
  </si>
  <si>
    <t>16.884.320-8</t>
  </si>
  <si>
    <t>Gonzalez Tapia Rodrigo Andres</t>
  </si>
  <si>
    <t>15.728.339-1</t>
  </si>
  <si>
    <t>González Urrutia Bastián Ignacio</t>
  </si>
  <si>
    <t>20.407.939-0</t>
  </si>
  <si>
    <t>Gonzalez Vargas Debora Tatiana</t>
  </si>
  <si>
    <t>25.527.999-8</t>
  </si>
  <si>
    <t>Gonzalez Vargas Victor Antonio</t>
  </si>
  <si>
    <t>15.461.319-6</t>
  </si>
  <si>
    <t>Gonzalez Velasco Nestor Mauricio</t>
  </si>
  <si>
    <t>13.238.060-0</t>
  </si>
  <si>
    <t>Gonzalez Vergara Guillermo Francisco</t>
  </si>
  <si>
    <t>10.250.377-5</t>
  </si>
  <si>
    <t>Gotterban Vargas Alejandro</t>
  </si>
  <si>
    <t>17.972.617-3</t>
  </si>
  <si>
    <t>Gracia Quiroz Cristian Andres</t>
  </si>
  <si>
    <t>13.052.262-9</t>
  </si>
  <si>
    <t>Guajardo Porras Francisco Fernando</t>
  </si>
  <si>
    <t>13.764.038-4</t>
  </si>
  <si>
    <t>Guaman Covarrubias Andres Elias</t>
  </si>
  <si>
    <t>13.357.074-8</t>
  </si>
  <si>
    <t>Guarachi Alconz Alex Bernabe Camilo</t>
  </si>
  <si>
    <t>18.315.711-6</t>
  </si>
  <si>
    <t>Guerra Basso Angel Eugenio</t>
  </si>
  <si>
    <t>15.093.097-9</t>
  </si>
  <si>
    <t>Guerra Cabrolier Rodrigo Antonio</t>
  </si>
  <si>
    <t>18.122.464-9</t>
  </si>
  <si>
    <t>Guerra Muñoz Macarena Ivette</t>
  </si>
  <si>
    <t>17.164.356-2</t>
  </si>
  <si>
    <t>ASISTENTE DE CONTRALORIA</t>
  </si>
  <si>
    <t>Guerra Rodriguez Daniel Enrique</t>
  </si>
  <si>
    <t>12.579.375-4</t>
  </si>
  <si>
    <t>Guerrero Castillo Eliacim Abner</t>
  </si>
  <si>
    <t>15.649.505-0</t>
  </si>
  <si>
    <t>Guerrero Castro Christian Manuel</t>
  </si>
  <si>
    <t>12.937.162-5</t>
  </si>
  <si>
    <t>EMIN - MEL</t>
  </si>
  <si>
    <t>Guerrero Figueroa Emilio Andrés</t>
  </si>
  <si>
    <t>11.386.137-1</t>
  </si>
  <si>
    <t>Guerrero Gutierrez Victor Angel Manuel</t>
  </si>
  <si>
    <t>17.164.580-8</t>
  </si>
  <si>
    <t>Guerrero Villanueva Fernando Patricio</t>
  </si>
  <si>
    <t>16.411.489-9</t>
  </si>
  <si>
    <t>Guiñez Toledo Placido Enrique</t>
  </si>
  <si>
    <t>8.283.808-2</t>
  </si>
  <si>
    <t>Gutierrez Avallay Alexis Christian</t>
  </si>
  <si>
    <t>8.874.351-2</t>
  </si>
  <si>
    <t>Gutierrez Bartolo Johnny Nelson</t>
  </si>
  <si>
    <t>9.922.453-3</t>
  </si>
  <si>
    <t>Gutierrez Brown Fidel Antonio</t>
  </si>
  <si>
    <t>10.415.136-1</t>
  </si>
  <si>
    <t>Gutiérrez Garces Jose Miguel</t>
  </si>
  <si>
    <t>18.260.918-8</t>
  </si>
  <si>
    <t>Gutierrez Jara Segundo Alberto</t>
  </si>
  <si>
    <t>9.228.149-3</t>
  </si>
  <si>
    <t>Gutiérrez Mendez Angelo Andrés</t>
  </si>
  <si>
    <t>16.991.352-8</t>
  </si>
  <si>
    <t>Gutiérrez Urra Alejandro</t>
  </si>
  <si>
    <t>19.984.882-8</t>
  </si>
  <si>
    <t>TECNICO AIRE ACONDICIONADO</t>
  </si>
  <si>
    <t>Gutierrez Valencia Mauricio Alejandro</t>
  </si>
  <si>
    <t>13.752.194-6</t>
  </si>
  <si>
    <t>INGENIERO DE SEGURIDAD Y SALUD OCUPACIONAL</t>
  </si>
  <si>
    <t>Guzman Delgadillo Anyelo Fredy</t>
  </si>
  <si>
    <t>13.804.046-1</t>
  </si>
  <si>
    <t>Guzman Fernandez Victor</t>
  </si>
  <si>
    <t>15.894.841-9</t>
  </si>
  <si>
    <t>Guzman Munita Tania Alejandra</t>
  </si>
  <si>
    <t>13.296.245-6</t>
  </si>
  <si>
    <t>Henríquez Césped Luis Andrés</t>
  </si>
  <si>
    <t>12.949.287-2</t>
  </si>
  <si>
    <t>Henríquez Lazcano Monica Del Carmen</t>
  </si>
  <si>
    <t>14.357.841-0</t>
  </si>
  <si>
    <t>Henríquez Mella María Jesús</t>
  </si>
  <si>
    <t>18.535.886-0</t>
  </si>
  <si>
    <t>Henriquez Montenegro Julio Antonio</t>
  </si>
  <si>
    <t>10.913.133-4</t>
  </si>
  <si>
    <t>Henríquez Muñoz Matias Alonso</t>
  </si>
  <si>
    <t>21.976.964-4</t>
  </si>
  <si>
    <t>Hermosilla Badilla Javiera Alejandra</t>
  </si>
  <si>
    <t>19.836.873-3</t>
  </si>
  <si>
    <t>Hermosilla Castillo Henry Oliver</t>
  </si>
  <si>
    <t>13.412.629-9</t>
  </si>
  <si>
    <t>Hernandez Herrera Evan Ariel Mauricio</t>
  </si>
  <si>
    <t>21.559.752-0</t>
  </si>
  <si>
    <t>Herrera Ancain Ruben Gabriel</t>
  </si>
  <si>
    <t>11.391.573-0</t>
  </si>
  <si>
    <t>Herrera Beroíza Carlos Exequiel</t>
  </si>
  <si>
    <t>13.005.642-3</t>
  </si>
  <si>
    <t>Herrera Berríos Alonso Felipe</t>
  </si>
  <si>
    <t>22.089.018-k</t>
  </si>
  <si>
    <t>Herrera Bustos Waldo Andrés</t>
  </si>
  <si>
    <t>18.259.209-9</t>
  </si>
  <si>
    <t>Herrera Cabrera Leonardo Flavio</t>
  </si>
  <si>
    <t>11.517.432-0</t>
  </si>
  <si>
    <t>Herrera Contreras Pamela Andrea</t>
  </si>
  <si>
    <t>18.973.354-2</t>
  </si>
  <si>
    <t>ANALISTA CONTABLE</t>
  </si>
  <si>
    <t>Herrera Espinoza David Mauricio</t>
  </si>
  <si>
    <t>10.087.800-3</t>
  </si>
  <si>
    <t>Herrera Gaviria Rodolfo</t>
  </si>
  <si>
    <t>24.278.688-2</t>
  </si>
  <si>
    <t>Herrera Guerra Patricio Enrique</t>
  </si>
  <si>
    <t>11.748.568-4</t>
  </si>
  <si>
    <t>MANTENCION CALAMA</t>
  </si>
  <si>
    <t>Herrera Henriquez Nicolas</t>
  </si>
  <si>
    <t>10.698.483-2</t>
  </si>
  <si>
    <t>Herrera Herrera Felipe Gonzalo</t>
  </si>
  <si>
    <t>13.364.214-5</t>
  </si>
  <si>
    <t>Herrera Herrera Jorge Marcelo</t>
  </si>
  <si>
    <t>11.423.109-6</t>
  </si>
  <si>
    <t>Herrera Jara Boris Roberto</t>
  </si>
  <si>
    <t>16.156.573-3</t>
  </si>
  <si>
    <t>Herrera Orrego Veronica Valeska</t>
  </si>
  <si>
    <t>16.852.675-k</t>
  </si>
  <si>
    <t>Herrera Pino Edison Jaime</t>
  </si>
  <si>
    <t>13.183.022-k</t>
  </si>
  <si>
    <t>Herrera Regodeceves Humberto Del Carmen</t>
  </si>
  <si>
    <t>9.361.762-2</t>
  </si>
  <si>
    <t>Herrera Rojas Manuel Alejandro</t>
  </si>
  <si>
    <t>13.940.497-1</t>
  </si>
  <si>
    <t>Herrera Sanchez Francisco Antonio</t>
  </si>
  <si>
    <t>12.949.028-4</t>
  </si>
  <si>
    <t>Herrera Sanhueza Albert Alex</t>
  </si>
  <si>
    <t>15.204.549-2</t>
  </si>
  <si>
    <t>Herrera Torres Sergio Luis</t>
  </si>
  <si>
    <t>8.619.231-4</t>
  </si>
  <si>
    <t>Herrera Valenzuela Jorge Antonio</t>
  </si>
  <si>
    <t>11.943.386-k</t>
  </si>
  <si>
    <t>Herrera Veas Rodrigo Alexis</t>
  </si>
  <si>
    <t>16.334.563-3</t>
  </si>
  <si>
    <t>Herrera Villarroel Antonio Gabriel</t>
  </si>
  <si>
    <t>10.089.782-2</t>
  </si>
  <si>
    <t>Hidalgo López Raúl Eduardo</t>
  </si>
  <si>
    <t>12.170.503-6</t>
  </si>
  <si>
    <t>Hidalgo Morales Aldo Enrique</t>
  </si>
  <si>
    <t>10.274.086-6</t>
  </si>
  <si>
    <t>Hidalgo Vergara Moisés Aquiles</t>
  </si>
  <si>
    <t>9.268.297-8</t>
  </si>
  <si>
    <t>Huanchicay Castillo Pedro Medardo</t>
  </si>
  <si>
    <t>9.458.785-9</t>
  </si>
  <si>
    <t>Huanuco Cabrera Johny Nelson</t>
  </si>
  <si>
    <t>14.313.342-7</t>
  </si>
  <si>
    <t>Hueichaleo Levipil Juan</t>
  </si>
  <si>
    <t>18.198.283-7</t>
  </si>
  <si>
    <t>Huenchunao Carilao Rodrigo Salvador</t>
  </si>
  <si>
    <t>15.735.050-1</t>
  </si>
  <si>
    <t>Huerta Calderón Manuel Alejandro</t>
  </si>
  <si>
    <t>15.373.113-6</t>
  </si>
  <si>
    <t>Hurtubia Gallardo Osvaldo Antonio</t>
  </si>
  <si>
    <t>8.815.238-7</t>
  </si>
  <si>
    <t>Ibacache Vergara Jorge Franco</t>
  </si>
  <si>
    <t>16.078.095-9</t>
  </si>
  <si>
    <t>Ibaceta Arancibia Andrés Alonso</t>
  </si>
  <si>
    <t>16.701.573-5</t>
  </si>
  <si>
    <t>Ibaceta Cordova Luis Felipe</t>
  </si>
  <si>
    <t>18.853.395-7</t>
  </si>
  <si>
    <t>Ibaceta Espindola Eduardo Antonio</t>
  </si>
  <si>
    <t>10.013.230-3</t>
  </si>
  <si>
    <t>Ibaceta Leiva Eduardo Del Transito</t>
  </si>
  <si>
    <t>10.103.108-k</t>
  </si>
  <si>
    <t>Ibaceta Muñoz Carolina Soledad</t>
  </si>
  <si>
    <t>14.305.048-3</t>
  </si>
  <si>
    <t>Ibáñez Álvarez Franco Emerson</t>
  </si>
  <si>
    <t>13.005.411-0</t>
  </si>
  <si>
    <t>Ibarbe Ibarbe Sebastián Andrés</t>
  </si>
  <si>
    <t>17.246.002-k</t>
  </si>
  <si>
    <t>Illesca Jerez Luis Alberto</t>
  </si>
  <si>
    <t>13.308.846-6</t>
  </si>
  <si>
    <t>Inostroza Inostroza Cristian Andrés</t>
  </si>
  <si>
    <t>15.259.210-8</t>
  </si>
  <si>
    <t>Inzunza Williams Oscar Ricardo</t>
  </si>
  <si>
    <t>14.238.283-0</t>
  </si>
  <si>
    <t>Irribarra Parra Claudio Francisco</t>
  </si>
  <si>
    <t>15.681.140-8</t>
  </si>
  <si>
    <t>Irribarra Rosas Hector Samuel</t>
  </si>
  <si>
    <t>17.129.829-6</t>
  </si>
  <si>
    <t>Irribarren Sepúlveda Jose Ricardo</t>
  </si>
  <si>
    <t>12.919.426-k</t>
  </si>
  <si>
    <t>Iturrieta Rodriguez Juan Carlos</t>
  </si>
  <si>
    <t>9.416.219-k</t>
  </si>
  <si>
    <t>Iturrieta Salgado Luis Alberto</t>
  </si>
  <si>
    <t>15.059.749-8</t>
  </si>
  <si>
    <t>Jacob Facuse Pedro Enrique</t>
  </si>
  <si>
    <t>8.827.344-3</t>
  </si>
  <si>
    <t>Jara Diaz Pedro Gonzalo</t>
  </si>
  <si>
    <t>11.807.716-4</t>
  </si>
  <si>
    <t>Jara Gamboa Carlos Aurelio</t>
  </si>
  <si>
    <t>14.305.091-2</t>
  </si>
  <si>
    <t>Jara Ulloa Alvaro Rene</t>
  </si>
  <si>
    <t>13.309.323-0</t>
  </si>
  <si>
    <t>Jarpa Monroy Nelson Isaac</t>
  </si>
  <si>
    <t>14.443.252-5</t>
  </si>
  <si>
    <t>Jeldes Ponce Patricia Del Carmen</t>
  </si>
  <si>
    <t>9.078.607-5</t>
  </si>
  <si>
    <t>Jeldres Muñoz Pedro Javier</t>
  </si>
  <si>
    <t>8.931.916-1</t>
  </si>
  <si>
    <t>Jelvez Cordova Marisela Patricia</t>
  </si>
  <si>
    <t>17.645.758-9</t>
  </si>
  <si>
    <t>Jepsen Montenegro Matias Ignacio</t>
  </si>
  <si>
    <t>20.089.195-3</t>
  </si>
  <si>
    <t>Jiménez López Camilo Esteban</t>
  </si>
  <si>
    <t>17.791.169-0</t>
  </si>
  <si>
    <t>Jofre Perez Manuel Alejandro</t>
  </si>
  <si>
    <t>9.084.957-3</t>
  </si>
  <si>
    <t>Jofré Saldivia Luis Eduardo</t>
  </si>
  <si>
    <t>12.477.322-9</t>
  </si>
  <si>
    <t>Jofre Sanchez Miczio Andres</t>
  </si>
  <si>
    <t>17.141.102-5</t>
  </si>
  <si>
    <t>Jorquera Jorquera Roberto Carlos</t>
  </si>
  <si>
    <t>12.671.176-k</t>
  </si>
  <si>
    <t>Jovanovic . Djordje</t>
  </si>
  <si>
    <t>14.581.123-6</t>
  </si>
  <si>
    <t>Kittsteiner Orellana Cristhian German</t>
  </si>
  <si>
    <t>12.226.582-k</t>
  </si>
  <si>
    <t>Knoll Gonzalez Carlos Roberto</t>
  </si>
  <si>
    <t>12.381.902-0</t>
  </si>
  <si>
    <t>Krause Aliaga Douglas Orlando</t>
  </si>
  <si>
    <t>11.828.183-7</t>
  </si>
  <si>
    <t>Labbe Alvarez Cesar Alexander</t>
  </si>
  <si>
    <t>16.680.867-7</t>
  </si>
  <si>
    <t>Labra Minardi Camila Francisca</t>
  </si>
  <si>
    <t>18.584.532-k</t>
  </si>
  <si>
    <t>Ladino Montilla Nadia Carolina</t>
  </si>
  <si>
    <t>27.441.708-0</t>
  </si>
  <si>
    <t>Lagos Acuña Bruno Mauricio</t>
  </si>
  <si>
    <t>11.909.438-0</t>
  </si>
  <si>
    <t>Lagos Almendra Alvaro Del Carmen</t>
  </si>
  <si>
    <t>10.836.121-2</t>
  </si>
  <si>
    <t>Lagos Mora Ramiro Apolonio</t>
  </si>
  <si>
    <t>16.046.365-1</t>
  </si>
  <si>
    <t>Lagos Vicencio Hugo Orlando</t>
  </si>
  <si>
    <t>12.514.238-9</t>
  </si>
  <si>
    <t>Lambruschini Salinas Luis Augusto</t>
  </si>
  <si>
    <t>22.113.114-2</t>
  </si>
  <si>
    <t>Landeros Flores Jorge Armando</t>
  </si>
  <si>
    <t>11.120.272-9</t>
  </si>
  <si>
    <t>Lanyon Antil Karen Ingrid</t>
  </si>
  <si>
    <t>14.550.625-5</t>
  </si>
  <si>
    <t>Lanyon González Víctor Manuel</t>
  </si>
  <si>
    <t>7.577.702-7</t>
  </si>
  <si>
    <t>Lara Muñoz Hernan Enrique</t>
  </si>
  <si>
    <t>11.944.437-3</t>
  </si>
  <si>
    <t>Lara Sepulveda Alejandra Dora</t>
  </si>
  <si>
    <t>11.931.861-0</t>
  </si>
  <si>
    <t>Lavados Saez Gabriel Enrique</t>
  </si>
  <si>
    <t>13.105.148-4</t>
  </si>
  <si>
    <t>Lavín Burboa Christian José</t>
  </si>
  <si>
    <t>13.624.982-7</t>
  </si>
  <si>
    <t>Lazcano Baez Victor Eduardo</t>
  </si>
  <si>
    <t>19.581.647-6</t>
  </si>
  <si>
    <t>MANTENCION IQUIQUE JM</t>
  </si>
  <si>
    <t>Lazcano Berrueta Patricio Antonio</t>
  </si>
  <si>
    <t>6.825.174-5</t>
  </si>
  <si>
    <t>JEFE DE OF. REGIONAL</t>
  </si>
  <si>
    <t>Lazcano Gomez Silvana Scarlett</t>
  </si>
  <si>
    <t>13.216.745-1</t>
  </si>
  <si>
    <t>Lazcano Herrera Luis Eduardo</t>
  </si>
  <si>
    <t>11.188.858-2</t>
  </si>
  <si>
    <t>Lazcano Herrera Víctor Enrique</t>
  </si>
  <si>
    <t>10.816.287-2</t>
  </si>
  <si>
    <t>Lazo Donoso José Patricio</t>
  </si>
  <si>
    <t>12.578.773-8</t>
  </si>
  <si>
    <t>Lazo Varas Jonathan Alejandro</t>
  </si>
  <si>
    <t>19.888.607-6</t>
  </si>
  <si>
    <t>Leal Chaur Mauricio Ernesto</t>
  </si>
  <si>
    <t>14.425.075-3</t>
  </si>
  <si>
    <t>Lecaros Saldaña Raul Antonio</t>
  </si>
  <si>
    <t>8.721.438-9</t>
  </si>
  <si>
    <t>Ledezma Gaete William Javier</t>
  </si>
  <si>
    <t>10.191.320-1</t>
  </si>
  <si>
    <t>Legua Venegas Carlos German</t>
  </si>
  <si>
    <t>8.785.852-9</t>
  </si>
  <si>
    <t>Leiva Ayala Victor Antonio Aladino</t>
  </si>
  <si>
    <t>8.179.225-9</t>
  </si>
  <si>
    <t>Leiva Burgos Jesus Andres</t>
  </si>
  <si>
    <t>13.878.286-7</t>
  </si>
  <si>
    <t>Leiva Burgos Omar Marcelo</t>
  </si>
  <si>
    <t>13.022.396-6</t>
  </si>
  <si>
    <t>Leiva Carvallo Victor Giovanni</t>
  </si>
  <si>
    <t>16.078.174-2</t>
  </si>
  <si>
    <t>Leiva Cordova Carlos Enrique</t>
  </si>
  <si>
    <t>7.680.565-2</t>
  </si>
  <si>
    <t>Leiva Cortez Benjamín Ignacio</t>
  </si>
  <si>
    <t>19.581.568-2</t>
  </si>
  <si>
    <t>Leiva Elgueta Guillermo Alexis</t>
  </si>
  <si>
    <t>13.226.463-5</t>
  </si>
  <si>
    <t>Leiva Gonzalez Jorge Francisco</t>
  </si>
  <si>
    <t>16.078.181-5</t>
  </si>
  <si>
    <t>Leiva Lopez Juan Carlos</t>
  </si>
  <si>
    <t>8.571.557-7</t>
  </si>
  <si>
    <t>Leiva Mauna Luis Francisco</t>
  </si>
  <si>
    <t>8.251.859-2</t>
  </si>
  <si>
    <t>Leiva Muñoz Carlos Alejandro</t>
  </si>
  <si>
    <t>13.981.697-8</t>
  </si>
  <si>
    <t>Leiva Olmos Gabriela Rossanna</t>
  </si>
  <si>
    <t>11.942.614-6</t>
  </si>
  <si>
    <t>Leiva Palacios Jorge Patricio</t>
  </si>
  <si>
    <t>8.071.230-8</t>
  </si>
  <si>
    <t>Leiva Ramírez Sebastián Antonio</t>
  </si>
  <si>
    <t>16.423.754-0</t>
  </si>
  <si>
    <t>Leiva Reyes Erick Alfredo</t>
  </si>
  <si>
    <t>16.785.217-3</t>
  </si>
  <si>
    <t>Leiva Rodriguez Claudio Eduardo</t>
  </si>
  <si>
    <t>10.332.627-3</t>
  </si>
  <si>
    <t>Leiva Saldivar Marco Aurelio</t>
  </si>
  <si>
    <t>8.869.184-9</t>
  </si>
  <si>
    <t>Leiva Urtubia Leonardo Francisco</t>
  </si>
  <si>
    <t>18.679.407-9</t>
  </si>
  <si>
    <t>León Apablaza Roberto Guillermo</t>
  </si>
  <si>
    <t>9.087.569-8</t>
  </si>
  <si>
    <t>León Castillo Felix Mauricio</t>
  </si>
  <si>
    <t>9.078.074-3</t>
  </si>
  <si>
    <t>León Iturrieta Rodrigo Alejandro</t>
  </si>
  <si>
    <t>13.429.889-8</t>
  </si>
  <si>
    <t>León Sandoval Sergio Antonio</t>
  </si>
  <si>
    <t>11.934.509-k</t>
  </si>
  <si>
    <t>Lepe Caris Cristóbal De Jesús</t>
  </si>
  <si>
    <t>19.449.898-5</t>
  </si>
  <si>
    <t>Leres Cisternas Juan Carlos</t>
  </si>
  <si>
    <t>10.156.951-9</t>
  </si>
  <si>
    <t>Leyton Contreras Jose Manuel Del Transito</t>
  </si>
  <si>
    <t>10.624.004-3</t>
  </si>
  <si>
    <t>Liberon Diaz Mauricio Alberto</t>
  </si>
  <si>
    <t>10.316.534-2</t>
  </si>
  <si>
    <t>Liberona Jofre Enrique Eduardo</t>
  </si>
  <si>
    <t>12.214.965-k</t>
  </si>
  <si>
    <t>Libuy Bonilla Ricardo Daniel</t>
  </si>
  <si>
    <t>10.105.733-k</t>
  </si>
  <si>
    <t>Lillo Ahumada Fernando Martín</t>
  </si>
  <si>
    <t>17.818.906-9</t>
  </si>
  <si>
    <t>ENCARGADO BODEGA Y CONTROL DOCUMENTAL 2°</t>
  </si>
  <si>
    <t>Lillo Jofré Ricardo</t>
  </si>
  <si>
    <t>10.348.228-3</t>
  </si>
  <si>
    <t>Lincura Huenchuman Mario Javier</t>
  </si>
  <si>
    <t>10.200.520-1</t>
  </si>
  <si>
    <t>Lique Ramos Evelin Ester</t>
  </si>
  <si>
    <t>12.007.914-k</t>
  </si>
  <si>
    <t>Lique Tinte Pablo Fabio</t>
  </si>
  <si>
    <t>11.748.008-9</t>
  </si>
  <si>
    <t>Lira Garrido Carolina Paz</t>
  </si>
  <si>
    <t>19.131.153-1</t>
  </si>
  <si>
    <t>ENCARGADO DE COBRANZAS</t>
  </si>
  <si>
    <t>Llamoca Barraza Wilfredo Nestor</t>
  </si>
  <si>
    <t>23.856.370-4</t>
  </si>
  <si>
    <t>Llano Díaz Bernardo Augusto</t>
  </si>
  <si>
    <t>7.830.896-6</t>
  </si>
  <si>
    <t>Lobos Cano Giovanni Alfredo Fernando</t>
  </si>
  <si>
    <t>19.954.145-5</t>
  </si>
  <si>
    <t>Lobos Delgado Frank Alexis</t>
  </si>
  <si>
    <t>18.972.820-4</t>
  </si>
  <si>
    <t>Lobos Fuentes Sergio David</t>
  </si>
  <si>
    <t>11.831.084-5</t>
  </si>
  <si>
    <t>Lobos Lopez Juan Javier</t>
  </si>
  <si>
    <t>10.062.368-4</t>
  </si>
  <si>
    <t>Lobos Perez Benedicto De Jesús</t>
  </si>
  <si>
    <t>10.619.072-0</t>
  </si>
  <si>
    <t>Lobos Quintana Marcos Enrique</t>
  </si>
  <si>
    <t>9.390.333-1</t>
  </si>
  <si>
    <t>Longshaw Romero Juan Carlos</t>
  </si>
  <si>
    <t>11.825.938-6</t>
  </si>
  <si>
    <t>Lopez Carvajal Alejandro Hernan</t>
  </si>
  <si>
    <t>6.916.045-k</t>
  </si>
  <si>
    <t>Lopez Del Valle Marcelo Andres</t>
  </si>
  <si>
    <t>13.185.166-9</t>
  </si>
  <si>
    <t>López Herrera Angelo Andrés</t>
  </si>
  <si>
    <t>15.761.500-9</t>
  </si>
  <si>
    <t>Lopez Herrera Luis Alberto</t>
  </si>
  <si>
    <t>14.358.210-8</t>
  </si>
  <si>
    <t>López Lemus Dised Soledad</t>
  </si>
  <si>
    <t>16.991.123-1</t>
  </si>
  <si>
    <t>Lopez Medina Faber Duvan</t>
  </si>
  <si>
    <t>25.113.853-2</t>
  </si>
  <si>
    <t>Lopez Meza Jose Luis</t>
  </si>
  <si>
    <t>15.569.131-k</t>
  </si>
  <si>
    <t>Lopez Pasten Raul Jose</t>
  </si>
  <si>
    <t>9.057.771-9</t>
  </si>
  <si>
    <t>Lopez Quezada Nolberto Antonio</t>
  </si>
  <si>
    <t>10.518.807-2</t>
  </si>
  <si>
    <t>Lopez Roco Javier Alonso</t>
  </si>
  <si>
    <t>16.026.985-5</t>
  </si>
  <si>
    <t>Lopez Rojas Luis Antonio</t>
  </si>
  <si>
    <t>9.413.044-1</t>
  </si>
  <si>
    <t>Lopez Tapia Carlos Humberto</t>
  </si>
  <si>
    <t>10.509.913-4</t>
  </si>
  <si>
    <t>Lopez Uribe Oscar Antonio</t>
  </si>
  <si>
    <t>21.443.075-4</t>
  </si>
  <si>
    <t>López Zamora Carlos Enrique</t>
  </si>
  <si>
    <t>11.732.512-1</t>
  </si>
  <si>
    <t>Loyola Gómez Carlos Ernesto</t>
  </si>
  <si>
    <t>12.679.872-5</t>
  </si>
  <si>
    <t>Lucero Fuentes Rodrigo Enrique</t>
  </si>
  <si>
    <t>13.185.561-3</t>
  </si>
  <si>
    <t>Lucero Navea Manuel Eduardo</t>
  </si>
  <si>
    <t>8.108.198-0</t>
  </si>
  <si>
    <t>Luengo Castillo Luis Esteban</t>
  </si>
  <si>
    <t>15.952.083-8</t>
  </si>
  <si>
    <t>Luengo Ortega Juan Antonio</t>
  </si>
  <si>
    <t>16.537.252-2</t>
  </si>
  <si>
    <t>Luizaga Saire Francisco Alejandro</t>
  </si>
  <si>
    <t>15.769.177-5</t>
  </si>
  <si>
    <t>Luna Diaz Felipe Danilo</t>
  </si>
  <si>
    <t>16.849.253-7</t>
  </si>
  <si>
    <t>Luna Herrera Javier Alejandro</t>
  </si>
  <si>
    <t>15.510.205-5</t>
  </si>
  <si>
    <t>Macaya Puebla Ivan Marcelo</t>
  </si>
  <si>
    <t>14.336.476-3</t>
  </si>
  <si>
    <t>Madariaga Olavarría Juan Antonio</t>
  </si>
  <si>
    <t>11.944.709-7</t>
  </si>
  <si>
    <t>Madariaga Rodriguez Wilfredo Alberto</t>
  </si>
  <si>
    <t>10.309.536-0</t>
  </si>
  <si>
    <t>Madrid Gonzalez Jose Vicente</t>
  </si>
  <si>
    <t>7.888.073-2</t>
  </si>
  <si>
    <t>Magna Castillo Eduardo Enrique</t>
  </si>
  <si>
    <t>9.282.974-k</t>
  </si>
  <si>
    <t>Magna Montenegro Mario Antonio</t>
  </si>
  <si>
    <t>9.118.219-k</t>
  </si>
  <si>
    <t>Maita Zarzuri Jaime Javier</t>
  </si>
  <si>
    <t>14.102.101-k</t>
  </si>
  <si>
    <t>Maldini Galdames Oscar Ernesto</t>
  </si>
  <si>
    <t>13.980.283-7</t>
  </si>
  <si>
    <t>Maldini Lopez Ivania Constanza De Jesus</t>
  </si>
  <si>
    <t>20.805.083-4</t>
  </si>
  <si>
    <t>Maldonado Alarcon Ivan Alejandro</t>
  </si>
  <si>
    <t>16.413.465-2</t>
  </si>
  <si>
    <t>Maldonado El Hage Joao Miguel</t>
  </si>
  <si>
    <t>14.467.357-3</t>
  </si>
  <si>
    <t>Maldonado Opazo Mauricio Fernando</t>
  </si>
  <si>
    <t>10.233.622-4</t>
  </si>
  <si>
    <t>TEPSAC DAND</t>
  </si>
  <si>
    <t>Maluenda Maluenda Leonel Santiago</t>
  </si>
  <si>
    <t>10.593.440-8</t>
  </si>
  <si>
    <t>Mamani Copa Amed Nivaldo</t>
  </si>
  <si>
    <t>22.272.221-7</t>
  </si>
  <si>
    <t>Mamani Mollo Iván Ediason</t>
  </si>
  <si>
    <t>15.768.446-9</t>
  </si>
  <si>
    <t>Mamani Tapia Ruben Santos</t>
  </si>
  <si>
    <t>26.114.657-6</t>
  </si>
  <si>
    <t>Mandiola Zúñiga Luis David</t>
  </si>
  <si>
    <t>10.841.768-4</t>
  </si>
  <si>
    <t>Manriquez Carrasco Celso Augusto</t>
  </si>
  <si>
    <t>13.862.253-3</t>
  </si>
  <si>
    <t>Manríquez Velásquez Andrés Esteban</t>
  </si>
  <si>
    <t>14.559.833-8</t>
  </si>
  <si>
    <t>Mansilla Barrientos Fredy Armando</t>
  </si>
  <si>
    <t>10.493.945-7</t>
  </si>
  <si>
    <t>Mansilla Gallardo Hector Enrique</t>
  </si>
  <si>
    <t>12.729.990-0</t>
  </si>
  <si>
    <t>Mansilla Villarroel Jaime Rodrigo</t>
  </si>
  <si>
    <t>15.487.076-8</t>
  </si>
  <si>
    <t>Marambio Martínez Iván Arturo</t>
  </si>
  <si>
    <t>10.988.975-k</t>
  </si>
  <si>
    <t>Marambio Maturana Cristian Marcelo</t>
  </si>
  <si>
    <t>10.898.246-2</t>
  </si>
  <si>
    <t>Marchan Zarate Nathaly Johanna</t>
  </si>
  <si>
    <t>27.126.560-3</t>
  </si>
  <si>
    <t>Marchant Martínez Héctor Alejandro</t>
  </si>
  <si>
    <t>14.236.608-8</t>
  </si>
  <si>
    <t>Marin Molina Wilson Walter</t>
  </si>
  <si>
    <t>8.780.535-2</t>
  </si>
  <si>
    <t>Marin Ried Boris Marcelo</t>
  </si>
  <si>
    <t>12.570.434-4</t>
  </si>
  <si>
    <t>Marin Silva Patricio Anibal</t>
  </si>
  <si>
    <t>15.055.295-8</t>
  </si>
  <si>
    <t>Marin Vicencio Fernando Antonio</t>
  </si>
  <si>
    <t>12.817.199-1</t>
  </si>
  <si>
    <t>Mariqueo Herrera Eduardo Orlando</t>
  </si>
  <si>
    <t>11.877.197-4</t>
  </si>
  <si>
    <t>JEFE DE CONTRALORIA</t>
  </si>
  <si>
    <t>Mariscal Chiro Luis Nivaldo</t>
  </si>
  <si>
    <t>14.706.925-1</t>
  </si>
  <si>
    <t>Mariscal Chiro Rolando</t>
  </si>
  <si>
    <t>22.587.485-9</t>
  </si>
  <si>
    <t>Marshall Sandoval Kenedy Edgardo</t>
  </si>
  <si>
    <t>9.397.086-1</t>
  </si>
  <si>
    <t>Martinez . Kelvis</t>
  </si>
  <si>
    <t>25.354.339-6</t>
  </si>
  <si>
    <t>Martinez Ahumada Humberto Maximiliano</t>
  </si>
  <si>
    <t>16.026.773-9</t>
  </si>
  <si>
    <t>Martinez Diaz Gabriel Fernando</t>
  </si>
  <si>
    <t>10.497.368-k</t>
  </si>
  <si>
    <t>Martinez Espinoza Jean Franco</t>
  </si>
  <si>
    <t>21.511.387-6</t>
  </si>
  <si>
    <t>Martinez Gomez Carlos Augusto</t>
  </si>
  <si>
    <t>10.035.178-1</t>
  </si>
  <si>
    <t>Martínez Vera Jorge Luis</t>
  </si>
  <si>
    <t>9.326.260-3</t>
  </si>
  <si>
    <t>Matamala Fierro Jonathan Alejandro</t>
  </si>
  <si>
    <t>17.159.569-k</t>
  </si>
  <si>
    <t>Maturana Calderón Alejandro César</t>
  </si>
  <si>
    <t>11.944.786-0</t>
  </si>
  <si>
    <t>Maturana Castro Víctor Patricio</t>
  </si>
  <si>
    <t>8.189.018-8</t>
  </si>
  <si>
    <t>Maturana Muñoz Andrés Enrique</t>
  </si>
  <si>
    <t>14.910.253-1</t>
  </si>
  <si>
    <t>Maturana Sanchez Rodrigo Andres</t>
  </si>
  <si>
    <t>17.092.964-0</t>
  </si>
  <si>
    <t>Maturana Vásquez Manuel Humberto</t>
  </si>
  <si>
    <t>8.833.865-0</t>
  </si>
  <si>
    <t>Maulen Mamani Susana Elizabeth</t>
  </si>
  <si>
    <t>10.866.628-5</t>
  </si>
  <si>
    <t>Mauricio Paitan Abraham Victor</t>
  </si>
  <si>
    <t>24.905.341-4</t>
  </si>
  <si>
    <t>Mayer León Maykel Gonzalo</t>
  </si>
  <si>
    <t>13.543.100-1</t>
  </si>
  <si>
    <t>ARAMARK QUEBRADA BLANCA</t>
  </si>
  <si>
    <t>Maza Camilla Felipe Isaias</t>
  </si>
  <si>
    <t>20.497.749-6</t>
  </si>
  <si>
    <t>Maza Roman Fernando Rodrigo</t>
  </si>
  <si>
    <t>Medina Donoso Karen Pamela</t>
  </si>
  <si>
    <t>16.172.591-9</t>
  </si>
  <si>
    <t>Medina Pereira Bernardo Ernesto</t>
  </si>
  <si>
    <t>15.059.588-6</t>
  </si>
  <si>
    <t>Melendez Ramirez Samuel Isaac</t>
  </si>
  <si>
    <t>11.684.437-0</t>
  </si>
  <si>
    <t>Melendez Ruiz Rodrigo Andres</t>
  </si>
  <si>
    <t>14.423.071-k</t>
  </si>
  <si>
    <t>Melgarejo Romero Alex Bastian</t>
  </si>
  <si>
    <t>22.110.116-2</t>
  </si>
  <si>
    <t>Mella Osorio Ricardo Alfonso</t>
  </si>
  <si>
    <t>17.853.054-2</t>
  </si>
  <si>
    <t>Méndez Fabres Carlos Antonio</t>
  </si>
  <si>
    <t>19.778.442-3</t>
  </si>
  <si>
    <t>Mendez Paniagua Winifred Pascual</t>
  </si>
  <si>
    <t>22.197.292-9</t>
  </si>
  <si>
    <t>Mendoza Duran Daniel Jesus</t>
  </si>
  <si>
    <t>8.850.404-6</t>
  </si>
  <si>
    <t>Mendoza Mendoza Patricio Andres</t>
  </si>
  <si>
    <t>12.997.444-3</t>
  </si>
  <si>
    <t>Mendoza Pizarro Angelo Daniel</t>
  </si>
  <si>
    <t>18.113.206-k</t>
  </si>
  <si>
    <t>Mendoza Pizarro Pablo Ignacio</t>
  </si>
  <si>
    <t>19.214.706-9</t>
  </si>
  <si>
    <t>Mendoza Vilca Lorenzo Salomon</t>
  </si>
  <si>
    <t>11.160.977-2</t>
  </si>
  <si>
    <t>Meneses Urbina Carlos Andrés</t>
  </si>
  <si>
    <t>15.851.290-4</t>
  </si>
  <si>
    <t>Mera Muñoz Nelson Ruben</t>
  </si>
  <si>
    <t>10.059.400-5</t>
  </si>
  <si>
    <t>Mercado Araya Pedro Segundo</t>
  </si>
  <si>
    <t>12.804.142-7</t>
  </si>
  <si>
    <t>Mercado Estay Jose Luis</t>
  </si>
  <si>
    <t>8.228.349-8</t>
  </si>
  <si>
    <t>Mery Zuleta Wilson Andres</t>
  </si>
  <si>
    <t>17.037.158-5</t>
  </si>
  <si>
    <t>Meza Allende Alexis Vittorio</t>
  </si>
  <si>
    <t>15.092.438-3</t>
  </si>
  <si>
    <t>Meza Vargas Juan Carlos</t>
  </si>
  <si>
    <t>8.090.162-3</t>
  </si>
  <si>
    <t>Meza Vega Exequiel Andrés</t>
  </si>
  <si>
    <t>16.881.454-2</t>
  </si>
  <si>
    <t>Mickelson Veliz Hans Andres</t>
  </si>
  <si>
    <t>17.437.396-5</t>
  </si>
  <si>
    <t>Milla Romero Oscar Nibaldo</t>
  </si>
  <si>
    <t>12.944.082-1</t>
  </si>
  <si>
    <t>Milla Vergara Renato Andres</t>
  </si>
  <si>
    <t>13.744.703-7</t>
  </si>
  <si>
    <t>Miranda Carvajal Rolando Antonio</t>
  </si>
  <si>
    <t>15.015.736-6</t>
  </si>
  <si>
    <t>Miranda Guerrero Alejandro Alberto</t>
  </si>
  <si>
    <t>15.085.041-k</t>
  </si>
  <si>
    <t>Miranda Miranda Waldo</t>
  </si>
  <si>
    <t>10.774.278-6</t>
  </si>
  <si>
    <t>Miranda Morton Víctor Hernán</t>
  </si>
  <si>
    <t>14.464.684-3</t>
  </si>
  <si>
    <t>Miranda Olivares Carlos Guillermo</t>
  </si>
  <si>
    <t>14.118.043-6</t>
  </si>
  <si>
    <t>Miranda Rivera Luis Johny</t>
  </si>
  <si>
    <t>11.471.741-k</t>
  </si>
  <si>
    <t>Miranda Torres Braulio Antonio</t>
  </si>
  <si>
    <t>19.883.324-k</t>
  </si>
  <si>
    <t>Miranda Ugalde Sergio Hernan</t>
  </si>
  <si>
    <t>9.249.416-0</t>
  </si>
  <si>
    <t>Molina Acosta Alexis Rodrigo</t>
  </si>
  <si>
    <t>12.213.620-5</t>
  </si>
  <si>
    <t>Molina Hidalgo Cristian Freddy</t>
  </si>
  <si>
    <t>14.109.054-2</t>
  </si>
  <si>
    <t>Molina Maidana Richard Cosme</t>
  </si>
  <si>
    <t>12.209.073-6</t>
  </si>
  <si>
    <t>Molina Rocha Joiso Juan</t>
  </si>
  <si>
    <t>8.907.872-5</t>
  </si>
  <si>
    <t>Molina San Martin Emilio Ignacio</t>
  </si>
  <si>
    <t>17.797.417-k</t>
  </si>
  <si>
    <t>JEFE SALA DE CONTROL</t>
  </si>
  <si>
    <t>Molina Segura Juan Sebastian</t>
  </si>
  <si>
    <t>19.700.138-0</t>
  </si>
  <si>
    <t>Monardes Cofre Sergio Patricio Francisco</t>
  </si>
  <si>
    <t>9.526.617-7</t>
  </si>
  <si>
    <t>Monardes Morales Nicolás Antonio</t>
  </si>
  <si>
    <t>10.927.020-2</t>
  </si>
  <si>
    <t>Monares Peñaloza Jorge Segundo</t>
  </si>
  <si>
    <t>11.832.595-8</t>
  </si>
  <si>
    <t>Mondaca Muñoz Eduardo Antonio</t>
  </si>
  <si>
    <t>14.622.667-1</t>
  </si>
  <si>
    <t>Montealegre Briones Cristian Orlando</t>
  </si>
  <si>
    <t>10.155.455-4</t>
  </si>
  <si>
    <t>VULCANIZADOR</t>
  </si>
  <si>
    <t>Montealegre Oyarzo Alex Ignacio</t>
  </si>
  <si>
    <t>17.831.337-1</t>
  </si>
  <si>
    <t>Montecinos Toledo Emiliano De La Cruz</t>
  </si>
  <si>
    <t>11.660.518-k</t>
  </si>
  <si>
    <t>Montenegro Cortez Cristhian Hernán</t>
  </si>
  <si>
    <t>12.312.355-7</t>
  </si>
  <si>
    <t>Montenegro Escobar Luciano David</t>
  </si>
  <si>
    <t>13.827.126-9</t>
  </si>
  <si>
    <t>Montenegro Galdames Jose Bernardo</t>
  </si>
  <si>
    <t>10.055.539-5</t>
  </si>
  <si>
    <t>Montenegro Ibarra Eric Leandro</t>
  </si>
  <si>
    <t>17.818.864-k</t>
  </si>
  <si>
    <t>Montenegro Lopez William</t>
  </si>
  <si>
    <t>22.649.181-3</t>
  </si>
  <si>
    <t>Montenegro Orostizaga Juan Sebastian</t>
  </si>
  <si>
    <t>13.751.796-5</t>
  </si>
  <si>
    <t>Montenegro Rojas Diana Marcela</t>
  </si>
  <si>
    <t>22.649.153-8</t>
  </si>
  <si>
    <t>Montenegro Silva Rodrigo Arturo</t>
  </si>
  <si>
    <t>14.443.613-k</t>
  </si>
  <si>
    <t>Montenegro Vicencio Sergio José</t>
  </si>
  <si>
    <t>11.940.765-6</t>
  </si>
  <si>
    <t>Montenegro Villarreal Roberto Hernan</t>
  </si>
  <si>
    <t>11.518.021-5</t>
  </si>
  <si>
    <t>Monterrichard Cuello Carlos Andres</t>
  </si>
  <si>
    <t>10.926.645-0</t>
  </si>
  <si>
    <t>Montes Ginard Jaime Gabriel</t>
  </si>
  <si>
    <t>10.038.213-k</t>
  </si>
  <si>
    <t>Montiel Guerrero Nicolas Alejandro</t>
  </si>
  <si>
    <t>18.016.965-2</t>
  </si>
  <si>
    <t>Moraga Becerra Julio Abel</t>
  </si>
  <si>
    <t>16.897.704-2</t>
  </si>
  <si>
    <t>Moraleda Araya Erik Patricio</t>
  </si>
  <si>
    <t>12.945.127-0</t>
  </si>
  <si>
    <t>Morales Castillo Héctor Claudio</t>
  </si>
  <si>
    <t>8.208.998-5</t>
  </si>
  <si>
    <t>Morales Herrera Richard Samuel</t>
  </si>
  <si>
    <t>10.117.534-0</t>
  </si>
  <si>
    <t>Morales Labbe Juan Manuel</t>
  </si>
  <si>
    <t>10.439.874-k</t>
  </si>
  <si>
    <t>Morales Ordoñez Leandro Israel</t>
  </si>
  <si>
    <t>24.416.419-6</t>
  </si>
  <si>
    <t>Morales Ossandón Daniel Francisco</t>
  </si>
  <si>
    <t>12.949.033-0</t>
  </si>
  <si>
    <t>Morales Pavez Juan Carlos</t>
  </si>
  <si>
    <t>6.869.405-1</t>
  </si>
  <si>
    <t>Morales Rivera Michael Andrés</t>
  </si>
  <si>
    <t>19.205.092-8</t>
  </si>
  <si>
    <t>BODEGA ZONA NORTE</t>
  </si>
  <si>
    <t>Morales Rivera Stephanie Marcelina</t>
  </si>
  <si>
    <t>17.724.142-3</t>
  </si>
  <si>
    <t>Morales Rojas Gemima Areti</t>
  </si>
  <si>
    <t>10.835.067-9</t>
  </si>
  <si>
    <t>Morales Tapia Luis Felipe</t>
  </si>
  <si>
    <t>13.538.692-8</t>
  </si>
  <si>
    <t>Morales Varas Diana Silvana</t>
  </si>
  <si>
    <t>11.930.623-k</t>
  </si>
  <si>
    <t>Morales Vicencio Jhonny Danilo</t>
  </si>
  <si>
    <t>11.931.255-8</t>
  </si>
  <si>
    <t>Moreno Cepeda David Jonathan</t>
  </si>
  <si>
    <t>16.133.863-k</t>
  </si>
  <si>
    <t>Moreno Chapa Beatriz Del Tránsito</t>
  </si>
  <si>
    <t>14.489.458-8</t>
  </si>
  <si>
    <t>Moreno Elgueta Alexis Andrés</t>
  </si>
  <si>
    <t>15.007.942-k</t>
  </si>
  <si>
    <t>NEWREST CONCENTRADORA CENTINELA</t>
  </si>
  <si>
    <t>Moreno Fernandez Gabriel Benito</t>
  </si>
  <si>
    <t>7.645.123-0</t>
  </si>
  <si>
    <t>Moreno Lara Javier Ivan</t>
  </si>
  <si>
    <t>13.418.208-3</t>
  </si>
  <si>
    <t>Moreno Molina Claudio Iván</t>
  </si>
  <si>
    <t>12.214.625-1</t>
  </si>
  <si>
    <t>Moreno Navarro Diego David</t>
  </si>
  <si>
    <t>21.536.950-1</t>
  </si>
  <si>
    <t>Moreno Nuñez Jose Alfredo</t>
  </si>
  <si>
    <t>10.452.942-9</t>
  </si>
  <si>
    <t>Moreno Olguin Hugo Eduardo</t>
  </si>
  <si>
    <t>14.357.407-5</t>
  </si>
  <si>
    <t>Moreno Poblete Cristhofer Alonso</t>
  </si>
  <si>
    <t>19.888.112-0</t>
  </si>
  <si>
    <t>Moreno Sazo Angel Raúl</t>
  </si>
  <si>
    <t>6.204.432-2</t>
  </si>
  <si>
    <t>Moroso Plaza Gilberto Williams</t>
  </si>
  <si>
    <t>16.195.113-7</t>
  </si>
  <si>
    <t>Moscoso Torres Alan John</t>
  </si>
  <si>
    <t>15.028.408-2</t>
  </si>
  <si>
    <t>Moya Contreras Eugenia Marisel</t>
  </si>
  <si>
    <t>18.973.655-k</t>
  </si>
  <si>
    <t>Moyano Carroza Guillermo Segundo</t>
  </si>
  <si>
    <t>12.076.932-4</t>
  </si>
  <si>
    <t>Mundaca Hinojosa Gustavo Eugenio</t>
  </si>
  <si>
    <t>9.629.433-6</t>
  </si>
  <si>
    <t>Mundaca Palacio Luis Eduardo</t>
  </si>
  <si>
    <t>9.646.784-2</t>
  </si>
  <si>
    <t>Mundaca Pérez Matías Gustavo</t>
  </si>
  <si>
    <t>19.887.452-3</t>
  </si>
  <si>
    <t>Muñoz Araya Jairo Eliseo</t>
  </si>
  <si>
    <t>17.163.808-9</t>
  </si>
  <si>
    <t>Muñoz Avila Hector Hernan</t>
  </si>
  <si>
    <t>11.517.656-0</t>
  </si>
  <si>
    <t>Muñoz Campos Sergio Alejandro</t>
  </si>
  <si>
    <t>11.329.716-6</t>
  </si>
  <si>
    <t>Muñoz Carvajal Luis Ivan</t>
  </si>
  <si>
    <t>10.759.321-7</t>
  </si>
  <si>
    <t>Muñoz Castillo Adrian Leonardo</t>
  </si>
  <si>
    <t>8.054.582-7</t>
  </si>
  <si>
    <t>Muñoz Castillo Ruben Francisco</t>
  </si>
  <si>
    <t>13.861.828-5</t>
  </si>
  <si>
    <t>Muñoz Concha Edison Esteban</t>
  </si>
  <si>
    <t>12.286.947-4</t>
  </si>
  <si>
    <t>Muñoz Guerra Freddy Hernan</t>
  </si>
  <si>
    <t>15.061.912-2</t>
  </si>
  <si>
    <t>Muñoz Henriquez Luis Eduardo</t>
  </si>
  <si>
    <t>10.295.814-4</t>
  </si>
  <si>
    <t>Muñoz Hurtado Jonathan Alejandro</t>
  </si>
  <si>
    <t>17.711.977-6</t>
  </si>
  <si>
    <t>Muñoz Manso Rodrigo Antonio</t>
  </si>
  <si>
    <t>7.999.636-k</t>
  </si>
  <si>
    <t>Muñoz Morales Karen Alejandra</t>
  </si>
  <si>
    <t>15.761.231-k</t>
  </si>
  <si>
    <t>Muñoz Muñoz Andres Adolfo</t>
  </si>
  <si>
    <t>12.579.300-2</t>
  </si>
  <si>
    <t>Muñoz Muñoz Dirna Soledad</t>
  </si>
  <si>
    <t>15.016.081-2</t>
  </si>
  <si>
    <t>Muñoz Muñoz Margarita Soledad</t>
  </si>
  <si>
    <t>12.817.698-5</t>
  </si>
  <si>
    <t>Muñoz Ortega Marcelo Andres</t>
  </si>
  <si>
    <t>18.409.531-9</t>
  </si>
  <si>
    <t>Muñoz Perez Wilson Antonio</t>
  </si>
  <si>
    <t>27.014.999-5</t>
  </si>
  <si>
    <t>Muñoz Román Nibaldo Antonio</t>
  </si>
  <si>
    <t>14.326.845-4</t>
  </si>
  <si>
    <t>Muñoz Salinas Matías Omar</t>
  </si>
  <si>
    <t>17.972.547-9</t>
  </si>
  <si>
    <t>Muñoz Urzúa Juan Francisco</t>
  </si>
  <si>
    <t>11.887.603-2</t>
  </si>
  <si>
    <t>Muñoz Valenzuela Rodrigo Andres</t>
  </si>
  <si>
    <t>12.718.611-1</t>
  </si>
  <si>
    <t>Muñoz Videla Manuel Antonio</t>
  </si>
  <si>
    <t>14.305.225-7</t>
  </si>
  <si>
    <t>Mura Ortiz Alexi Enrique</t>
  </si>
  <si>
    <t>15.061.896-7</t>
  </si>
  <si>
    <t>Murgas Muñoz Jose Roberto</t>
  </si>
  <si>
    <t>16.305.782-4</t>
  </si>
  <si>
    <t>Museau  Charlemagne</t>
  </si>
  <si>
    <t>22.988.840-4</t>
  </si>
  <si>
    <t>Nahuelhual Fernández Héctor Adán</t>
  </si>
  <si>
    <t>14.288.017-2</t>
  </si>
  <si>
    <t>Naranjo Villafaña Jose Antonio</t>
  </si>
  <si>
    <t>17.530.349-9</t>
  </si>
  <si>
    <t>Navarrete Ossandon Juan Carlos</t>
  </si>
  <si>
    <t>8.798.028-6</t>
  </si>
  <si>
    <t>Navarro Espinosa Miguel Angel</t>
  </si>
  <si>
    <t>19.723.426-1</t>
  </si>
  <si>
    <t>Navarro Mena Luis Horacio</t>
  </si>
  <si>
    <t>9.326.320-0</t>
  </si>
  <si>
    <t>Navarro Navarro Angelo Rodrigo</t>
  </si>
  <si>
    <t>13.654.680-5</t>
  </si>
  <si>
    <t>Navea Jaramillo Alexander Roberto</t>
  </si>
  <si>
    <t>14.197.138-7</t>
  </si>
  <si>
    <t>Navea Vilches Marco Antonio</t>
  </si>
  <si>
    <t>15.555.292-1</t>
  </si>
  <si>
    <t>Neira Morales Fredy Alexis</t>
  </si>
  <si>
    <t>13.619.745-2</t>
  </si>
  <si>
    <t>Nievas Zarapura Juan Carlos</t>
  </si>
  <si>
    <t>9.733.799-3</t>
  </si>
  <si>
    <t>Nilo Henríquez Cristian Alejandro</t>
  </si>
  <si>
    <t>12.170.492-7</t>
  </si>
  <si>
    <t>Nizza Fuentes Ernesto Eduardo</t>
  </si>
  <si>
    <t>11.680.437-9</t>
  </si>
  <si>
    <t>Nolazco Quispe Pedro Miguel</t>
  </si>
  <si>
    <t>22.281.499-5</t>
  </si>
  <si>
    <t>Noveroy Madrid Luis Alejandro</t>
  </si>
  <si>
    <t>13.019.348-k</t>
  </si>
  <si>
    <t>Nuñez Araya Jorge Luis</t>
  </si>
  <si>
    <t>6.519.831-2</t>
  </si>
  <si>
    <t>ANDINA</t>
  </si>
  <si>
    <t>Núñez Castro Fabián Eduardo</t>
  </si>
  <si>
    <t>19.582.465-7</t>
  </si>
  <si>
    <t>Nuñez Constanzo Rodrigo Fernando</t>
  </si>
  <si>
    <t>12.846.246-5</t>
  </si>
  <si>
    <t>Nuñez Gil Paulo Andres</t>
  </si>
  <si>
    <t>11.728.384-4</t>
  </si>
  <si>
    <t>Núñez Jimenez Luis Eduardo</t>
  </si>
  <si>
    <t>9.834.416-0</t>
  </si>
  <si>
    <t>Núñez Lara Rosa Angélica</t>
  </si>
  <si>
    <t>18.961.097-1</t>
  </si>
  <si>
    <t>Nuñez Salgado Alejandro Ignacio</t>
  </si>
  <si>
    <t>20.948.947-3</t>
  </si>
  <si>
    <t>Olavarria Herrera Luis Enrique</t>
  </si>
  <si>
    <t>9.715.917-3</t>
  </si>
  <si>
    <t>Olea Rojas Waldo Alejandro</t>
  </si>
  <si>
    <t>16.486.551-7</t>
  </si>
  <si>
    <t>Olguín Montenegro Alex Sandro</t>
  </si>
  <si>
    <t>12.599.413-k</t>
  </si>
  <si>
    <t>Olguin Sanchez Robinson Ernesto</t>
  </si>
  <si>
    <t>10.190.508-k</t>
  </si>
  <si>
    <t>Olguin Yañez Erika Del Rosario</t>
  </si>
  <si>
    <t>16.852.752-7</t>
  </si>
  <si>
    <t>Oliva Oporto Roberto Aladino</t>
  </si>
  <si>
    <t>12.362.634-6</t>
  </si>
  <si>
    <t>Olivares Aros Jose Alberto</t>
  </si>
  <si>
    <t>10.851.744-1</t>
  </si>
  <si>
    <t>Olivares Camus Manuel Francisco</t>
  </si>
  <si>
    <t>9.506.063-3</t>
  </si>
  <si>
    <t>Olivares Fernandez Christian Mauricio</t>
  </si>
  <si>
    <t>12.403.044-7</t>
  </si>
  <si>
    <t>Olivares León Luis Antonio</t>
  </si>
  <si>
    <t>15.092.541-k</t>
  </si>
  <si>
    <t>Olivares Meléndez Rómulo Alejandro</t>
  </si>
  <si>
    <t>14.447.473-2</t>
  </si>
  <si>
    <t>Olivares Olivares Álvaro Alejandro</t>
  </si>
  <si>
    <t>11.730.383-7</t>
  </si>
  <si>
    <t>Olivares Rivas David Patricio</t>
  </si>
  <si>
    <t>9.125.738-6</t>
  </si>
  <si>
    <t>Olivares Saavedra Álvaro Alejandro</t>
  </si>
  <si>
    <t>20.667.474-1</t>
  </si>
  <si>
    <t>Olivares Silva Luis Alberto</t>
  </si>
  <si>
    <t>9.882.837-0</t>
  </si>
  <si>
    <t>Olivárez Recabarren Esteban Andrés</t>
  </si>
  <si>
    <t>17.887.590-6</t>
  </si>
  <si>
    <t>Oliveros Henríquez Fabián Hernán</t>
  </si>
  <si>
    <t>13.513.106-7</t>
  </si>
  <si>
    <t>Olmos Mura Pedro Antonio</t>
  </si>
  <si>
    <t>12.950.552-4</t>
  </si>
  <si>
    <t>Olmos Velasquez Pablo Yan</t>
  </si>
  <si>
    <t>17.514.323-8</t>
  </si>
  <si>
    <t>MECANICO ESPECIALISTA</t>
  </si>
  <si>
    <t>Ondarza Quiroz Diego Alonso</t>
  </si>
  <si>
    <t>17.300.109-6</t>
  </si>
  <si>
    <t>Opazo Araneda Cristian Esteban</t>
  </si>
  <si>
    <t>12.701.076-5</t>
  </si>
  <si>
    <t>Opazo Godoy Luis Patricio</t>
  </si>
  <si>
    <t>10.272.710-k</t>
  </si>
  <si>
    <t>Opazo Soto Guillermo Andrés</t>
  </si>
  <si>
    <t>13.562.821-2</t>
  </si>
  <si>
    <t>Ordenes Ossandon Manuel Jerris</t>
  </si>
  <si>
    <t>8.589.357-2</t>
  </si>
  <si>
    <t>MANTENCION CALAMA CNN</t>
  </si>
  <si>
    <t>Ordenes Quiroz Andres Eduardo</t>
  </si>
  <si>
    <t>13.184.169-8</t>
  </si>
  <si>
    <t>Orellana Contreras Luis Benigno</t>
  </si>
  <si>
    <t>9.151.168-1</t>
  </si>
  <si>
    <t>Orellana Gallardo José Gabriel</t>
  </si>
  <si>
    <t>10.704.969-k</t>
  </si>
  <si>
    <t>Orellana Páez José Miguel</t>
  </si>
  <si>
    <t>18.113.557-3</t>
  </si>
  <si>
    <t>LIDER EN ESTRATEGIA Y CONTROL DE GESTION</t>
  </si>
  <si>
    <t>Orellana Tapia Eduardo Freddy</t>
  </si>
  <si>
    <t>10.652.485-8</t>
  </si>
  <si>
    <t>Ormeño Nelson Carola Alejandra</t>
  </si>
  <si>
    <t>17.809.171-9</t>
  </si>
  <si>
    <t>Oróstica Uribe Carlos Andrés</t>
  </si>
  <si>
    <t>13.832.687-k</t>
  </si>
  <si>
    <t>Ortega Alfaro Marco Antonio</t>
  </si>
  <si>
    <t>8.885.565-5</t>
  </si>
  <si>
    <t>Ortega Alvarez Ruben</t>
  </si>
  <si>
    <t>24.541.639-3</t>
  </si>
  <si>
    <t>Ortega Espinosa Eduardo Andres</t>
  </si>
  <si>
    <t>14.007.343-1</t>
  </si>
  <si>
    <t>Ortega Hidalgo Eduardo Bernabe</t>
  </si>
  <si>
    <t>7.378.737-8</t>
  </si>
  <si>
    <t>Ortega Jerez Juan Claudio</t>
  </si>
  <si>
    <t>7.568.524-6</t>
  </si>
  <si>
    <t>Ortega Rodriguez Yeric Ronnie</t>
  </si>
  <si>
    <t>16.550.749-5</t>
  </si>
  <si>
    <t>Ortega Vidal Francisco Richard</t>
  </si>
  <si>
    <t>9.562.332-8</t>
  </si>
  <si>
    <t>Ortiz Herrera Mauricio Patricio</t>
  </si>
  <si>
    <t>8.918.457-6</t>
  </si>
  <si>
    <t>Ortiz Pino Claudio Andres</t>
  </si>
  <si>
    <t>11.729.667-9</t>
  </si>
  <si>
    <t>Osorio Benitez Michael Adrian</t>
  </si>
  <si>
    <t>26.245.886-5</t>
  </si>
  <si>
    <t>Osorio Espinoza Alexander Andrés</t>
  </si>
  <si>
    <t>20.211.234-k</t>
  </si>
  <si>
    <t>Osorio Montenegro Cristian Felipe</t>
  </si>
  <si>
    <t>15.060.386-2</t>
  </si>
  <si>
    <t>ENCARGADO DE CONTRALORIA</t>
  </si>
  <si>
    <t>Ossa Gomez Jorge Enrique</t>
  </si>
  <si>
    <t>14.120.272-3</t>
  </si>
  <si>
    <t>ELECTRICISTA ESPECIALISTA</t>
  </si>
  <si>
    <t>Ossandón Angel Eduardo Hernaldo</t>
  </si>
  <si>
    <t>15.043.132-8</t>
  </si>
  <si>
    <t>Ossandon Carrasco Carolina Patricia</t>
  </si>
  <si>
    <t>13.216.643-9</t>
  </si>
  <si>
    <t>Ossandon Cortes James Honorindo</t>
  </si>
  <si>
    <t>9.738.566-1</t>
  </si>
  <si>
    <t>Ossandon Esparza Luis Eduardo</t>
  </si>
  <si>
    <t>12.043.582-5</t>
  </si>
  <si>
    <t>Osses Cárcamo Matías Alejandro</t>
  </si>
  <si>
    <t>16.776.521-1</t>
  </si>
  <si>
    <t>Oyanedel Tapia Andrea Teresa</t>
  </si>
  <si>
    <t>16.500.089-7</t>
  </si>
  <si>
    <t>ASISTENTE DE ABASTECIMIENTO</t>
  </si>
  <si>
    <t>Oyarce Orellana Jenny Carola</t>
  </si>
  <si>
    <t>17.127.969-0</t>
  </si>
  <si>
    <t>Oyarzún Alvarado Gabriel Del Carmen</t>
  </si>
  <si>
    <t>10.122.001-k</t>
  </si>
  <si>
    <t>Pacheco Paredes Luis Alberto</t>
  </si>
  <si>
    <t>23.565.833-k</t>
  </si>
  <si>
    <t>Pacheco Pasquet Luis Guillermo</t>
  </si>
  <si>
    <t>9.199.860-2</t>
  </si>
  <si>
    <t>Pacheco Solis Máximo Alejandro</t>
  </si>
  <si>
    <t>11.114.826-0</t>
  </si>
  <si>
    <t>Padilla Mantilla Carlingston Manuel</t>
  </si>
  <si>
    <t>26.542.518-6</t>
  </si>
  <si>
    <t>Paez Jorquera Angel Del Carmen</t>
  </si>
  <si>
    <t>8.698.092-4</t>
  </si>
  <si>
    <t>Paez Pereira Nibaldo Enrique</t>
  </si>
  <si>
    <t>12.952.078-7</t>
  </si>
  <si>
    <t>Paez Zamora Sergio Ignacio</t>
  </si>
  <si>
    <t>18.385.398-8</t>
  </si>
  <si>
    <t>Pallacan Cortes Juan Ricardo</t>
  </si>
  <si>
    <t>8.812.713-7</t>
  </si>
  <si>
    <t>Palma Avendaño Luis Fernando</t>
  </si>
  <si>
    <t>10.978.074-k</t>
  </si>
  <si>
    <t>Palma Sanhueza Sergio Enrique</t>
  </si>
  <si>
    <t>17.831.087-9</t>
  </si>
  <si>
    <t>Palma Villagran Francisco Javier</t>
  </si>
  <si>
    <t>17.970.453-6</t>
  </si>
  <si>
    <t>Palomino Olivares Claudia Andrea</t>
  </si>
  <si>
    <t>10.447.380-6</t>
  </si>
  <si>
    <t>Palomino Olivares Jorge Alexis</t>
  </si>
  <si>
    <t>10.687.650-9</t>
  </si>
  <si>
    <t>Palta Olmedo Orlando Segundo</t>
  </si>
  <si>
    <t>8.202.609-6</t>
  </si>
  <si>
    <t>Palza Cortés Manuel Alejandro</t>
  </si>
  <si>
    <t>18.712.638-k</t>
  </si>
  <si>
    <t>Parada Aliaga Christian Alex Felipe</t>
  </si>
  <si>
    <t>10.543.576-2</t>
  </si>
  <si>
    <t>Pareja Pérez Juan Eduardo</t>
  </si>
  <si>
    <t>15.220.865-0</t>
  </si>
  <si>
    <t>Parra Castillo Jorge Eduardo</t>
  </si>
  <si>
    <t>13.385.772-9</t>
  </si>
  <si>
    <t>Parra Jimenez Jorge Fernando</t>
  </si>
  <si>
    <t>14.279.238-9</t>
  </si>
  <si>
    <t>INDIRECTOS ZONA I</t>
  </si>
  <si>
    <t>Parra Soto Javiera Victoria</t>
  </si>
  <si>
    <t>21.332.106-4</t>
  </si>
  <si>
    <t>Parra Zamora Juan Manuel</t>
  </si>
  <si>
    <t>15.817.651-3</t>
  </si>
  <si>
    <t>Pasten Angel Juan Bernardo</t>
  </si>
  <si>
    <t>10.858.926-4</t>
  </si>
  <si>
    <t>Pasten Saavedra Antonio Fernando</t>
  </si>
  <si>
    <t>8.375.611-k</t>
  </si>
  <si>
    <t>Pastene Rios Francisca Victoria Dafne</t>
  </si>
  <si>
    <t>15.060.546-6</t>
  </si>
  <si>
    <t>Pastenes Gahona Emily Carolina</t>
  </si>
  <si>
    <t>18.014.895-7</t>
  </si>
  <si>
    <t>Paz Zuñiga Armando Ignacio</t>
  </si>
  <si>
    <t>11.943.297-9</t>
  </si>
  <si>
    <t>Peña Berrios Carol Evelyn</t>
  </si>
  <si>
    <t>15.091.260-1</t>
  </si>
  <si>
    <t>Peña Candia Jorge Manuel</t>
  </si>
  <si>
    <t>11.233.356-8</t>
  </si>
  <si>
    <t>Peña Castillo Marcelo Alejandro</t>
  </si>
  <si>
    <t>13.416.733-5</t>
  </si>
  <si>
    <t>Peña Ossandon Victor Hugo</t>
  </si>
  <si>
    <t>12.219.295-4</t>
  </si>
  <si>
    <t>Peña Paez Jose Fernando</t>
  </si>
  <si>
    <t>9.118.957-7</t>
  </si>
  <si>
    <t>Peña Peña Luis Felipe</t>
  </si>
  <si>
    <t>9.519.196-7</t>
  </si>
  <si>
    <t>Peñafiel Quintero Juan Antonio</t>
  </si>
  <si>
    <t>27.068.270-7</t>
  </si>
  <si>
    <t>Peñaloza Navarro Manuel Benito</t>
  </si>
  <si>
    <t>11.280.215-0</t>
  </si>
  <si>
    <t>Peralta Diaz Maicol Andres</t>
  </si>
  <si>
    <t>18.184.069-2</t>
  </si>
  <si>
    <t>Peralta Tapia Osvaldo Alfonso</t>
  </si>
  <si>
    <t>10.409.599-2</t>
  </si>
  <si>
    <t>Pereira Adad Patricio Antonio</t>
  </si>
  <si>
    <t>15.768.433-7</t>
  </si>
  <si>
    <t>Pérez Allendes Juan Raúl</t>
  </si>
  <si>
    <t>15.092.575-4</t>
  </si>
  <si>
    <t>Perez Bello Ivan Antonio</t>
  </si>
  <si>
    <t>15.222.102-9</t>
  </si>
  <si>
    <t>Pérez Catelicán Carlos Javier</t>
  </si>
  <si>
    <t>11.721.342-0</t>
  </si>
  <si>
    <t>Perez Cocio Manuel Patricio</t>
  </si>
  <si>
    <t>16.134.397-8</t>
  </si>
  <si>
    <t>Pérez González Rodrigo Armando</t>
  </si>
  <si>
    <t>10.508.207-k</t>
  </si>
  <si>
    <t>Perez Lazcano Cristian Enrique</t>
  </si>
  <si>
    <t>10.256.847-8</t>
  </si>
  <si>
    <t>Perez Lopez Alex Segundo</t>
  </si>
  <si>
    <t>10.263.414-4</t>
  </si>
  <si>
    <t>Perez Lopez Daniel Moises</t>
  </si>
  <si>
    <t>14.558.338-1</t>
  </si>
  <si>
    <t>Perez Martinez Scarlett Katherinne</t>
  </si>
  <si>
    <t>18.183.347-5</t>
  </si>
  <si>
    <t>Perez Navarro Hector Ivan</t>
  </si>
  <si>
    <t>9.717.231-5</t>
  </si>
  <si>
    <t>Pérez Navea Amador Alejandro</t>
  </si>
  <si>
    <t>9.257.220-k</t>
  </si>
  <si>
    <t>Perez Ortega Hector Erick</t>
  </si>
  <si>
    <t>12.793.736-2</t>
  </si>
  <si>
    <t>Perez Parra Juan Alberto</t>
  </si>
  <si>
    <t>12.384.727-k</t>
  </si>
  <si>
    <t>Perez Pezoa Adriana Carolina</t>
  </si>
  <si>
    <t>14.102.887-1</t>
  </si>
  <si>
    <t>Perez Retamales Francisco Jose</t>
  </si>
  <si>
    <t>12.172.333-6</t>
  </si>
  <si>
    <t>Perez Saldias Claudio Hernan</t>
  </si>
  <si>
    <t>10.412.680-4</t>
  </si>
  <si>
    <t>Pérez Vergara Diego Andrés</t>
  </si>
  <si>
    <t>17.791.412-6</t>
  </si>
  <si>
    <t>Pineda Guerrero Paola Andrea</t>
  </si>
  <si>
    <t>26.571.392-0</t>
  </si>
  <si>
    <t>Pino Contreras Hector Jose</t>
  </si>
  <si>
    <t>13.010.683-8</t>
  </si>
  <si>
    <t>Pino Estay Luis Ernesto</t>
  </si>
  <si>
    <t>15.318.532-8</t>
  </si>
  <si>
    <t>Pino Perez Miguel Angel</t>
  </si>
  <si>
    <t>17.972.697-1</t>
  </si>
  <si>
    <t>Pinto Cornejo Mauricio Antonio</t>
  </si>
  <si>
    <t>9.507.847-8</t>
  </si>
  <si>
    <t>Pinto Estrada Marco Aurelio</t>
  </si>
  <si>
    <t>15.079.784-5</t>
  </si>
  <si>
    <t>Pinto Leyton Jonathan Israel</t>
  </si>
  <si>
    <t>14.549.804-k</t>
  </si>
  <si>
    <t>Pinto Marín Mauricio Alfredo</t>
  </si>
  <si>
    <t>12.890.845-5</t>
  </si>
  <si>
    <t>Pinto Ossandon Felipe Alejandro</t>
  </si>
  <si>
    <t>18.362.588-8</t>
  </si>
  <si>
    <t>INDIRECTO ZONA II SIMSA</t>
  </si>
  <si>
    <t>Pinto Pozo Héctor Artemio</t>
  </si>
  <si>
    <t>11.471.571-9</t>
  </si>
  <si>
    <t>Piñuñuri Monsalves Elias Rafael</t>
  </si>
  <si>
    <t>13.620.256-1</t>
  </si>
  <si>
    <t>Pizarro Diaz Jorge Enrique</t>
  </si>
  <si>
    <t>13.992.554-8</t>
  </si>
  <si>
    <t>Pizarro Fernandez Francisco Moises</t>
  </si>
  <si>
    <t>15.760.748-0</t>
  </si>
  <si>
    <t>Pizarro Jara Luis Guillermo</t>
  </si>
  <si>
    <t>19.101.226-7</t>
  </si>
  <si>
    <t>Pizarro Rojas Oscar Armando</t>
  </si>
  <si>
    <t>8.616.414-0</t>
  </si>
  <si>
    <t>Pizarro Silva Patricio Alejandro</t>
  </si>
  <si>
    <t>10.266.010-2</t>
  </si>
  <si>
    <t>Pizarro Villalobos Fernando Atilio</t>
  </si>
  <si>
    <t>10.141.915-0</t>
  </si>
  <si>
    <t>Plaza Cerda Javier Alejandro</t>
  </si>
  <si>
    <t>17.722.490-1</t>
  </si>
  <si>
    <t>Plaza Silva Alexandra Stefania</t>
  </si>
  <si>
    <t>18.114.327-4</t>
  </si>
  <si>
    <t>Poblete Celedon Oscar Arnaldo</t>
  </si>
  <si>
    <t>16.544.125-7</t>
  </si>
  <si>
    <t>Poblete Corvetto Danilo Eduardo</t>
  </si>
  <si>
    <t>11.976.167-0</t>
  </si>
  <si>
    <t>Ponce Arredondo Teresa Natalia</t>
  </si>
  <si>
    <t>16.550.585-9</t>
  </si>
  <si>
    <t>Ponce Castañeda Silvio Domingo</t>
  </si>
  <si>
    <t>7.959.492-k</t>
  </si>
  <si>
    <t>Ponce Cholele Adriana Del Carmen</t>
  </si>
  <si>
    <t>15.024.632-6</t>
  </si>
  <si>
    <t>Ponce Muñoz Mario Alejandro</t>
  </si>
  <si>
    <t>13.362.206-3</t>
  </si>
  <si>
    <t>Ponce Perez Nelson Manuel</t>
  </si>
  <si>
    <t>13.539.185-9</t>
  </si>
  <si>
    <t>Prado Muñoz Germán Agustín</t>
  </si>
  <si>
    <t>11.194.324-9</t>
  </si>
  <si>
    <t>Preciado Rodriguez Giovanni</t>
  </si>
  <si>
    <t>25.821.900-7</t>
  </si>
  <si>
    <t>Puebla Riquelme Jorge Eduardo</t>
  </si>
  <si>
    <t>9.646.292-1</t>
  </si>
  <si>
    <t>Puentes Araya Rodrigo Gonzalo</t>
  </si>
  <si>
    <t>17.952.824-k</t>
  </si>
  <si>
    <t>JEFE DE CONTABILIDAD</t>
  </si>
  <si>
    <t>Puentes Rebolledo Miguel Ángel</t>
  </si>
  <si>
    <t>14.552.129-7</t>
  </si>
  <si>
    <t>Pujado Rojas Marcelo Andres</t>
  </si>
  <si>
    <t>19.352.021-9</t>
  </si>
  <si>
    <t>Pujado Santander Cristian Nelson</t>
  </si>
  <si>
    <t>12.112.218-9</t>
  </si>
  <si>
    <t>Pulgar Diaz Herman Alberto</t>
  </si>
  <si>
    <t>7.788.797-0</t>
  </si>
  <si>
    <t>Pulgar Pérez Eduardo Isaías</t>
  </si>
  <si>
    <t>19.448.795-9</t>
  </si>
  <si>
    <t>Pulgar Toro Cristian Ignacio</t>
  </si>
  <si>
    <t>10.089.218-9</t>
  </si>
  <si>
    <t>Quezada Hernandez Esteban Francisco</t>
  </si>
  <si>
    <t>16.231.628-1</t>
  </si>
  <si>
    <t>Quijada Carvajal Andrés Enrique</t>
  </si>
  <si>
    <t>16.241.944-7</t>
  </si>
  <si>
    <t>Quijada Ossandón Manuel Enrique</t>
  </si>
  <si>
    <t>10.970.963-8</t>
  </si>
  <si>
    <t>Quijanes Cabrera Marco Antonio</t>
  </si>
  <si>
    <t>9.450.027-3</t>
  </si>
  <si>
    <t>Quintana Fritz Hermes Enrique</t>
  </si>
  <si>
    <t>12.233.756-1</t>
  </si>
  <si>
    <t>Quintanilla Barrera Adrian Eugenio</t>
  </si>
  <si>
    <t>10.362.123-2</t>
  </si>
  <si>
    <t>Quintanilla Deckert Mario Armando</t>
  </si>
  <si>
    <t>12.401.178-7</t>
  </si>
  <si>
    <t>Quiñones Ocampo Heber Nilson</t>
  </si>
  <si>
    <t>25.119.043-7</t>
  </si>
  <si>
    <t>Quiroga Cespedes Victor Orlando</t>
  </si>
  <si>
    <t>11.517.399-5</t>
  </si>
  <si>
    <t>Quiroz Astorga Sergio Gabriel</t>
  </si>
  <si>
    <t>12.451.212-3</t>
  </si>
  <si>
    <t>Quiroz Collao Edgardo Rene</t>
  </si>
  <si>
    <t>7.909.752-7</t>
  </si>
  <si>
    <t>Quiroz Tapia Juan Alfonso</t>
  </si>
  <si>
    <t>13.982.155-6</t>
  </si>
  <si>
    <t>Quispe Galvez Sergio Antonio</t>
  </si>
  <si>
    <t>8.432.487-6</t>
  </si>
  <si>
    <t>Quispe Rios Juan Pablo</t>
  </si>
  <si>
    <t>21.996.735-7</t>
  </si>
  <si>
    <t>Quispe Vega Wilfredo Jaime</t>
  </si>
  <si>
    <t>11.930.680-9</t>
  </si>
  <si>
    <t>Ramirez Escobar Fredy Del Carmen</t>
  </si>
  <si>
    <t>9.118.803-1</t>
  </si>
  <si>
    <t>Ramírez Escobar Rafael Arnoldo</t>
  </si>
  <si>
    <t>11.517.293-k</t>
  </si>
  <si>
    <t>Ramirez Fernandez Marco Antonio</t>
  </si>
  <si>
    <t>12.920.520-2</t>
  </si>
  <si>
    <t>Ramirez Luco Claudio Andres</t>
  </si>
  <si>
    <t>12.427.062-6</t>
  </si>
  <si>
    <t>Ramirez Medina Juan</t>
  </si>
  <si>
    <t>22.512.550-3</t>
  </si>
  <si>
    <t>Ramírez Vásquez Sebastián Angel</t>
  </si>
  <si>
    <t>18.680.234-9</t>
  </si>
  <si>
    <t>Ramírez Videla Leonardo Alfredo</t>
  </si>
  <si>
    <t>12.626.485-2</t>
  </si>
  <si>
    <t>Ramirez Videla Luis Ramon</t>
  </si>
  <si>
    <t>10.681.625-5</t>
  </si>
  <si>
    <t>Ramírez Villa Fabián Rigoberto</t>
  </si>
  <si>
    <t>12.817.283-1</t>
  </si>
  <si>
    <t>Ramos Araya Emilio Jose</t>
  </si>
  <si>
    <t>15.734.904-k</t>
  </si>
  <si>
    <t>Ramos Digoy Franco Antonio</t>
  </si>
  <si>
    <t>19.692.578-3</t>
  </si>
  <si>
    <t>Ramos Machado Leonardo Gabriel</t>
  </si>
  <si>
    <t>25.774.766-2</t>
  </si>
  <si>
    <t>Ramos Michea Jorge Fernando</t>
  </si>
  <si>
    <t>17.019.890-5</t>
  </si>
  <si>
    <t>Ramos Panire Daniel Damián</t>
  </si>
  <si>
    <t>17.974.790-1</t>
  </si>
  <si>
    <t>Ramos Ponce Karina Andrea</t>
  </si>
  <si>
    <t>12.475.317-1</t>
  </si>
  <si>
    <t>Ramos Tapia Manuel Guillermo</t>
  </si>
  <si>
    <t>22.635.386-0</t>
  </si>
  <si>
    <t>Ramos Vasquez Maria Elicenia</t>
  </si>
  <si>
    <t>24.976.562-7</t>
  </si>
  <si>
    <t>Rebolledo Gajardo Alejandro</t>
  </si>
  <si>
    <t>12.791.725-6</t>
  </si>
  <si>
    <t>Rebolledo Inostroza Blas Alejandro</t>
  </si>
  <si>
    <t>11.959.900-8</t>
  </si>
  <si>
    <t>Reinoso Ramírez Francisco Javier</t>
  </si>
  <si>
    <t>17.976.779-1</t>
  </si>
  <si>
    <t>Reinoso Reinoso Angel Patricio</t>
  </si>
  <si>
    <t>15.061.698-0</t>
  </si>
  <si>
    <t>ENCARGADO CONTROL TIEMPO</t>
  </si>
  <si>
    <t>Reinoso Valencia Jose Miguel</t>
  </si>
  <si>
    <t>11.752.436-1</t>
  </si>
  <si>
    <t>Reinoso Villarroel Macarena Alejandra</t>
  </si>
  <si>
    <t>18.972.948-0</t>
  </si>
  <si>
    <t>Rementeria Muñoz Manuel Antonio</t>
  </si>
  <si>
    <t>8.657.260-5</t>
  </si>
  <si>
    <t>Retamal Reyes Natacha Magdalena</t>
  </si>
  <si>
    <t>15.104.990-7</t>
  </si>
  <si>
    <t>ENCARGADO DE CONTROL DE GESTION</t>
  </si>
  <si>
    <t>Retamales Laport Enrique Fernando</t>
  </si>
  <si>
    <t>15.078.051-9</t>
  </si>
  <si>
    <t>Reyes Ahumada Angelo Andres</t>
  </si>
  <si>
    <t>18.679.581-4</t>
  </si>
  <si>
    <t>Reyes Baez Jose Antonio</t>
  </si>
  <si>
    <t>9.444.365-2</t>
  </si>
  <si>
    <t>Reyes Barrera Alberto Patricio</t>
  </si>
  <si>
    <t>11.517.990-k</t>
  </si>
  <si>
    <t>Reyes Collao Fernando Antonio</t>
  </si>
  <si>
    <t>10.754.208-6</t>
  </si>
  <si>
    <t>Reyes Collao Mauricio Andres</t>
  </si>
  <si>
    <t>12.350.855-6</t>
  </si>
  <si>
    <t>Reyes Cuevas Marcelo Alejandro</t>
  </si>
  <si>
    <t>12.988.303-0</t>
  </si>
  <si>
    <t>Reyes Martinez Marcelo Del Carmen</t>
  </si>
  <si>
    <t>11.385.531-2</t>
  </si>
  <si>
    <t>Reyes Mondaca Carlos Guido</t>
  </si>
  <si>
    <t>11.748.040-2</t>
  </si>
  <si>
    <t>Reyes Moreno Carlos Armando</t>
  </si>
  <si>
    <t>13.365.160-8</t>
  </si>
  <si>
    <t>Reyes Moreno Ramon David</t>
  </si>
  <si>
    <t>17.077.518-k</t>
  </si>
  <si>
    <t>Reyes Pérez Carlos Humberto</t>
  </si>
  <si>
    <t>14.001.509-1</t>
  </si>
  <si>
    <t>Reyes Reyes Patricio Fernando</t>
  </si>
  <si>
    <t>17.164.221-3</t>
  </si>
  <si>
    <t>Reyes Rojas Paloma Carolina</t>
  </si>
  <si>
    <t>19.966.551-0</t>
  </si>
  <si>
    <t>Reyes Salinas Patricio Heriberto</t>
  </si>
  <si>
    <t>17.778.746-9</t>
  </si>
  <si>
    <t>Riffo Rojas Omar Orlando</t>
  </si>
  <si>
    <t>16.998.952-4</t>
  </si>
  <si>
    <t>Ringele Rozas Eileen Margaret</t>
  </si>
  <si>
    <t>11.899.247-4</t>
  </si>
  <si>
    <t>Rios Diaz Jaime Ruben</t>
  </si>
  <si>
    <t>8.223.884-0</t>
  </si>
  <si>
    <t>Ríos Lobos Hugo David</t>
  </si>
  <si>
    <t>9.750.479-2</t>
  </si>
  <si>
    <t>Rios Miranda Jorge Eduardo</t>
  </si>
  <si>
    <t>15.597.429-k</t>
  </si>
  <si>
    <t>Rios Montenegro Cristóbal Alonso Abdón</t>
  </si>
  <si>
    <t>19.577.061-1</t>
  </si>
  <si>
    <t>Ripoll Vargas Gonzalo Eduardo</t>
  </si>
  <si>
    <t>10.732.798-3</t>
  </si>
  <si>
    <t>Riquelme Cabezas Miguel Alejandro</t>
  </si>
  <si>
    <t>17.419.344-4</t>
  </si>
  <si>
    <t>Riquelme Covarrubias Scarlett Margarita</t>
  </si>
  <si>
    <t>17.807.126-2</t>
  </si>
  <si>
    <t>Riquelme Mariqueo Isaac Lucas</t>
  </si>
  <si>
    <t>20.635.463-1</t>
  </si>
  <si>
    <t>Riquelme Muñoz Eduardo Hernan</t>
  </si>
  <si>
    <t>15.869.295-3</t>
  </si>
  <si>
    <t>Riquelme Naranjo Fernando Gilberto</t>
  </si>
  <si>
    <t>9.136.134-5</t>
  </si>
  <si>
    <t>Rivas Gutiérrez Alexis Andrés</t>
  </si>
  <si>
    <t>18.680.900-9</t>
  </si>
  <si>
    <t>Rivas Sanhueza Francisco José</t>
  </si>
  <si>
    <t>16.924.630-0</t>
  </si>
  <si>
    <t>Rivas Suazo Leopoldo Alejandro</t>
  </si>
  <si>
    <t>14.472.935-8</t>
  </si>
  <si>
    <t>Rivera Arapio Luis Antonio</t>
  </si>
  <si>
    <t>12.582.321-1</t>
  </si>
  <si>
    <t>Rivera Elgueta Silvia Del Rosario</t>
  </si>
  <si>
    <t>10.117.619-3</t>
  </si>
  <si>
    <t>Rivera Gutierrez Ivan Eduardo</t>
  </si>
  <si>
    <t>16.775.142-3</t>
  </si>
  <si>
    <t>Rivera Hidalgo Gianni Esteban</t>
  </si>
  <si>
    <t>16.333.578-6</t>
  </si>
  <si>
    <t>Rivera Martínez Ricardo Abraham</t>
  </si>
  <si>
    <t>13.736.720-3</t>
  </si>
  <si>
    <t>Rivera Monardes Gary Nelson</t>
  </si>
  <si>
    <t>15.016.196-7</t>
  </si>
  <si>
    <t>Rivera Muñoz Miguel Angel</t>
  </si>
  <si>
    <t>20.320.808-1</t>
  </si>
  <si>
    <t>ASISTENTE CONTABLE</t>
  </si>
  <si>
    <t>Rivera Olivares Andres Patricio</t>
  </si>
  <si>
    <t>12.817.132-0</t>
  </si>
  <si>
    <t>Rivera Pasten Sergio Orlando</t>
  </si>
  <si>
    <t>10.318.499-1</t>
  </si>
  <si>
    <t>Riveros Órdenes Camilo Alberto</t>
  </si>
  <si>
    <t>17.231.224-1</t>
  </si>
  <si>
    <t>Riveros Saravia Guillermo Yorlando</t>
  </si>
  <si>
    <t>14.091.216-6</t>
  </si>
  <si>
    <t>Roa Flores Mariangel</t>
  </si>
  <si>
    <t>13.794.578-9</t>
  </si>
  <si>
    <t>Roa Fuentes Maite Constanza</t>
  </si>
  <si>
    <t>20.358.584-5</t>
  </si>
  <si>
    <t>Robert Aspe Sergio Norberto</t>
  </si>
  <si>
    <t>12.059.094-4</t>
  </si>
  <si>
    <t>Robledo Quelincoy Nataly Andrea</t>
  </si>
  <si>
    <t>16.565.049-2</t>
  </si>
  <si>
    <t>Robles Rivera Fernando Antonio</t>
  </si>
  <si>
    <t>9.178.608-7</t>
  </si>
  <si>
    <t>Robles Utreras Ivan Enrique</t>
  </si>
  <si>
    <t>8.824.577-6</t>
  </si>
  <si>
    <t>Roco Garcia Pablo Ignacio</t>
  </si>
  <si>
    <t>20.348.238-8</t>
  </si>
  <si>
    <t>Roda Pinto Jose Edgar</t>
  </si>
  <si>
    <t>28.118.984-0</t>
  </si>
  <si>
    <t>Rodriguez Aguilera Javier Humberto</t>
  </si>
  <si>
    <t>10.850.942-2</t>
  </si>
  <si>
    <t>Rodriguez Ahumada Carlos Celedonio</t>
  </si>
  <si>
    <t>9.249.678-3</t>
  </si>
  <si>
    <t>Rodriguez Berrios Mario Eduardo</t>
  </si>
  <si>
    <t>10.105.731-3</t>
  </si>
  <si>
    <t>Rodriguez Cabrera Luis Alberto</t>
  </si>
  <si>
    <t>9.410.353-3</t>
  </si>
  <si>
    <t>Rodríguez Castillo Raúl Abraham</t>
  </si>
  <si>
    <t>12.262.672-5</t>
  </si>
  <si>
    <t>Rodriguez Constanzo Julio Cesar</t>
  </si>
  <si>
    <t>11.908.664-7</t>
  </si>
  <si>
    <t>Rodríguez Figueroa Javier Armando</t>
  </si>
  <si>
    <t>9.524.787-3</t>
  </si>
  <si>
    <t>Rodríguez Fritz Juan Arturo</t>
  </si>
  <si>
    <t>9.454.009-7</t>
  </si>
  <si>
    <t>Rodriguez Gonzalez Eduardo Josue</t>
  </si>
  <si>
    <t>18.682.247-1</t>
  </si>
  <si>
    <t>Rodriguez Guerrero Nataly Alexandra</t>
  </si>
  <si>
    <t>15.982.275-3</t>
  </si>
  <si>
    <t>Rodríguez Pacheco Daniel Benito</t>
  </si>
  <si>
    <t>11.943.394-0</t>
  </si>
  <si>
    <t>Rodriguez Pino Patricio Del Carmen</t>
  </si>
  <si>
    <t>9.203.175-6</t>
  </si>
  <si>
    <t>Rodriguez Rubina Danilo Arturo</t>
  </si>
  <si>
    <t>9.107.030-8</t>
  </si>
  <si>
    <t>Rodriguez Tapia Oscar Andres</t>
  </si>
  <si>
    <t>15.058.590-2</t>
  </si>
  <si>
    <t>Rodriguez Vasquez Luis Alberto</t>
  </si>
  <si>
    <t>10.888.274-3</t>
  </si>
  <si>
    <t>Rojas Almeida José Patricio</t>
  </si>
  <si>
    <t>10.787.458-5</t>
  </si>
  <si>
    <t>Rojas Alvarez Roberto Antonio</t>
  </si>
  <si>
    <t>17.409.904-9</t>
  </si>
  <si>
    <t>Rojas Araya Luis José</t>
  </si>
  <si>
    <t>12.801.869-7</t>
  </si>
  <si>
    <t>Rojas Belmar Hector Javier</t>
  </si>
  <si>
    <t>9.743.544-8</t>
  </si>
  <si>
    <t>Rojas Correa Luis Javier</t>
  </si>
  <si>
    <t>10.497.538-0</t>
  </si>
  <si>
    <t>Rojas Eden Luis Rodolfo</t>
  </si>
  <si>
    <t>10.347.061-7</t>
  </si>
  <si>
    <t>Rojas Flores Marcos Alex</t>
  </si>
  <si>
    <t>9.937.379-2</t>
  </si>
  <si>
    <t>Rojas Galleguillos Hugo Enrique</t>
  </si>
  <si>
    <t>16.324.653-8</t>
  </si>
  <si>
    <t>Rojas Gonzalez Gabriel Alejandro</t>
  </si>
  <si>
    <t>11.944.679-1</t>
  </si>
  <si>
    <t>Rojas Loyola Johnny Alexis</t>
  </si>
  <si>
    <t>14.432.464-1</t>
  </si>
  <si>
    <t>Rojas Loyola Monica Cecilia</t>
  </si>
  <si>
    <t>16.926.588-7</t>
  </si>
  <si>
    <t>Rojas Marquez Carlos Alberto</t>
  </si>
  <si>
    <t>25.445.393-5</t>
  </si>
  <si>
    <t>Rojas Olivares Laura Rosa</t>
  </si>
  <si>
    <t>13.701.290-1</t>
  </si>
  <si>
    <t>Rojas Ovando Carlos Alberto</t>
  </si>
  <si>
    <t>10.204.949-7</t>
  </si>
  <si>
    <t>Rojas Perez Carlos Mauricio</t>
  </si>
  <si>
    <t>12.876.938-2</t>
  </si>
  <si>
    <t>Rojas Pérez Hernan Manuel</t>
  </si>
  <si>
    <t>13.179.456-8</t>
  </si>
  <si>
    <t>Rojas Reyes Jaime Harris</t>
  </si>
  <si>
    <t>11.692.837-k</t>
  </si>
  <si>
    <t>Rojas Rojas Augusto Segundo</t>
  </si>
  <si>
    <t>7.534.150-4</t>
  </si>
  <si>
    <t>Rojas Rojas Catalina Beatrice</t>
  </si>
  <si>
    <t>18.680.500-3</t>
  </si>
  <si>
    <t>Rojas Rojas Ernesto Alonso</t>
  </si>
  <si>
    <t>14.909.511-k</t>
  </si>
  <si>
    <t>Rojas Rojo Juan Ricardo</t>
  </si>
  <si>
    <t>7.131.215-1</t>
  </si>
  <si>
    <t>Rojas Sanchez Claudio Andres</t>
  </si>
  <si>
    <t>15.555.112-7</t>
  </si>
  <si>
    <t>Rojas Soza Sebastian Bryan</t>
  </si>
  <si>
    <t>18.579.922-0</t>
  </si>
  <si>
    <t>Rojas Valenzuela Sergio Angelo</t>
  </si>
  <si>
    <t>12.101.200-6</t>
  </si>
  <si>
    <t>Rojas Vergara Lisselott Lorena</t>
  </si>
  <si>
    <t>13.538.902-1</t>
  </si>
  <si>
    <t>Rojo Campos Italo Darwin</t>
  </si>
  <si>
    <t>10.656.980-0</t>
  </si>
  <si>
    <t>Roman Flores Luis Francisco</t>
  </si>
  <si>
    <t>7.774.869-5</t>
  </si>
  <si>
    <t>Romanque Valenzuela Luciano Anggelo</t>
  </si>
  <si>
    <t>13.006.123-0</t>
  </si>
  <si>
    <t>Romero . Sandra Yoana</t>
  </si>
  <si>
    <t>26.006.991-8</t>
  </si>
  <si>
    <t>Romero Alanis Omar Alejandro</t>
  </si>
  <si>
    <t>8.369.062-3</t>
  </si>
  <si>
    <t>Romero Alvarado Manuel Jesús</t>
  </si>
  <si>
    <t>20.089.255-0</t>
  </si>
  <si>
    <t>Romero Baez Albert Ernesto</t>
  </si>
  <si>
    <t>16.224.701-8</t>
  </si>
  <si>
    <t>Romero Gallardo Martín Eduardo</t>
  </si>
  <si>
    <t>20.985.886-k</t>
  </si>
  <si>
    <t>Romero Palma Rodrigo Eugenio</t>
  </si>
  <si>
    <t>12.774.701-6</t>
  </si>
  <si>
    <t>Ros Farías Cristian Guillermo</t>
  </si>
  <si>
    <t>13.981.741-9</t>
  </si>
  <si>
    <t>Rosales Alvarado Renzo Fabian</t>
  </si>
  <si>
    <t>12.452.526-8</t>
  </si>
  <si>
    <t>Rosales Benítez Javier José</t>
  </si>
  <si>
    <t>27.836.712-6</t>
  </si>
  <si>
    <t>Rosales Villarroel Félix José</t>
  </si>
  <si>
    <t>28.257.084-k</t>
  </si>
  <si>
    <t>Rosas González Carlos Osvaldo</t>
  </si>
  <si>
    <t>15.844.434-8</t>
  </si>
  <si>
    <t>Rozas Ortiz Carlos Boris</t>
  </si>
  <si>
    <t>12.202.540-3</t>
  </si>
  <si>
    <t>Rubilar Orellana Juan Carlos</t>
  </si>
  <si>
    <t>10.213.955-0</t>
  </si>
  <si>
    <t>Rueda Ramírez Huber</t>
  </si>
  <si>
    <t>23.813.072-7</t>
  </si>
  <si>
    <t>Ruiz Lazcano Macarena Constanza</t>
  </si>
  <si>
    <t>21.945.988-2</t>
  </si>
  <si>
    <t>ASISTENTE DESARROLLO DE PERSONAS</t>
  </si>
  <si>
    <t>Ruiz Parada Carlos Nazem</t>
  </si>
  <si>
    <t>10.300.633-3</t>
  </si>
  <si>
    <t>Saavedra Alvarez Francisco Javier</t>
  </si>
  <si>
    <t>14.509.206-k</t>
  </si>
  <si>
    <t>Saavedra Canales Raúl Antonio</t>
  </si>
  <si>
    <t>10.832.744-8</t>
  </si>
  <si>
    <t>Saavedra Correa Waldo Andrés</t>
  </si>
  <si>
    <t>13.982.442-3</t>
  </si>
  <si>
    <t>Saavedra Esparza Marco Antonio</t>
  </si>
  <si>
    <t>9.573.894-k</t>
  </si>
  <si>
    <t>Saavedra Fernandez Pablo Cesar</t>
  </si>
  <si>
    <t>15.091.114-1</t>
  </si>
  <si>
    <t>Saavedra Gutierrez Cristian Abraham</t>
  </si>
  <si>
    <t>13.105.486-6</t>
  </si>
  <si>
    <t>Saavedra Horta Cristhian Paolo</t>
  </si>
  <si>
    <t>12.214.526-3</t>
  </si>
  <si>
    <t>Saavedra Huerta Felix Fernando</t>
  </si>
  <si>
    <t>13.647.815-k</t>
  </si>
  <si>
    <t>Saavedra Jofre Javier Eduardo</t>
  </si>
  <si>
    <t>10.532.507-k</t>
  </si>
  <si>
    <t>Saavedra Muñoz Abraham Andrés</t>
  </si>
  <si>
    <t>15.544.433-9</t>
  </si>
  <si>
    <t>Saavedra Pino Julio Cesar</t>
  </si>
  <si>
    <t>6.969.901-4</t>
  </si>
  <si>
    <t>Saavedra Villarreal Francisco Javier</t>
  </si>
  <si>
    <t>16.299.851-k</t>
  </si>
  <si>
    <t>Saez Artes Hector Fernando</t>
  </si>
  <si>
    <t>7.716.491-k</t>
  </si>
  <si>
    <t>Saez Díaz Pablo Patricio</t>
  </si>
  <si>
    <t>12.868.292-9</t>
  </si>
  <si>
    <t>Sagredo Flores Boris Giovanni</t>
  </si>
  <si>
    <t>17.003.986-6</t>
  </si>
  <si>
    <t>Sagredo Ulloa Sergio Antonio</t>
  </si>
  <si>
    <t>9.591.613-9</t>
  </si>
  <si>
    <t>Salas Salgado Erwin Alejandro</t>
  </si>
  <si>
    <t>14.333.830-4</t>
  </si>
  <si>
    <t>Salas Sanchez Jean Carlos</t>
  </si>
  <si>
    <t>26.517.545-7</t>
  </si>
  <si>
    <t>Salazar Aguayo Gonzalo Jesus</t>
  </si>
  <si>
    <t>13.799.222-1</t>
  </si>
  <si>
    <t>Salazar Castro Sergio Mauricio</t>
  </si>
  <si>
    <t>11.152.681-8</t>
  </si>
  <si>
    <t>Salazar Valenzuela Over Balvin</t>
  </si>
  <si>
    <t>23.943.655-2</t>
  </si>
  <si>
    <t>Salazar Vidal Jose Patricio</t>
  </si>
  <si>
    <t>9.510.325-1</t>
  </si>
  <si>
    <t>Saldaña Henriquez José Patricio</t>
  </si>
  <si>
    <t>8.086.647-k</t>
  </si>
  <si>
    <t>Saldívar Campusano Carlos Heriberto</t>
  </si>
  <si>
    <t>9.647.067-3</t>
  </si>
  <si>
    <t>Salgado Guerra Luis Felipe</t>
  </si>
  <si>
    <t>13.362.796-0</t>
  </si>
  <si>
    <t>Salgado Henríquez Rubén Alberto</t>
  </si>
  <si>
    <t>16.901.964-9</t>
  </si>
  <si>
    <t>Salgado Moreno Edgar Luis</t>
  </si>
  <si>
    <t>17.300.331-5</t>
  </si>
  <si>
    <t>Salgado Mura Nicolas Alonso</t>
  </si>
  <si>
    <t>20.132.846-2</t>
  </si>
  <si>
    <t>Salinas Arce Jose Eduardo</t>
  </si>
  <si>
    <t>18.594.684-3</t>
  </si>
  <si>
    <t>Salinas Guerrero Jhonny Iván</t>
  </si>
  <si>
    <t>17.468.330-1</t>
  </si>
  <si>
    <t>Salinas Lazcano Jaime Danilo</t>
  </si>
  <si>
    <t>21.211.937-7</t>
  </si>
  <si>
    <t>Salinas Lopez Felipe Octavio</t>
  </si>
  <si>
    <t>13.192.799-1</t>
  </si>
  <si>
    <t>Salinas Maturana Francisco Antonio</t>
  </si>
  <si>
    <t>12.774.030-5</t>
  </si>
  <si>
    <t>Salinas Mora Paulo Andres</t>
  </si>
  <si>
    <t>14.305.629-5</t>
  </si>
  <si>
    <t>Salinas Páez Alex Nicolás</t>
  </si>
  <si>
    <t>21.602.504-0</t>
  </si>
  <si>
    <t>Salinas Ponce Reinaldo Eleuterio</t>
  </si>
  <si>
    <t>7.444.681-7</t>
  </si>
  <si>
    <t>Salinas Salas Alejandro Antonio</t>
  </si>
  <si>
    <t>8.361.024-7</t>
  </si>
  <si>
    <t>Salinas Salinas Claudio Marcelo</t>
  </si>
  <si>
    <t>14.220.717-6</t>
  </si>
  <si>
    <t>Salinas Salinas Marcelo Hernán</t>
  </si>
  <si>
    <t>10.998.380-2</t>
  </si>
  <si>
    <t>Salinas Salinas Mauricio Andrés</t>
  </si>
  <si>
    <t>20.132.999-k</t>
  </si>
  <si>
    <t>Salinas Valenzuela José Alejandro</t>
  </si>
  <si>
    <t>12.849.872-9</t>
  </si>
  <si>
    <t>Salinas Vargas Francisco Javier</t>
  </si>
  <si>
    <t>15.060.209-2</t>
  </si>
  <si>
    <t>Salinas Villarroel Ricardo Andres</t>
  </si>
  <si>
    <t>8.750.768-8</t>
  </si>
  <si>
    <t>Salvo Vera Gabriel</t>
  </si>
  <si>
    <t>7.839.196-0</t>
  </si>
  <si>
    <t>San Martin Cerda Jose Antonio</t>
  </si>
  <si>
    <t>12.590.990-6</t>
  </si>
  <si>
    <t>San Martin González Oscar Luis</t>
  </si>
  <si>
    <t>16.984.471-2</t>
  </si>
  <si>
    <t>Sanchez Alvarado Juan Andres</t>
  </si>
  <si>
    <t>22.649.245-3</t>
  </si>
  <si>
    <t>Sánchez Becerra Moises Antonio</t>
  </si>
  <si>
    <t>9.738.745-1</t>
  </si>
  <si>
    <t>Sánchez Borrero Dariana Carolina</t>
  </si>
  <si>
    <t>26.554.229-8</t>
  </si>
  <si>
    <t>ENCARGADO DE REMUNERACIONES</t>
  </si>
  <si>
    <t>Sanchez Calderon Leonel Cornelio</t>
  </si>
  <si>
    <t>8.433.759-5</t>
  </si>
  <si>
    <t>Sanchez Carvajal Julio Cesar</t>
  </si>
  <si>
    <t>9.183.800-1</t>
  </si>
  <si>
    <t>Sanchez Castro Claudia Ivonne</t>
  </si>
  <si>
    <t>15.954.052-9</t>
  </si>
  <si>
    <t>Sanchez Chumacero Maritza Del Carmen</t>
  </si>
  <si>
    <t>10.988.879-6</t>
  </si>
  <si>
    <t>Sanchez Escobar Claudia Fabiola</t>
  </si>
  <si>
    <t>11.721.396-k</t>
  </si>
  <si>
    <t>Sanchez Garcia Polett Estefania</t>
  </si>
  <si>
    <t>20.133.662-7</t>
  </si>
  <si>
    <t>Sánchez Madariaga Diego Ignacio</t>
  </si>
  <si>
    <t>19.887.662-3</t>
  </si>
  <si>
    <t>Sanchez Toledo Williams De Jesus</t>
  </si>
  <si>
    <t>18.853.041-9</t>
  </si>
  <si>
    <t>Sandoval Gómez Diego Nicolás</t>
  </si>
  <si>
    <t>17.547.180-4</t>
  </si>
  <si>
    <t>Sandoval Llanquileo Maria Isabel</t>
  </si>
  <si>
    <t>19.005.286-9</t>
  </si>
  <si>
    <t>Sandoval Rojas Miriam Marcela</t>
  </si>
  <si>
    <t>12.895.168-7</t>
  </si>
  <si>
    <t>Sandoval Uribe Rodolfo Eduardo</t>
  </si>
  <si>
    <t>17.988.755-k</t>
  </si>
  <si>
    <t>Sanhueza Riquelme Hector Armando</t>
  </si>
  <si>
    <t>8.982.156-8</t>
  </si>
  <si>
    <t>Sanhueza Sanhueza Cesar Danilo</t>
  </si>
  <si>
    <t>14.442.712-2</t>
  </si>
  <si>
    <t>Sanhueza Segura Alejandro Nolberto</t>
  </si>
  <si>
    <t>12.546.915-9</t>
  </si>
  <si>
    <t>Sanhueza Valenzuela Eric Alexi</t>
  </si>
  <si>
    <t>13.145.149-0</t>
  </si>
  <si>
    <t>ENCARGADO DE CONTRATOS Y FINIQUITOS</t>
  </si>
  <si>
    <t>Sanquea Bahamondes Jaime Alberto</t>
  </si>
  <si>
    <t>10.751.704-9</t>
  </si>
  <si>
    <t>Santana Rojas Marco Antonio</t>
  </si>
  <si>
    <t>11.505.383-3</t>
  </si>
  <si>
    <t>Santana Salas Carlos Alid</t>
  </si>
  <si>
    <t>20.407.874-2</t>
  </si>
  <si>
    <t>Santander Hidalgo Soledad Del Carmen</t>
  </si>
  <si>
    <t>10.016.179-6</t>
  </si>
  <si>
    <t>Santander Ortiz Sebastian Ernesto</t>
  </si>
  <si>
    <t>18.985.906-6</t>
  </si>
  <si>
    <t>ELECTRICO</t>
  </si>
  <si>
    <t>Santibañez Lecaros Sergio Fernando</t>
  </si>
  <si>
    <t>9.725.085-5</t>
  </si>
  <si>
    <t>Santibañez Rojas Emilio Robinson</t>
  </si>
  <si>
    <t>11.730.825-1</t>
  </si>
  <si>
    <t>Saravia Alvarez Juan Rodrigo</t>
  </si>
  <si>
    <t>10.032.928-k</t>
  </si>
  <si>
    <t>Saravia Herrera Rodrigo Ignacio</t>
  </si>
  <si>
    <t>21.799.163-3</t>
  </si>
  <si>
    <t>MECANICO NIVEL 2</t>
  </si>
  <si>
    <t>Sasso Leiva Jose Mauricio</t>
  </si>
  <si>
    <t>11.210.336-8</t>
  </si>
  <si>
    <t>Sayes Guzmán Raúl Rodrigo</t>
  </si>
  <si>
    <t>16.027.739-4</t>
  </si>
  <si>
    <t>Segovia Araya Diego Leonardo</t>
  </si>
  <si>
    <t>18.114.110-7</t>
  </si>
  <si>
    <t>Segovia Garcia Mario Andres</t>
  </si>
  <si>
    <t>11.517.448-7</t>
  </si>
  <si>
    <t>Segovia Mella David Jonathan</t>
  </si>
  <si>
    <t>14.267.108-5</t>
  </si>
  <si>
    <t>Segovia Urzúa Luis Alberto</t>
  </si>
  <si>
    <t>7.994.750-4</t>
  </si>
  <si>
    <t>Seguel Jara Jorge Daniel</t>
  </si>
  <si>
    <t>15.592.294-k</t>
  </si>
  <si>
    <t>Segura Alallana Humberto Alejandro</t>
  </si>
  <si>
    <t>12.950.614-8</t>
  </si>
  <si>
    <t>Senteno Corrotea Ricardo Octavio</t>
  </si>
  <si>
    <t>12.627.565-k</t>
  </si>
  <si>
    <t>Sepúlveda Cariaga Italo Franco</t>
  </si>
  <si>
    <t>18.853.775-8</t>
  </si>
  <si>
    <t>Sepulveda Lazo Emilio Gerardo</t>
  </si>
  <si>
    <t>25.997.331-7</t>
  </si>
  <si>
    <t>Sepulveda Perez Fernando Arturo</t>
  </si>
  <si>
    <t>8.796.675-5</t>
  </si>
  <si>
    <t>Serrat Vasquez Manuel Antonio</t>
  </si>
  <si>
    <t>12.735.959-8</t>
  </si>
  <si>
    <t>Sierra Herrera Alejandro Alexis</t>
  </si>
  <si>
    <t>10.073.313-7</t>
  </si>
  <si>
    <t>Sierra Lopez Dinko Wladimir</t>
  </si>
  <si>
    <t>15.769.372-7</t>
  </si>
  <si>
    <t>Silva Arias Jose Antonio</t>
  </si>
  <si>
    <t>11.943.360-6</t>
  </si>
  <si>
    <t>Silva Berrios Jaime Fernando</t>
  </si>
  <si>
    <t>10.506.470-5</t>
  </si>
  <si>
    <t>Silva Gonzalez Patricio Segundo</t>
  </si>
  <si>
    <t>9.609.093-5</t>
  </si>
  <si>
    <t>Silva Melgarejo Yohnny Richard</t>
  </si>
  <si>
    <t>10.847.661-3</t>
  </si>
  <si>
    <t>Silva Perez Enrique Gonzalo</t>
  </si>
  <si>
    <t>12.599.951-4</t>
  </si>
  <si>
    <t>Silva Pizarro Alejandro Andres</t>
  </si>
  <si>
    <t>10.469.420-9</t>
  </si>
  <si>
    <t>Silva Rifo Ayron Gonzalo</t>
  </si>
  <si>
    <t>18.562.894-9</t>
  </si>
  <si>
    <t>Silva Vicencio Laura De Las Mercedes</t>
  </si>
  <si>
    <t>11.221.808-4</t>
  </si>
  <si>
    <t>JEFE DE RELACIONES LABORALES</t>
  </si>
  <si>
    <t>Solari Mura Paola Elizabeth</t>
  </si>
  <si>
    <t>12.950.670-9</t>
  </si>
  <si>
    <t>Sotelo Mora Marisol Daniela</t>
  </si>
  <si>
    <t>18.160.190-6</t>
  </si>
  <si>
    <t>Soto Ceballos Maikoll Shampierre</t>
  </si>
  <si>
    <t>16.133.602-5</t>
  </si>
  <si>
    <t>Soto Cordova Francisco Javier</t>
  </si>
  <si>
    <t>14.101.574-5</t>
  </si>
  <si>
    <t>Soto Gonzalez Natalia Valesca</t>
  </si>
  <si>
    <t>17.099.090-0</t>
  </si>
  <si>
    <t>Soto Meza Luis Adolfo</t>
  </si>
  <si>
    <t>13.764.411-8</t>
  </si>
  <si>
    <t>Soto Montalva Oscar Andrés</t>
  </si>
  <si>
    <t>8.287.266-3</t>
  </si>
  <si>
    <t>Soto Moscoso Daniel Ernesto</t>
  </si>
  <si>
    <t>11.915.216-k</t>
  </si>
  <si>
    <t>Soto Viveros Luis Fernando</t>
  </si>
  <si>
    <t>8.140.537-9</t>
  </si>
  <si>
    <t>Soza Godoy Adolfo Ivan</t>
  </si>
  <si>
    <t>10.387.928-0</t>
  </si>
  <si>
    <t>Sprovera Toro Fidel Donato</t>
  </si>
  <si>
    <t>10.215.693-5</t>
  </si>
  <si>
    <t>Stuardo Quezada Reimundo Iván</t>
  </si>
  <si>
    <t>9.987.015-k</t>
  </si>
  <si>
    <t>Suarez Clavero Juan Antonio</t>
  </si>
  <si>
    <t>12.028.609-9</t>
  </si>
  <si>
    <t>Suarez Ronzino Wilyork Adelmar</t>
  </si>
  <si>
    <t>26.325.390-6</t>
  </si>
  <si>
    <t>Sulantay Sanchez Angelo Jorge</t>
  </si>
  <si>
    <t>14.577.484-5</t>
  </si>
  <si>
    <t>JEFE DE MANTENCION</t>
  </si>
  <si>
    <t>Tabilo Carrizo Rene Fernando</t>
  </si>
  <si>
    <t>13.012.047-4</t>
  </si>
  <si>
    <t>Taha Severino Hugo Omar</t>
  </si>
  <si>
    <t>9.937.415-2</t>
  </si>
  <si>
    <t>Tamaya Arenas Max Antonio</t>
  </si>
  <si>
    <t>10.094.965-2</t>
  </si>
  <si>
    <t>Tapia Aranda Elias Daniel</t>
  </si>
  <si>
    <t>10.156.029-5</t>
  </si>
  <si>
    <t>Tapia Cortes Alex Felix</t>
  </si>
  <si>
    <t>12.804.952-5</t>
  </si>
  <si>
    <t>Tapia Cortes Cristian Alejandro</t>
  </si>
  <si>
    <t>15.013.992-9</t>
  </si>
  <si>
    <t>Tapia Del Castillo Katterine Veronica Del Rosario</t>
  </si>
  <si>
    <t>15.710.910-3</t>
  </si>
  <si>
    <t>Tapia Escobar Max Alejandro</t>
  </si>
  <si>
    <t>16.026.507-8</t>
  </si>
  <si>
    <t>Tapia Estay Waldir</t>
  </si>
  <si>
    <t>16.400.048-6</t>
  </si>
  <si>
    <t>Tapia Fernández Elvis Gonzalo</t>
  </si>
  <si>
    <t>15.760.492-9</t>
  </si>
  <si>
    <t>Tapia Figueroa Claudio Leonardo</t>
  </si>
  <si>
    <t>13.753.156-9</t>
  </si>
  <si>
    <t>Tapia Flores Francisco Javier</t>
  </si>
  <si>
    <t>9.506.709-3</t>
  </si>
  <si>
    <t>Tapia Leiva Ricardo Salvattore</t>
  </si>
  <si>
    <t>17.818.762-7</t>
  </si>
  <si>
    <t>Tapia Leiva Victor Manuel</t>
  </si>
  <si>
    <t>18.679.986-0</t>
  </si>
  <si>
    <t>Tapia Lopez Fernando Antonio</t>
  </si>
  <si>
    <t>11.516.472-4</t>
  </si>
  <si>
    <t>Tapia Molina Constanza Valentina</t>
  </si>
  <si>
    <t>19.887.126-5</t>
  </si>
  <si>
    <t>Tapia Moreno Freddy Patricio</t>
  </si>
  <si>
    <t>12.400.640-6</t>
  </si>
  <si>
    <t>Tapia Moscoso Andres Gilberto</t>
  </si>
  <si>
    <t>7.166.031-1</t>
  </si>
  <si>
    <t>Tapia Peralta Rodrigo Alfonso</t>
  </si>
  <si>
    <t>13.539.528-5</t>
  </si>
  <si>
    <t>Tapia Ponce Carlos Rodolfo</t>
  </si>
  <si>
    <t>9.844.922-1</t>
  </si>
  <si>
    <t>Tapia Rodriguez Johann Andres</t>
  </si>
  <si>
    <t>12.817.713-2</t>
  </si>
  <si>
    <t>Tapia Varas Mauricio Alejandro</t>
  </si>
  <si>
    <t>12.718.254-k</t>
  </si>
  <si>
    <t>Taucán Vargas Luis Felipe</t>
  </si>
  <si>
    <t>18.972.768-2</t>
  </si>
  <si>
    <t>Tejada Badaracco Giorgo Edgardo</t>
  </si>
  <si>
    <t>16.677.287-7</t>
  </si>
  <si>
    <t>Tejeda Escudero Edgardo Hernan</t>
  </si>
  <si>
    <t>15.138.975-9</t>
  </si>
  <si>
    <t>Tejerina Veliz Ismael Hector</t>
  </si>
  <si>
    <t>22.417.168-4</t>
  </si>
  <si>
    <t>Tejero Rocha Jimmy Alexander</t>
  </si>
  <si>
    <t>28.093.659-6</t>
  </si>
  <si>
    <t>Tejo Bravo Rosa Yoconda</t>
  </si>
  <si>
    <t>11.442.831-0</t>
  </si>
  <si>
    <t>Tello Brito Salome Constanza</t>
  </si>
  <si>
    <t>20.987.323-0</t>
  </si>
  <si>
    <t>Tello Dantagnan Henry Esteban</t>
  </si>
  <si>
    <t>13.415.289-3</t>
  </si>
  <si>
    <t>Tello Pérez Carla Andrea</t>
  </si>
  <si>
    <t>16.566.440-k</t>
  </si>
  <si>
    <t>Terán Panire Gabriel Hernán</t>
  </si>
  <si>
    <t>14.526.701-3</t>
  </si>
  <si>
    <t>Terrazas Planet Oliver Antonio</t>
  </si>
  <si>
    <t>13.638.170-9</t>
  </si>
  <si>
    <t>Thiele Henríquez Frantz Anthony</t>
  </si>
  <si>
    <t>15.180.468-3</t>
  </si>
  <si>
    <t>Toledo Silva Mauricio Alejandro</t>
  </si>
  <si>
    <t>10.075.589-0</t>
  </si>
  <si>
    <t>Toledo Tapia José Manuel</t>
  </si>
  <si>
    <t>15.951.488-9</t>
  </si>
  <si>
    <t>Toloza Caniu Lilian Marcela</t>
  </si>
  <si>
    <t>14.184.034-7</t>
  </si>
  <si>
    <t>Toro Ayala Mauricio Antonio</t>
  </si>
  <si>
    <t>16.701.992-7</t>
  </si>
  <si>
    <t>Toro Guzmán Juan Rubén</t>
  </si>
  <si>
    <t>13.213.579-7</t>
  </si>
  <si>
    <t>Toro Torrez Vladimir</t>
  </si>
  <si>
    <t>26.591.576-0</t>
  </si>
  <si>
    <t>Torreblanca Barraza Cristian Hernán</t>
  </si>
  <si>
    <t>17.341.321-1</t>
  </si>
  <si>
    <t>Torrejon Allendes Jorge Luis</t>
  </si>
  <si>
    <t>8.014.958-1</t>
  </si>
  <si>
    <t>Torres Muñoz Manuel Jesus</t>
  </si>
  <si>
    <t>10.780.186-3</t>
  </si>
  <si>
    <t>Torres Ponce Katherin Carla</t>
  </si>
  <si>
    <t>20.408.429-7</t>
  </si>
  <si>
    <t>Torres Rojas Hector Eduardo</t>
  </si>
  <si>
    <t>10.733.196-4</t>
  </si>
  <si>
    <t>Torres Torres Luis Alejandro</t>
  </si>
  <si>
    <t>20.541.020-1</t>
  </si>
  <si>
    <t>SECRETARIO TECNICO BODEGUERO</t>
  </si>
  <si>
    <t>Trejo Carmona Juan Carlos</t>
  </si>
  <si>
    <t>13.644.221-k</t>
  </si>
  <si>
    <t>Trincado Melgarejo Alex Hernan</t>
  </si>
  <si>
    <t>14.234.231-6</t>
  </si>
  <si>
    <t>Trincado Ruz Cristian Marcelo</t>
  </si>
  <si>
    <t>11.490.417-1</t>
  </si>
  <si>
    <t>Troncoso Flores Victor Andres</t>
  </si>
  <si>
    <t>10.839.576-1</t>
  </si>
  <si>
    <t>Troncoso Rodríguez Octavio Isaac</t>
  </si>
  <si>
    <t>11.700.358-2</t>
  </si>
  <si>
    <t>Ulloa Aguila Hugo Germain</t>
  </si>
  <si>
    <t>12.382.184-k</t>
  </si>
  <si>
    <t>Ulloa Ulloa Juan Alberto</t>
  </si>
  <si>
    <t>10.083.209-7</t>
  </si>
  <si>
    <t>Umanzor Arriagada Noemí Alejandra</t>
  </si>
  <si>
    <t>10.552.459-5</t>
  </si>
  <si>
    <t>Umaña Contreras Jose Luis</t>
  </si>
  <si>
    <t>10.934.540-7</t>
  </si>
  <si>
    <t>Urbina Ávila Raúl Adolfo</t>
  </si>
  <si>
    <t>15.070.581-9</t>
  </si>
  <si>
    <t>Urbina Barraza Cristian Alejandro</t>
  </si>
  <si>
    <t>20.542.303-6</t>
  </si>
  <si>
    <t>Uribe Coronado Jaime Enrique</t>
  </si>
  <si>
    <t>16.856.667-0</t>
  </si>
  <si>
    <t>Urra Sánchez Cristian Fabián</t>
  </si>
  <si>
    <t>16.771.562-1</t>
  </si>
  <si>
    <t>Urrutia Muñoz Ricardo Giovani</t>
  </si>
  <si>
    <t>12.401.343-7</t>
  </si>
  <si>
    <t>Urtubia Almonacid Luis Rafael</t>
  </si>
  <si>
    <t>10.571.588-9</t>
  </si>
  <si>
    <t>Urtubia Carvajal Gilberto Leonardo</t>
  </si>
  <si>
    <t>Urtubia Iturrieta Juan Herminio</t>
  </si>
  <si>
    <t>8.218.075-3</t>
  </si>
  <si>
    <t>Valdes Campos Alex Rodrigo</t>
  </si>
  <si>
    <t>11.383.746-2</t>
  </si>
  <si>
    <t>Valdes Campos Manuel Francisco</t>
  </si>
  <si>
    <t>10.242.793-9</t>
  </si>
  <si>
    <t>Valdes Lagos Bryan Esteban</t>
  </si>
  <si>
    <t>18.340.819-4</t>
  </si>
  <si>
    <t>Valdés Ramírez Nicolás Sebastián</t>
  </si>
  <si>
    <t>17.543.955-2</t>
  </si>
  <si>
    <t>Valdivia Flores Eduardo Danilo</t>
  </si>
  <si>
    <t>18.563.638-0</t>
  </si>
  <si>
    <t>Valdivieso Ayala Mario Jorge</t>
  </si>
  <si>
    <t>11.730.700-k</t>
  </si>
  <si>
    <t>Valencia Giraldo Jose Edwin</t>
  </si>
  <si>
    <t>27.705.809-k</t>
  </si>
  <si>
    <t>Valencia Zuñiga Paula Andrea</t>
  </si>
  <si>
    <t>17.627.915-k</t>
  </si>
  <si>
    <t>ANALISTA DE COMBUSTIBLE</t>
  </si>
  <si>
    <t>Valenzuela Cáceres Jorge Luis</t>
  </si>
  <si>
    <t>18.515.524-2</t>
  </si>
  <si>
    <t>Valenzuela Gonzalez Adela Del Rosario</t>
  </si>
  <si>
    <t>18.114.037-2</t>
  </si>
  <si>
    <t>Valenzuela Jaque Cristian Wenceslao</t>
  </si>
  <si>
    <t>11.558.788-9</t>
  </si>
  <si>
    <t>Valenzuela Leonicio Gabriel Ignacio</t>
  </si>
  <si>
    <t>16.750.777-8</t>
  </si>
  <si>
    <t>Valenzuela Lopez Waldo Elias</t>
  </si>
  <si>
    <t>14.526.798-6</t>
  </si>
  <si>
    <t>Valenzuela Saldivar Cecilia Del Carmen</t>
  </si>
  <si>
    <t>18.853.679-4</t>
  </si>
  <si>
    <t>Valenzuela Toledo Lesly Alejandra</t>
  </si>
  <si>
    <t>15.733.341-0</t>
  </si>
  <si>
    <t>Valle Cabrera Carlos Christian</t>
  </si>
  <si>
    <t>12.950.836-1</t>
  </si>
  <si>
    <t>Valle Irarrázabal Maximliano Thomas</t>
  </si>
  <si>
    <t>21.934.590-9</t>
  </si>
  <si>
    <t>Valle Rivas Luis Ricardo</t>
  </si>
  <si>
    <t>6.716.287-0</t>
  </si>
  <si>
    <t>Vallejos Carvallo Cristian Alejandro</t>
  </si>
  <si>
    <t>21.535.080-0</t>
  </si>
  <si>
    <t>Vallejos Covarrubias Williams Alejandro</t>
  </si>
  <si>
    <t>10.306.504-6</t>
  </si>
  <si>
    <t>Valls Morales Damian Alfredo</t>
  </si>
  <si>
    <t>12.107.685-3</t>
  </si>
  <si>
    <t>Varas Cataldo José Alejandro</t>
  </si>
  <si>
    <t>12.618.610-k</t>
  </si>
  <si>
    <t>Varas Montenegro José Luis</t>
  </si>
  <si>
    <t>9.442.578-6</t>
  </si>
  <si>
    <t>Varas Perez Luis Alberto</t>
  </si>
  <si>
    <t>10.250.363-5</t>
  </si>
  <si>
    <t>Varas Salas Juan Ramón</t>
  </si>
  <si>
    <t>13.364.142-4</t>
  </si>
  <si>
    <t>Varas Venegas Rodrigo Jesús</t>
  </si>
  <si>
    <t>14.448.309-k</t>
  </si>
  <si>
    <t>Vargas Basualdo Pedro Cristian</t>
  </si>
  <si>
    <t>7.222.546-5</t>
  </si>
  <si>
    <t>Vargas Castañeda Daniel Damian</t>
  </si>
  <si>
    <t>12.041.212-4</t>
  </si>
  <si>
    <t>Vargas Cifuentes Alberto Andres</t>
  </si>
  <si>
    <t>15.083.125-3</t>
  </si>
  <si>
    <t>Vargas Navarro Rolando Hernan</t>
  </si>
  <si>
    <t>13.331.164-5</t>
  </si>
  <si>
    <t>Vargas Pasten Kimberlyn Yehifrind</t>
  </si>
  <si>
    <t>25.403.362-6</t>
  </si>
  <si>
    <t>Vasquez Calderon Pedro Antonio</t>
  </si>
  <si>
    <t>11.333.588-2</t>
  </si>
  <si>
    <t>Vasquez Fernandez Angel Remigio</t>
  </si>
  <si>
    <t>10.355.513-2</t>
  </si>
  <si>
    <t>Vásquez Pérez Cristian Adolfo Patricio</t>
  </si>
  <si>
    <t>14.300.881-9</t>
  </si>
  <si>
    <t>Vasquez Ramos Patricio Segundo</t>
  </si>
  <si>
    <t>10.178.479-7</t>
  </si>
  <si>
    <t>Vasquez Rodriguez Miguel Angel</t>
  </si>
  <si>
    <t>10.673.924-2</t>
  </si>
  <si>
    <t>Vasquez Saavedra Juan Manuel</t>
  </si>
  <si>
    <t>9.366.562-7</t>
  </si>
  <si>
    <t>Vásquez Silva Nicol Alejandra</t>
  </si>
  <si>
    <t>17.818.515-2</t>
  </si>
  <si>
    <t>Vasquez Urtubia Hernaldo Jesus</t>
  </si>
  <si>
    <t>15.060.944-5</t>
  </si>
  <si>
    <t>Veas Araya Jose Antonio</t>
  </si>
  <si>
    <t>9.172.313-1</t>
  </si>
  <si>
    <t>Veas Robles Sidney Maximiliano Adolfo</t>
  </si>
  <si>
    <t>15.039.301-9</t>
  </si>
  <si>
    <t>Vega Ahumada Juan Enrique</t>
  </si>
  <si>
    <t>8.162.649-9</t>
  </si>
  <si>
    <t>Vega Carvallo Freddy Javier</t>
  </si>
  <si>
    <t>13.539.261-8</t>
  </si>
  <si>
    <t>Vega Diaz Orlando Andres</t>
  </si>
  <si>
    <t>13.442.335-8</t>
  </si>
  <si>
    <t>Vega Henríquez Patricio David</t>
  </si>
  <si>
    <t>9.203.116-0</t>
  </si>
  <si>
    <t>Vega Muñoz Alvaro Rodrigo</t>
  </si>
  <si>
    <t>9.561.113-3</t>
  </si>
  <si>
    <t>Vega Muñoz Miguel Adolfo</t>
  </si>
  <si>
    <t>15.060.803-1</t>
  </si>
  <si>
    <t>Vega Navarrete Alvaro Moises</t>
  </si>
  <si>
    <t>13.333.369-k</t>
  </si>
  <si>
    <t>Vega Pérez Isabel Johana</t>
  </si>
  <si>
    <t>16.465.998-4</t>
  </si>
  <si>
    <t>Vega Rivera Sebastián Enrique</t>
  </si>
  <si>
    <t>19.083.632-0</t>
  </si>
  <si>
    <t>ENCARGADO DE COMUNICACIONES</t>
  </si>
  <si>
    <t>Vega Vega Juan De Dios</t>
  </si>
  <si>
    <t>15.049.599-7</t>
  </si>
  <si>
    <t>Vejar Hermosilla Marco Antonio</t>
  </si>
  <si>
    <t>13.156.464-3</t>
  </si>
  <si>
    <t>Velásquez Arriagada Juan Mauricio</t>
  </si>
  <si>
    <t>14.267.426-2</t>
  </si>
  <si>
    <t>Velásquez Vidal Brandon Andrés</t>
  </si>
  <si>
    <t>20.776.826-k</t>
  </si>
  <si>
    <t>Veliz Araya Cesar Alexis</t>
  </si>
  <si>
    <t>19.252.376-1</t>
  </si>
  <si>
    <t>Veliz Gallardo Humberto Dery</t>
  </si>
  <si>
    <t>8.325.372-k</t>
  </si>
  <si>
    <t>Veliz Muñoz Patricio Del Rosario</t>
  </si>
  <si>
    <t>11.938.429-k</t>
  </si>
  <si>
    <t>Veliz Tejerina Erick Rolando</t>
  </si>
  <si>
    <t>21.613.258-0</t>
  </si>
  <si>
    <t>Venegas Pino Santiago Advernego</t>
  </si>
  <si>
    <t>9.568.137-9</t>
  </si>
  <si>
    <t>Venegas Valdivieso Erick Leonardo</t>
  </si>
  <si>
    <t>13.056.319-8</t>
  </si>
  <si>
    <t>Vera Azocar Cristian Eduardo</t>
  </si>
  <si>
    <t>17.124.237-1</t>
  </si>
  <si>
    <t>Vera Dinamarca Manuel Antonio</t>
  </si>
  <si>
    <t>7.835.475-5</t>
  </si>
  <si>
    <t>Vera González Eugenio Alfonso</t>
  </si>
  <si>
    <t>13.362.801-0</t>
  </si>
  <si>
    <t>Vera Plaza Joel Marcelo</t>
  </si>
  <si>
    <t>21.704.275-5</t>
  </si>
  <si>
    <t>Vera Vera Edgardo Enrique</t>
  </si>
  <si>
    <t>11.325.420-3</t>
  </si>
  <si>
    <t>Veras Troncoso Guillermo Prospero</t>
  </si>
  <si>
    <t>7.637.362-0</t>
  </si>
  <si>
    <t>Verdejo Palacios Carolina Andrea</t>
  </si>
  <si>
    <t>17.468.386-7</t>
  </si>
  <si>
    <t>Verdugo Chinchon Gonzalo Fernando Miguel</t>
  </si>
  <si>
    <t>17.353.198-2</t>
  </si>
  <si>
    <t>Vergara Campos Rodrigo Ernesto</t>
  </si>
  <si>
    <t>16.851.712-2</t>
  </si>
  <si>
    <t>Vergara Carrasco Marco Aurelio</t>
  </si>
  <si>
    <t>12.949.847-1</t>
  </si>
  <si>
    <t>Vergara Moraga Luis Alberto</t>
  </si>
  <si>
    <t>13.512.718-3</t>
  </si>
  <si>
    <t>Vergara Rivera Moises Gabriel</t>
  </si>
  <si>
    <t>11.724.567-5</t>
  </si>
  <si>
    <t>Vergara Rojas Michael Moisés</t>
  </si>
  <si>
    <t>16.566.569-4</t>
  </si>
  <si>
    <t>Vergara Rojas Ricardo Antonio</t>
  </si>
  <si>
    <t>10.470.708-4</t>
  </si>
  <si>
    <t>Vergara Valdivia Joan Christopher</t>
  </si>
  <si>
    <t>16.077.368-5</t>
  </si>
  <si>
    <t>Vergara Vera Luis Alfredo</t>
  </si>
  <si>
    <t>14.513.787-k</t>
  </si>
  <si>
    <t>SODEXO SQM</t>
  </si>
  <si>
    <t>Vergara Vilca Luis Alberto Alexander</t>
  </si>
  <si>
    <t>19.866.930-k</t>
  </si>
  <si>
    <t>Verruggio Chepillo Emanuel Nelson</t>
  </si>
  <si>
    <t>13.013.443-2</t>
  </si>
  <si>
    <t>Vicencio Ahumada Luis Armando</t>
  </si>
  <si>
    <t>8.237.832-4</t>
  </si>
  <si>
    <t>Vicencio Jara Hernan Alejandro</t>
  </si>
  <si>
    <t>15.060.626-8</t>
  </si>
  <si>
    <t>Vicencio Vega Fernando Marcos</t>
  </si>
  <si>
    <t>9.933.588-2</t>
  </si>
  <si>
    <t>Vidal Gonzalez Carlos Alberto</t>
  </si>
  <si>
    <t>13.010.621-8</t>
  </si>
  <si>
    <t>Vidal Miranda Marcos Antonio</t>
  </si>
  <si>
    <t>13.188.428-1</t>
  </si>
  <si>
    <t>Vidal Sepulveda John Brian</t>
  </si>
  <si>
    <t>18.050.900-3</t>
  </si>
  <si>
    <t>Vignolo Morris Ricardo David</t>
  </si>
  <si>
    <t>13.427.403-4</t>
  </si>
  <si>
    <t>Vilche Gonzalez Guillermo Amador</t>
  </si>
  <si>
    <t>10.531.635-6</t>
  </si>
  <si>
    <t>Vilches Labbé Julio Esteban</t>
  </si>
  <si>
    <t>13.249.403-7</t>
  </si>
  <si>
    <t>Vilches Millon Francisco Alejandro</t>
  </si>
  <si>
    <t>20.804.313-7</t>
  </si>
  <si>
    <t>Villagran Latoja Thania Andrea</t>
  </si>
  <si>
    <t>19.176.738-1</t>
  </si>
  <si>
    <t>ANALISTA DE DESARROLLO ORGANIZACIONAL</t>
  </si>
  <si>
    <t>INDIRECTOS ZONA I CONSORCIO ANDINO</t>
  </si>
  <si>
    <t>Villagran Suarez Carlos Alejandro</t>
  </si>
  <si>
    <t>13.569.356-1</t>
  </si>
  <si>
    <t>SUB GERENTE DE CONTRATOS</t>
  </si>
  <si>
    <t>Villalobos Hidalgo William Alejandro</t>
  </si>
  <si>
    <t>11.383.199-5</t>
  </si>
  <si>
    <t>Villalobos Urtubia Freddy Antonio</t>
  </si>
  <si>
    <t>12.578.905-6</t>
  </si>
  <si>
    <t>Villalobos Villarreal Patricio Edgardo</t>
  </si>
  <si>
    <t>13.364.036-3</t>
  </si>
  <si>
    <t>Villanueva Donoso Leonardo Felipe</t>
  </si>
  <si>
    <t>17.300.054-5</t>
  </si>
  <si>
    <t>Villanueva Rodriguez Francisco Javier</t>
  </si>
  <si>
    <t>13.327.425-1</t>
  </si>
  <si>
    <t>Villanueva Sanchez Patricio Jesus</t>
  </si>
  <si>
    <t>14.372.610-k</t>
  </si>
  <si>
    <t>Villarreal Contreras Franco Nicolás</t>
  </si>
  <si>
    <t>18.259.895-k</t>
  </si>
  <si>
    <t>Villarroel Aguilar Cristopher Julianno</t>
  </si>
  <si>
    <t>17.164.008-3</t>
  </si>
  <si>
    <t>SOPORTE INFORMATICO</t>
  </si>
  <si>
    <t>TECNOLOGIA E INFORMACIÓN JM</t>
  </si>
  <si>
    <t>Villarroel Araya Juan Alberto</t>
  </si>
  <si>
    <t>10.983.384-3</t>
  </si>
  <si>
    <t>Villarroel Carrera Noelia Antonia</t>
  </si>
  <si>
    <t>11.944.915-4</t>
  </si>
  <si>
    <t>Villarroel Covarrubias Elvira Cecilia</t>
  </si>
  <si>
    <t>13.356.723-2</t>
  </si>
  <si>
    <t>Villarroel Gomez Sebastian Anibal</t>
  </si>
  <si>
    <t>17.163.885-2</t>
  </si>
  <si>
    <t>Villarroel Gutiérrez Marcelo Andrés</t>
  </si>
  <si>
    <t>13.539.297-9</t>
  </si>
  <si>
    <t>Villarroel Muñoz Leopoldo Jorge</t>
  </si>
  <si>
    <t>11.943.730-k</t>
  </si>
  <si>
    <t>Villarroel Orellana Roberto Andres</t>
  </si>
  <si>
    <t>11.944.718-6</t>
  </si>
  <si>
    <t>Villarroel Porras Carlos Andrés</t>
  </si>
  <si>
    <t>13.185.238-k</t>
  </si>
  <si>
    <t>Villarroel Saldivar Mauricio Antonio</t>
  </si>
  <si>
    <t>10.636.574-1</t>
  </si>
  <si>
    <t>Villegas Pereira Carlos Patricio</t>
  </si>
  <si>
    <t>10.895.229-6</t>
  </si>
  <si>
    <t>Vivanco Cid Victor Manuel</t>
  </si>
  <si>
    <t>8.088.961-5</t>
  </si>
  <si>
    <t>Vivero Rivas Agustín Rodrigo</t>
  </si>
  <si>
    <t>11.495.654-6</t>
  </si>
  <si>
    <t>Viveros Carrasco Francisco Javier</t>
  </si>
  <si>
    <t>16.406.737-8</t>
  </si>
  <si>
    <t>Vukovic Ruiz Radislav Alexander</t>
  </si>
  <si>
    <t>12.044.545-6</t>
  </si>
  <si>
    <t>Westwood Muñoz Cristóbal Alonso</t>
  </si>
  <si>
    <t>19.511.528-1</t>
  </si>
  <si>
    <t>Wilson Tapia Dalila De Las Mercedes</t>
  </si>
  <si>
    <t>10.676.789-0</t>
  </si>
  <si>
    <t>Yagual Tomala Andrés Daniel</t>
  </si>
  <si>
    <t>25.359.071-8</t>
  </si>
  <si>
    <t>Yanarico Vega Cristóbal René</t>
  </si>
  <si>
    <t>21.791.491-4</t>
  </si>
  <si>
    <t>Yañez Jara Hugo Alberto</t>
  </si>
  <si>
    <t>9.203.222-1</t>
  </si>
  <si>
    <t>Yáñez Saavedra Lilian Pamela</t>
  </si>
  <si>
    <t>11.864.948-6</t>
  </si>
  <si>
    <t>Yufla Copa Norma Susana</t>
  </si>
  <si>
    <t>12.348.347-2</t>
  </si>
  <si>
    <t>Zambra Contreras Sylvia Margarita</t>
  </si>
  <si>
    <t>10.303.025-0</t>
  </si>
  <si>
    <t>Zamora Chavez Ricardo Antonio</t>
  </si>
  <si>
    <t>9.027.728-6</t>
  </si>
  <si>
    <t>Zamora Galdames Sergio Luis</t>
  </si>
  <si>
    <t>13.261.535-7</t>
  </si>
  <si>
    <t>Zamora Gallardo Francisco Javier</t>
  </si>
  <si>
    <t>15.893.931-2</t>
  </si>
  <si>
    <t>Zamora Muñoz Carlos Ernesto</t>
  </si>
  <si>
    <t>8.651.479-6</t>
  </si>
  <si>
    <t>Zamora Zamora Cristian Felipe</t>
  </si>
  <si>
    <t>16.332.974-3</t>
  </si>
  <si>
    <t>Zamorano Cortez Carlos Sebastian</t>
  </si>
  <si>
    <t>12.454.269-3</t>
  </si>
  <si>
    <t>Zapata Figueroa Alvaro Patricio</t>
  </si>
  <si>
    <t>14.288.552-2</t>
  </si>
  <si>
    <t>Zapata Martínez Claudio Enrique</t>
  </si>
  <si>
    <t>17.646.652-9</t>
  </si>
  <si>
    <t>Zapata Medel Wilfredo Alfonso</t>
  </si>
  <si>
    <t>11.959.098-1</t>
  </si>
  <si>
    <t>Zarate Mandiola Mario Arnoldo</t>
  </si>
  <si>
    <t>9.760.836-9</t>
  </si>
  <si>
    <t>Zeballos Ocampo Luis Abel</t>
  </si>
  <si>
    <t>7.119.357-8</t>
  </si>
  <si>
    <t>Zelada Gutierrez Oscar Claudio</t>
  </si>
  <si>
    <t>11.819.266-4</t>
  </si>
  <si>
    <t>Zuleta Lobos Sigifredo Mauricio</t>
  </si>
  <si>
    <t>15.982.173-0</t>
  </si>
  <si>
    <t>Zuñiga Araya Carlos Marcelino</t>
  </si>
  <si>
    <t>9.187.439-3</t>
  </si>
  <si>
    <t>Zuñiga Carmona Cristian Mauricio</t>
  </si>
  <si>
    <t>10.689.847-2</t>
  </si>
  <si>
    <t>Zuñiga Fierro Juan Boris</t>
  </si>
  <si>
    <t>11.896.155-2</t>
  </si>
  <si>
    <t>Zúñiga Muñoz Héctor William</t>
  </si>
  <si>
    <t>11.423.301-3</t>
  </si>
  <si>
    <t>Zúñiga Rivera Luis Ricardo</t>
  </si>
  <si>
    <t>11.293.585-1</t>
  </si>
  <si>
    <t>Zúñiga Rivera Remigio Del Tránsito</t>
  </si>
  <si>
    <t>9.052.187-k</t>
  </si>
  <si>
    <t>Zuñiga Tirado Nicanor Alexi</t>
  </si>
  <si>
    <t>8.979.491-9</t>
  </si>
  <si>
    <t>Zuvic Caro Javier Mauricio</t>
  </si>
  <si>
    <t>10.516.045-3</t>
  </si>
  <si>
    <r>
      <rPr>
        <sz val="11"/>
        <color theme="1"/>
        <rFont val="cmtt10"/>
        <family val="2"/>
      </rPr>
      <t xml:space="preserve">Firmado digitalmente por:                               </t>
    </r>
    <r>
      <rPr>
        <sz val="11"/>
        <color theme="1"/>
        <rFont val="cmr10"/>
        <family val="2"/>
      </rPr>
      <t xml:space="preserve">    </t>
    </r>
    <r>
      <rPr>
        <sz val="11"/>
        <color theme="1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Dreaming Outloud Pro"/>
        <family val="4"/>
      </rPr>
      <t>Marcelo Barrera A.</t>
    </r>
  </si>
  <si>
    <r>
      <rPr>
        <sz val="11"/>
        <color theme="1"/>
        <rFont val="cmtt10"/>
        <family val="2"/>
      </rPr>
      <t xml:space="preserve">Firmado digitalmente por:                               </t>
    </r>
    <r>
      <rPr>
        <sz val="11"/>
        <color theme="1"/>
        <rFont val="cmr10"/>
        <family val="2"/>
      </rPr>
      <t xml:space="preserve">    </t>
    </r>
    <r>
      <rPr>
        <sz val="11"/>
        <color theme="1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Dreaming Outloud Pro"/>
        <family val="4"/>
      </rPr>
      <t>Daniel Carvajal B.</t>
    </r>
  </si>
  <si>
    <r>
      <rPr>
        <sz val="11"/>
        <color theme="1"/>
        <rFont val="cmtt10"/>
        <family val="2"/>
      </rPr>
      <t xml:space="preserve">Firmado digitalmente por:                               </t>
    </r>
    <r>
      <rPr>
        <sz val="11"/>
        <color theme="1"/>
        <rFont val="cmr10"/>
        <family val="2"/>
      </rPr>
      <t xml:space="preserve">    </t>
    </r>
    <r>
      <rPr>
        <sz val="11"/>
        <color theme="1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Dreaming Outloud Pro"/>
        <family val="4"/>
      </rPr>
      <t>Fernando Maza R.</t>
    </r>
  </si>
  <si>
    <r>
      <rPr>
        <sz val="11"/>
        <color theme="1"/>
        <rFont val="cmtt10"/>
        <family val="2"/>
      </rPr>
      <t xml:space="preserve">Firmado digitalmente por:                               </t>
    </r>
    <r>
      <rPr>
        <sz val="11"/>
        <color theme="1"/>
        <rFont val="cmr10"/>
        <family val="2"/>
      </rPr>
      <t xml:space="preserve">    </t>
    </r>
    <r>
      <rPr>
        <sz val="11"/>
        <color theme="1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Dreaming Outloud Pro"/>
        <family val="4"/>
      </rPr>
      <t>Gilberto Urtubia C.</t>
    </r>
  </si>
  <si>
    <t>fecha</t>
  </si>
  <si>
    <t>hora</t>
  </si>
  <si>
    <t>trabajador_</t>
  </si>
  <si>
    <t>rut_trabajador</t>
  </si>
  <si>
    <t>marca_</t>
  </si>
  <si>
    <t>tipo_1</t>
  </si>
  <si>
    <t>modelo_1</t>
  </si>
  <si>
    <t>modelo_2</t>
  </si>
  <si>
    <t>modelo_3</t>
  </si>
  <si>
    <t>modelos_todos</t>
  </si>
  <si>
    <t>evaluacion_</t>
  </si>
  <si>
    <t>correlativo_</t>
  </si>
  <si>
    <t>instructor_2</t>
  </si>
  <si>
    <t>estado_certificado</t>
  </si>
  <si>
    <t>autorizado_para_operar</t>
  </si>
  <si>
    <t>codigo_</t>
  </si>
  <si>
    <t>folio_</t>
  </si>
  <si>
    <t>fecha_texto</t>
  </si>
  <si>
    <t>calificacion_</t>
  </si>
  <si>
    <t>fecha_firma2</t>
  </si>
  <si>
    <t>Generado</t>
  </si>
  <si>
    <t>20 de enero del 2026 a las 12:40</t>
  </si>
  <si>
    <t>21 de enero del 2026 a las 17:56</t>
  </si>
  <si>
    <t>22 de enero del 2026 a las 16:18</t>
  </si>
  <si>
    <t>información de calificación errónea</t>
  </si>
  <si>
    <t>27 de enero del 2026 a las 08:51</t>
  </si>
  <si>
    <t>O500 RS - OC500 RF - LO915 - LO916</t>
  </si>
  <si>
    <t>27 de enero del 2026 a las 09:10</t>
  </si>
  <si>
    <t>27 de enero del 2026 a las 09:15</t>
  </si>
  <si>
    <t>O500 RS - OC500 RF - SPRINTER 315 – 415 – 515 – 517 4X2 - SPRINTER 516 4x4</t>
  </si>
  <si>
    <t>27 de enero del 2026 a las 11:06</t>
  </si>
  <si>
    <t>27 de enero del 2026 a las 11:20</t>
  </si>
  <si>
    <t>27 de enero del 2026 a las 11:21</t>
  </si>
  <si>
    <t>O500 RS - OC500 RF - O500 RS - OC500 RF - O500 RS-D</t>
  </si>
  <si>
    <t>27 de enero del 2026 a las 11:43</t>
  </si>
  <si>
    <t>O500 RS - OC500 RF - O500 RS-D - SPRINTER 315 – 415 – 515 – 517 4X2</t>
  </si>
  <si>
    <t>28 de enero del 2026 a las 08:39</t>
  </si>
  <si>
    <t>K 360 IB - K 400 IB - K 440 IB</t>
  </si>
  <si>
    <t>B 420R - B 430R - B 450R</t>
  </si>
  <si>
    <t>28 de enero del 2026 a las 16:40</t>
  </si>
  <si>
    <t>29 de enero del 2026 a las 13:28</t>
  </si>
  <si>
    <t>5 de febrero del 2026 a las 10:08</t>
  </si>
  <si>
    <t>11 de febrero del 2026 a las 12:18</t>
  </si>
  <si>
    <t>LO915 - LO916 - SPRINTER 315 – 415 – 515 – 517 4X2</t>
  </si>
  <si>
    <t>12 de febrero del 2026 a las 09:05</t>
  </si>
  <si>
    <t>12 de febrero del 2026 a las 09:13</t>
  </si>
  <si>
    <t>12 de febrero del 2026 a las 09:18</t>
  </si>
  <si>
    <t>Novoa Diaz Juan Carlos</t>
  </si>
  <si>
    <t>12.112.770-9</t>
  </si>
  <si>
    <t>12 de febrero del 2026 a las 09:28</t>
  </si>
  <si>
    <t>Lopez Guzman Edbel Gerardo</t>
  </si>
  <si>
    <t>25.468.926-2</t>
  </si>
  <si>
    <t>12 de febrero del 2026 a las 09:33</t>
  </si>
  <si>
    <t>12 de febrero del 2026 a las 09:36</t>
  </si>
  <si>
    <t>12 de febrero del 2026 a las 09:38</t>
  </si>
  <si>
    <t>12 de febrero del 2026 a las 09:39</t>
  </si>
  <si>
    <t>De La Fuente Azúa Fernando Antonio</t>
  </si>
  <si>
    <t>8.879.781-7</t>
  </si>
  <si>
    <t>12 de febrero del 2026 a las 09:42</t>
  </si>
  <si>
    <t>12 de febrero del 2026 a las 09:45</t>
  </si>
  <si>
    <t>12 de febrero del 2026 a las 09:47</t>
  </si>
  <si>
    <t>12 de febrero del 2026 a las 09:49</t>
  </si>
  <si>
    <t>12 de febrero del 2026 a las 09:51</t>
  </si>
  <si>
    <t>12 de febrero del 2026 a las 09:57</t>
  </si>
  <si>
    <t>12 de febrero del 2026 a las 10:01</t>
  </si>
  <si>
    <t>O500 RS-D - O500 RS - OC500 RF</t>
  </si>
  <si>
    <t>12 de febrero del 2026 a las 10:08</t>
  </si>
  <si>
    <t>K 440 IB - K 400 IB</t>
  </si>
  <si>
    <t>12 de febrero del 2026 a las 10:24</t>
  </si>
  <si>
    <t>12 de febrero del 2026 a las 10:29</t>
  </si>
  <si>
    <t>12 de febrero del 2026 a las 10:31</t>
  </si>
  <si>
    <t>Rodríguez Molina Cesar Luis</t>
  </si>
  <si>
    <t>13.837.090-9</t>
  </si>
  <si>
    <t>12 de febrero del 2026 a las 10:38</t>
  </si>
  <si>
    <t>12 de febrero del 2026 a las 10:43</t>
  </si>
  <si>
    <t>12 de febrero del 2026 a las 10:47</t>
  </si>
  <si>
    <t>B 420R - B 430R - F310 HB</t>
  </si>
  <si>
    <t>12 de febrero del 2026 a las 10:48</t>
  </si>
  <si>
    <t>12 de febrero del 2026 a las 10:53</t>
  </si>
  <si>
    <t>12 de febrero del 2026 a las 10:55</t>
  </si>
  <si>
    <t>12 de febrero del 2026 a las 10:57</t>
  </si>
  <si>
    <t>12 de febrero del 2026 a las 10:59</t>
  </si>
  <si>
    <t>12 de febrero del 2026 a las 11:00</t>
  </si>
  <si>
    <t>12 de febrero del 2026 a las 11:02</t>
  </si>
  <si>
    <t>12 de febrero del 2026 a las 11:03</t>
  </si>
  <si>
    <t>B 420R - B 430R - K 440 IB</t>
  </si>
  <si>
    <t>12 de febrero del 2026 a las 11:06</t>
  </si>
  <si>
    <t>K 440 IB - K 440 IB</t>
  </si>
  <si>
    <t>12 de febrero del 2026 a las 11:08</t>
  </si>
  <si>
    <t>12 de febrero del 2026 a las 11:09</t>
  </si>
  <si>
    <t>12 de febrero del 2026 a las 11:12</t>
  </si>
  <si>
    <t>B 450R - B 420R - B 430R</t>
  </si>
  <si>
    <t>12 de febrero del 2026 a las 11:17</t>
  </si>
  <si>
    <t>12 de febrero del 2026 a las 11:20</t>
  </si>
  <si>
    <t>12 de febrero del 2026 a las 11:21</t>
  </si>
  <si>
    <t>12 de febrero del 2026 a las 11:23</t>
  </si>
  <si>
    <t>O500 RS - OC500 RF - SPRINTER 315 – 415 – 515 – 517 4X2</t>
  </si>
  <si>
    <t>12 de febrero del 2026 a las 11:31</t>
  </si>
  <si>
    <t>Villagra Feris Héctor Guillermo</t>
  </si>
  <si>
    <t>10.229.137-9</t>
  </si>
  <si>
    <t>13 de febrero del 2026 a las 08:46</t>
  </si>
  <si>
    <t>Conejera Marchant Alex Eduardo</t>
  </si>
  <si>
    <t>12.644.266-1</t>
  </si>
  <si>
    <t>13 de febrero del 2026 a las 08:50</t>
  </si>
  <si>
    <t>Soto Rodríguez Danilo Hernán</t>
  </si>
  <si>
    <t>12.688.452-4</t>
  </si>
  <si>
    <t>13 de febrero del 2026 a las 08:54</t>
  </si>
  <si>
    <t>13 de febrero del 2026 a las 09:22</t>
  </si>
  <si>
    <t>Infante Araya José Luis Jorge</t>
  </si>
  <si>
    <t>15.889.969-8</t>
  </si>
  <si>
    <t>13 de febrero del 2026 a las 09:26</t>
  </si>
  <si>
    <t>13 de febrero del 2026 a las 09:28</t>
  </si>
  <si>
    <t>13 de febrero del 2026 a las 09:32</t>
  </si>
  <si>
    <t>Díaz Catalán Rodrigo Jesús</t>
  </si>
  <si>
    <t>13.031.598-4</t>
  </si>
  <si>
    <t>13 de febrero del 2026 a las 10:30</t>
  </si>
  <si>
    <t>13 de febrero del 2026 a las 10:33</t>
  </si>
  <si>
    <t>16 de febrero del 2026 a las 16:28</t>
  </si>
  <si>
    <t>14036195-5</t>
  </si>
  <si>
    <t>16 de febrero del 2026 a las 16:31</t>
  </si>
  <si>
    <t>14036195-6</t>
  </si>
  <si>
    <t>18 de febrero del 2026 a las 17:19</t>
  </si>
  <si>
    <t>19 de febrero del 2026 a las 14:20</t>
  </si>
  <si>
    <t>SPRINTER 315 – 415 – 515 – 517 4X3</t>
  </si>
  <si>
    <t>SPRINTER 315 – 415 – 515 – 517 4X4</t>
  </si>
  <si>
    <t>SPRINTER 315 – 415 – 515 – 517 4X5</t>
  </si>
  <si>
    <t>SPRINTER 315 – 415 – 515 – 517 4X6</t>
  </si>
  <si>
    <t>K 410CB - K 360 IB</t>
  </si>
  <si>
    <t>26 de febrero del 2026 a las 11:44</t>
  </si>
  <si>
    <t>K 360 IB - K 410CB</t>
  </si>
  <si>
    <t>26 de febrero del 2026 a las 13:19</t>
  </si>
  <si>
    <t>26 de febrero del 2026 a las 14:34</t>
  </si>
  <si>
    <t>26 de febrero del 2026 a las 14:55</t>
  </si>
  <si>
    <t>2 de marzo del 2026 a las 16:00</t>
  </si>
  <si>
    <t>B 420R - B 430R - B 420R - B 430R</t>
  </si>
  <si>
    <t>2 de marzo del 2026 a las 16:22</t>
  </si>
  <si>
    <t>3 de marzo del 2026 a las 17:57</t>
  </si>
  <si>
    <t>3 de marzo del 2026 a las 18:06</t>
  </si>
  <si>
    <t>4 de marzo del 2026 a las 18:10</t>
  </si>
  <si>
    <t>5 de marzo del 2026 a las 07:28</t>
  </si>
  <si>
    <t>9 de marzo del 2026 a las 11:57</t>
  </si>
  <si>
    <t>11 de marzo del 2026 a las 11:35</t>
  </si>
  <si>
    <t>11 de marzo del 2026 a las 11:49</t>
  </si>
  <si>
    <t>17 de marzo del 2026 a las 11:07</t>
  </si>
  <si>
    <t>18 de marzo del 2026 a las 09:23</t>
  </si>
  <si>
    <t>18 de marzo del 2026 a las 09:27</t>
  </si>
  <si>
    <t>19 de marzo del 2026 a las 15:28</t>
  </si>
  <si>
    <t>20 de marzo del 2026 a las 08:22</t>
  </si>
  <si>
    <t>20 de marzo del 2026 a las 08:27</t>
  </si>
  <si>
    <t>20 de marzo del 2026 a las 08:31</t>
  </si>
  <si>
    <t>23 de marzo del 2026 a las 17:37</t>
  </si>
  <si>
    <t>24 de marzo del 2026 a las 10:02</t>
  </si>
  <si>
    <t>24 de marzo del 2026 a las 10:25</t>
  </si>
  <si>
    <t>24 de marzo del 2026 a las 10:59</t>
  </si>
  <si>
    <t>24 de marzo del 2026 a las 13:45</t>
  </si>
  <si>
    <t>24 de marzo del 2026 a las 16:03</t>
  </si>
  <si>
    <t>24 de marzo del 2026 a las 16:08</t>
  </si>
  <si>
    <t>24 de marzo del 2026 a las 17:12</t>
  </si>
  <si>
    <t>24 de marzo del 2026 a las 17:16</t>
  </si>
  <si>
    <t>25 de marzo del 2026 a las 11:14</t>
  </si>
  <si>
    <t>25 de marzo del 2026 a las 15:39</t>
  </si>
  <si>
    <t>O500 RS - OC500 RF - LO915 - LO916 - SPRINTER 315 – 415 – 515 – 517 4X2</t>
  </si>
  <si>
    <t>26 de marzo del 2026 a las 11:30</t>
  </si>
  <si>
    <t>26 de marzo del 2026 a las 16:38</t>
  </si>
  <si>
    <t>K 440 IB - K 400 IB - K 360 IB</t>
  </si>
  <si>
    <t>26 de marzo del 2026 a las 16:48</t>
  </si>
  <si>
    <t>31 de marzo del 2026 a las 13:58</t>
  </si>
  <si>
    <t>15.325100-2</t>
  </si>
  <si>
    <t>31 de marzo del 2026 a las 14:08</t>
  </si>
  <si>
    <t>31 de marzo del 2026 a las 14:15</t>
  </si>
  <si>
    <t>15,325.100-2</t>
  </si>
  <si>
    <t>31 de marzo del 2026 a las 15:11</t>
  </si>
  <si>
    <t>6 de abril del 2026 a las 15:48</t>
  </si>
  <si>
    <t>6 de abril del 2026 a las 16:10</t>
  </si>
  <si>
    <t>6 de abril del 2026 a las 16:28</t>
  </si>
  <si>
    <t>8 de abril del 2026 a las 09:06</t>
  </si>
  <si>
    <t>Bruna castro Juan segundo</t>
  </si>
  <si>
    <t/>
  </si>
  <si>
    <t>10 de abril del 2026 a las 14:09</t>
  </si>
  <si>
    <t>10 de abril del 2026 a las 14:13</t>
  </si>
  <si>
    <t>13 de abril del 2026 a las 10:07</t>
  </si>
  <si>
    <t>13 de abril del 2026 a las 10:10</t>
  </si>
  <si>
    <t>13 de abril del 2026 a las 10:56</t>
  </si>
  <si>
    <t>13 de abril del 2026 a las 10:57</t>
  </si>
  <si>
    <t>15.325.100-3</t>
  </si>
  <si>
    <t>15.325.100-4</t>
  </si>
  <si>
    <t>15.325.100-5</t>
  </si>
  <si>
    <t>15.325.100-6</t>
  </si>
  <si>
    <t>15.325.100-7</t>
  </si>
  <si>
    <t>13 de abril del 2026 a las 10:58</t>
  </si>
  <si>
    <t>13 de abril del 2026 a las 18:30</t>
  </si>
  <si>
    <t>O500 RS - OC500 RF - SPRINTER 315 – 415 – 515 – 517 4X2 - LO915 - LO916</t>
  </si>
  <si>
    <t>14 de abril del 2026 a las 09:26</t>
  </si>
  <si>
    <t>14 de abril del 2026 a las 09:32</t>
  </si>
  <si>
    <t>14 de abril del 2026 a las 09:52</t>
  </si>
  <si>
    <t>14 de abril del 2026 a las 15:43</t>
  </si>
  <si>
    <t>BUS</t>
  </si>
  <si>
    <t>generado</t>
  </si>
  <si>
    <t>11 de julio del 2025 a las 10:12</t>
  </si>
  <si>
    <t>Santibañez Pradenas Pedro Alfonso</t>
  </si>
  <si>
    <t>9.724.427-8</t>
  </si>
  <si>
    <t>Velásquez Lobos Sandro Jesús</t>
  </si>
  <si>
    <t>13.296.040-2</t>
  </si>
  <si>
    <t>11 de julio del 2025 a las 10:40</t>
  </si>
  <si>
    <t>O500 RS - O500 RS-D - OC500 RF</t>
  </si>
  <si>
    <t>14 de julio del 2025 a las 11:42</t>
  </si>
  <si>
    <t>Quispe Vega Andrés Darío</t>
  </si>
  <si>
    <t>11.720.052-3</t>
  </si>
  <si>
    <t>16 de julio del 2025 a las 08:48</t>
  </si>
  <si>
    <t>Carvajal Quispe Ruben Felix</t>
  </si>
  <si>
    <t>16.259.050-2</t>
  </si>
  <si>
    <t>Varela Zambrano Edgar Antonio</t>
  </si>
  <si>
    <t>26.607.245-7</t>
  </si>
  <si>
    <t>Huaiquinao Villagrán Marco Andrés</t>
  </si>
  <si>
    <t>19.194.738-k</t>
  </si>
  <si>
    <t>16 de julio del 2025 a las 10:52</t>
  </si>
  <si>
    <t>Duran Rebolledo Juan Carlos</t>
  </si>
  <si>
    <t>10.628.414-8</t>
  </si>
  <si>
    <t>16 de julio del 2025 a las 11:07</t>
  </si>
  <si>
    <t>16 de julio del 2025 a las 11:08</t>
  </si>
  <si>
    <t>16 de julio del 2025 a las 11:10</t>
  </si>
  <si>
    <t>SPRINTER 315 – 415 – 515 – 517 - 516 4X2</t>
  </si>
  <si>
    <t>16 de julio del 2025 a las 13:14</t>
  </si>
  <si>
    <t>SPRINTER 315 – 415 – 515 – 517 - 516 4X2 - SPRINTER 516 4x4 - LO915 - LO916</t>
  </si>
  <si>
    <t>K 360 IB4x2 - K 410CB 4X2NB - F310 HB4X2</t>
  </si>
  <si>
    <t>16 de julio del 2025 a las 17:00</t>
  </si>
  <si>
    <t>16 de julio del 2025 a las 17:02</t>
  </si>
  <si>
    <t>24 de julio del 2025 a las 15:34</t>
  </si>
  <si>
    <t>24 de julio del 2025 a las 16:14</t>
  </si>
  <si>
    <t>24 de julio del 2025 a las 16:44</t>
  </si>
  <si>
    <t>24 de julio del 2025 a las 16:49</t>
  </si>
  <si>
    <t>Caro Monsalve Victor Alexis</t>
  </si>
  <si>
    <t>12.117.372-7</t>
  </si>
  <si>
    <t>28 de julio del 2025 a las 15:15</t>
  </si>
  <si>
    <t>28 de julio del 2025 a las 15:22</t>
  </si>
  <si>
    <t>28 de julio del 2025 a las 16:27</t>
  </si>
  <si>
    <t>K 360 IB - K 440 IB - K 400 IB</t>
  </si>
  <si>
    <t>28 de julio del 2025 a las 16:30</t>
  </si>
  <si>
    <t>O500 RS - OC500 RF - O500 RS-D</t>
  </si>
  <si>
    <t>28 de julio del 2025 a las 16:37</t>
  </si>
  <si>
    <t>28 de julio del 2025 a las 17:01</t>
  </si>
  <si>
    <t>28 de julio del 2025 a las 17:09</t>
  </si>
  <si>
    <t>Urzua Colina José Horacio</t>
  </si>
  <si>
    <t>13.278.473-6</t>
  </si>
  <si>
    <t>28 de julio del 2025 a las 17:27</t>
  </si>
  <si>
    <t>29 de julio del 2025 a las 08:31</t>
  </si>
  <si>
    <t>Balladares Almarza Carlos Patricio</t>
  </si>
  <si>
    <t>7.762.678-6</t>
  </si>
  <si>
    <t>29 de julio del 2025 a las 08:39</t>
  </si>
  <si>
    <t>29 de julio del 2025 a las 09:34</t>
  </si>
  <si>
    <t>29 de julio del 2025 a las 09:39</t>
  </si>
  <si>
    <t>Marín Astargo Miguel Angel</t>
  </si>
  <si>
    <t>10.028.169-4</t>
  </si>
  <si>
    <t>29 de julio del 2025 a las 10:01</t>
  </si>
  <si>
    <t>Habilitado</t>
  </si>
  <si>
    <t>120820251600</t>
  </si>
  <si>
    <t>120820251600377</t>
  </si>
  <si>
    <t>12 de agosto del 2025</t>
  </si>
  <si>
    <t>100%</t>
  </si>
  <si>
    <t>13 de agosto del 2025 a las 13:14</t>
  </si>
  <si>
    <t>40820251000</t>
  </si>
  <si>
    <t>40820251000378</t>
  </si>
  <si>
    <t>4 de agosto del 2025</t>
  </si>
  <si>
    <t>13 de agosto del 2025 a las 16:22</t>
  </si>
  <si>
    <t>110820251200</t>
  </si>
  <si>
    <t>110820251200379</t>
  </si>
  <si>
    <t>11 de agosto del 2025</t>
  </si>
  <si>
    <t>13 de agosto del 2025 a las 16:48</t>
  </si>
  <si>
    <t>110820251201</t>
  </si>
  <si>
    <t>110820251201380</t>
  </si>
  <si>
    <t>110820251203</t>
  </si>
  <si>
    <t>110820251203381</t>
  </si>
  <si>
    <t>120820251601</t>
  </si>
  <si>
    <t>120820251601383</t>
  </si>
  <si>
    <t>13 de agosto del 2025 a las 16:51</t>
  </si>
  <si>
    <t>120820251602</t>
  </si>
  <si>
    <t>120820251602384</t>
  </si>
  <si>
    <t>120820251730</t>
  </si>
  <si>
    <t>120820251730385</t>
  </si>
  <si>
    <t>14 de agosto del 2025 a las 16:15</t>
  </si>
  <si>
    <t>150720251700</t>
  </si>
  <si>
    <t>150720251700386</t>
  </si>
  <si>
    <t>15 de julio del 2025</t>
  </si>
  <si>
    <t>18 de agosto del 2025 a las 16:45</t>
  </si>
  <si>
    <t>250820251745</t>
  </si>
  <si>
    <t>250820251745387</t>
  </si>
  <si>
    <t>25 de agosto del 2025</t>
  </si>
  <si>
    <t>26 de agosto del 2025 a las 14:20</t>
  </si>
  <si>
    <t>260820251330</t>
  </si>
  <si>
    <t>260820251330388</t>
  </si>
  <si>
    <t>26 de agosto del 2025</t>
  </si>
  <si>
    <t>26 de agosto del 2025 a las 14:45</t>
  </si>
  <si>
    <t>260820251400</t>
  </si>
  <si>
    <t>260820251400389</t>
  </si>
  <si>
    <t>26 de agosto del 2025 a las 14:51</t>
  </si>
  <si>
    <t>260820251410</t>
  </si>
  <si>
    <t>260820251410390</t>
  </si>
  <si>
    <t>26 de agosto del 2025 a las 14:53</t>
  </si>
  <si>
    <t>270820250900</t>
  </si>
  <si>
    <t>270820250900391</t>
  </si>
  <si>
    <t>27 de agosto del 2025</t>
  </si>
  <si>
    <t>27 de agosto del 2025 a las 12:15</t>
  </si>
  <si>
    <t>270820251200</t>
  </si>
  <si>
    <t>270820251200392</t>
  </si>
  <si>
    <t>27 de agosto del 2025 a las 13:13</t>
  </si>
  <si>
    <t>290820251600</t>
  </si>
  <si>
    <t>290820251600393</t>
  </si>
  <si>
    <t>29 de agosto del 2025</t>
  </si>
  <si>
    <t>29 de agosto del 2025 a las 10:09</t>
  </si>
  <si>
    <t>290820251105</t>
  </si>
  <si>
    <t>290820251105394</t>
  </si>
  <si>
    <t>29 de agosto del 2025 a las 11:12</t>
  </si>
  <si>
    <t>290820251107</t>
  </si>
  <si>
    <t>290820251107395</t>
  </si>
  <si>
    <t>29 de agosto del 2025 a las 11:15</t>
  </si>
  <si>
    <t>K 440 IB - K 360 IB</t>
  </si>
  <si>
    <t>290820251110</t>
  </si>
  <si>
    <t>290820251110396</t>
  </si>
  <si>
    <t>29 de agosto del 2025 a las 11:18</t>
  </si>
  <si>
    <t>150720251705</t>
  </si>
  <si>
    <t>150720251705397</t>
  </si>
  <si>
    <t>1 de septiembre del 2025 a las 16:30</t>
  </si>
  <si>
    <t>150720251710</t>
  </si>
  <si>
    <t>150720251710398</t>
  </si>
  <si>
    <t>Moraga Flores Carlos Guillermo</t>
  </si>
  <si>
    <t>9.085.804-1</t>
  </si>
  <si>
    <t>250720251620</t>
  </si>
  <si>
    <t>250720251620399</t>
  </si>
  <si>
    <t>25 de julio del 2025</t>
  </si>
  <si>
    <t>1 de septiembre del 2025 a las 16:33</t>
  </si>
  <si>
    <t>120820251700</t>
  </si>
  <si>
    <t>120820251700400</t>
  </si>
  <si>
    <t>2 de septiembre del 2025 a las 09:26</t>
  </si>
  <si>
    <t>120820251701</t>
  </si>
  <si>
    <t>120820251701401</t>
  </si>
  <si>
    <t>120820251705</t>
  </si>
  <si>
    <t>120820251705402</t>
  </si>
  <si>
    <t>120820251710</t>
  </si>
  <si>
    <t>120820251710403</t>
  </si>
  <si>
    <t>120820251710404</t>
  </si>
  <si>
    <t>120820251800</t>
  </si>
  <si>
    <t>120820251800405</t>
  </si>
  <si>
    <t>120820251058</t>
  </si>
  <si>
    <t>120820251058406</t>
  </si>
  <si>
    <t>2 de septiembre del 2025 a las 11:21</t>
  </si>
  <si>
    <t>120820251102</t>
  </si>
  <si>
    <t>120820251102407</t>
  </si>
  <si>
    <t>30920251700</t>
  </si>
  <si>
    <t>30920251700408</t>
  </si>
  <si>
    <t>3 de septiembre del 2025</t>
  </si>
  <si>
    <t>3 de septiembre del 2025 a las 17:33</t>
  </si>
  <si>
    <t>Ibacache González Joran Nahun</t>
  </si>
  <si>
    <t>16.868.621-8</t>
  </si>
  <si>
    <t>30920251600</t>
  </si>
  <si>
    <t>30920251600409</t>
  </si>
  <si>
    <t>3 de septiembre del 2025 a las 17:36</t>
  </si>
  <si>
    <t>30920251800</t>
  </si>
  <si>
    <t>30920251800410</t>
  </si>
  <si>
    <t>3 de septiembre del 2025 a las 18:34</t>
  </si>
  <si>
    <t>30920251810</t>
  </si>
  <si>
    <t>30920251810411</t>
  </si>
  <si>
    <t>3 de septiembre del 2025 a las 18:36</t>
  </si>
  <si>
    <t>Toledo Bravo Renato Arturo Julio</t>
  </si>
  <si>
    <t>12.840.237-3</t>
  </si>
  <si>
    <t>O500 RS-D - SPRINTER 315 – 415 – 515 – 517 4X2 - LO915 - LO916</t>
  </si>
  <si>
    <t>40920251000</t>
  </si>
  <si>
    <t>40920251000412</t>
  </si>
  <si>
    <t>4 de septiembre del 2025</t>
  </si>
  <si>
    <t>4 de septiembre del 2025 a las 11:13</t>
  </si>
  <si>
    <t>K 440 IB - K 400 IB - K 410CB</t>
  </si>
  <si>
    <t>40920251020</t>
  </si>
  <si>
    <t>40920251020413</t>
  </si>
  <si>
    <t>4 de septiembre del 2025 a las 11:16</t>
  </si>
  <si>
    <t>40920251030</t>
  </si>
  <si>
    <t>40920251030414</t>
  </si>
  <si>
    <t>4 de septiembre del 2025 a las 11:17</t>
  </si>
  <si>
    <t>Galarce Ugalde Octavio Alfonso</t>
  </si>
  <si>
    <t>14.419.996-3</t>
  </si>
  <si>
    <t>30920251206</t>
  </si>
  <si>
    <t>30920251206415</t>
  </si>
  <si>
    <t>5 de septiembre del 2025 a las 08:41</t>
  </si>
  <si>
    <t>30920251207</t>
  </si>
  <si>
    <t>30920251207416</t>
  </si>
  <si>
    <t>5 de septiembre del 2025 a las 08:45</t>
  </si>
  <si>
    <t>30920251209</t>
  </si>
  <si>
    <t>30920251209417</t>
  </si>
  <si>
    <t>Heredia Suarez Gabriel Armando</t>
  </si>
  <si>
    <t>2683151-3</t>
  </si>
  <si>
    <t>50920251645</t>
  </si>
  <si>
    <t>50920251645418</t>
  </si>
  <si>
    <t>5 de septiembre del 2025</t>
  </si>
  <si>
    <t>15 de septiembre del 2025 a las 16:51</t>
  </si>
  <si>
    <t>Urzúa Mondaca Jimmy ´Álvaro</t>
  </si>
  <si>
    <t>13.217.370-2</t>
  </si>
  <si>
    <t>150920251655</t>
  </si>
  <si>
    <t>150920251655419</t>
  </si>
  <si>
    <t>15 de septiembre del 2025</t>
  </si>
  <si>
    <t>15 de septiembre del 2025 a las 17:04</t>
  </si>
  <si>
    <t>110920251500</t>
  </si>
  <si>
    <t>110920251500420</t>
  </si>
  <si>
    <t>11 de septiembre del 2025</t>
  </si>
  <si>
    <t>421</t>
  </si>
  <si>
    <t>0 de enero del 1900</t>
  </si>
  <si>
    <t>110920251735</t>
  </si>
  <si>
    <t>110920251735422</t>
  </si>
  <si>
    <t>15 de septiembre del 2025 a las 17:45</t>
  </si>
  <si>
    <t>110920251737</t>
  </si>
  <si>
    <t>110920251737423</t>
  </si>
  <si>
    <t>110920251739</t>
  </si>
  <si>
    <t>110920251739424</t>
  </si>
  <si>
    <t>160920251720</t>
  </si>
  <si>
    <t>160920251720425</t>
  </si>
  <si>
    <t>16 de septiembre del 2025</t>
  </si>
  <si>
    <t>16 de septiembre del 2025 a las 17:21</t>
  </si>
  <si>
    <t>160920251723</t>
  </si>
  <si>
    <t>160920251723426</t>
  </si>
  <si>
    <t>160920251715</t>
  </si>
  <si>
    <t>160920251715427</t>
  </si>
  <si>
    <t>No Habilitado</t>
  </si>
  <si>
    <t>170920251100</t>
  </si>
  <si>
    <t>170920251100428</t>
  </si>
  <si>
    <t>17 de septiembre del 2025</t>
  </si>
  <si>
    <t>17 de septiembre del 2025 a las 11:33</t>
  </si>
  <si>
    <t>170920251105</t>
  </si>
  <si>
    <t>170920251105429</t>
  </si>
  <si>
    <t>290820251118</t>
  </si>
  <si>
    <t>290820251118430</t>
  </si>
  <si>
    <t>P-849-2359-004-V01</t>
  </si>
  <si>
    <t>290820251120</t>
  </si>
  <si>
    <t>290820251120431</t>
  </si>
  <si>
    <t>290820251123</t>
  </si>
  <si>
    <t>290820251123432</t>
  </si>
  <si>
    <t>12514238-9</t>
  </si>
  <si>
    <t>170920251130</t>
  </si>
  <si>
    <t>170920251130433</t>
  </si>
  <si>
    <t>17 de septiembre del 2025 a las 11:52</t>
  </si>
  <si>
    <t>170920251140</t>
  </si>
  <si>
    <t>170920251140434</t>
  </si>
  <si>
    <t>435</t>
  </si>
  <si>
    <t>Guajardo Avallai César Gustavo</t>
  </si>
  <si>
    <t>15.062.073-2</t>
  </si>
  <si>
    <t>290820251240</t>
  </si>
  <si>
    <t>290820251240436</t>
  </si>
  <si>
    <t>17 de septiembre del 2025 a las 12:55</t>
  </si>
  <si>
    <t>K 440 IB - K 440 IB - K 360 IB</t>
  </si>
  <si>
    <t>290820251242</t>
  </si>
  <si>
    <t>290820251242437</t>
  </si>
  <si>
    <t>290820251246</t>
  </si>
  <si>
    <t>290820251246438</t>
  </si>
  <si>
    <t>130820251300</t>
  </si>
  <si>
    <t>130820251300439</t>
  </si>
  <si>
    <t>13 de agosto del 2025</t>
  </si>
  <si>
    <t>17 de septiembre del 2025 a las 13:07</t>
  </si>
  <si>
    <t>130820251303</t>
  </si>
  <si>
    <t>130820251303440</t>
  </si>
  <si>
    <t>130820251306</t>
  </si>
  <si>
    <t>130820251306441</t>
  </si>
  <si>
    <t>Gallardo Castillo Raúl Del Carmen</t>
  </si>
  <si>
    <t>8.135.800-1</t>
  </si>
  <si>
    <t>280820251000</t>
  </si>
  <si>
    <t>280820251000442</t>
  </si>
  <si>
    <t>28 de agosto del 2025</t>
  </si>
  <si>
    <t>22 de septiembre del 2025 a las 09:20</t>
  </si>
  <si>
    <t>280820251030</t>
  </si>
  <si>
    <t>280820251030443</t>
  </si>
  <si>
    <t>22 de septiembre del 2025 a las 09:23</t>
  </si>
  <si>
    <t>Rodríguez Gerdez Pedro Manuel</t>
  </si>
  <si>
    <t>25.570.162-2</t>
  </si>
  <si>
    <t>40920251000444</t>
  </si>
  <si>
    <t>22 de septiembre del 2025 a las 09:59</t>
  </si>
  <si>
    <t>40920251000445</t>
  </si>
  <si>
    <t>22 de septiembre del 2025 a las 10:01</t>
  </si>
  <si>
    <t>Pendiente</t>
  </si>
  <si>
    <t>40920251000446</t>
  </si>
  <si>
    <t>22 de septiembre del 2025 a las 10:02</t>
  </si>
  <si>
    <t>10847661-3</t>
  </si>
  <si>
    <t>SPRINTER 315 – 415 – 515 – 517 4X2 - LO915 - LO916</t>
  </si>
  <si>
    <t>220920251035</t>
  </si>
  <si>
    <t>220920251035447</t>
  </si>
  <si>
    <t>22 de septiembre del 2025</t>
  </si>
  <si>
    <t>22 de septiembre del 2025 a las 10:41</t>
  </si>
  <si>
    <t>16998952-4</t>
  </si>
  <si>
    <t>290920251250</t>
  </si>
  <si>
    <t>290920251250448</t>
  </si>
  <si>
    <t>29 de septiembre del 2025</t>
  </si>
  <si>
    <t>23 de septiembre del 2025 a las 12:57</t>
  </si>
  <si>
    <t>230920251500</t>
  </si>
  <si>
    <t>230920251500449</t>
  </si>
  <si>
    <t>23 de septiembre del 2025</t>
  </si>
  <si>
    <t>23 de septiembre del 2025 a las 16:07</t>
  </si>
  <si>
    <t>260920251015</t>
  </si>
  <si>
    <t>260920251015450</t>
  </si>
  <si>
    <t>26 de septiembre del 2025</t>
  </si>
  <si>
    <t>26 de septiembre del 2025 a las 10:48</t>
  </si>
  <si>
    <t>260920251016</t>
  </si>
  <si>
    <t>260920251016451</t>
  </si>
  <si>
    <t>260920251017</t>
  </si>
  <si>
    <t>260920251017452</t>
  </si>
  <si>
    <t>P-8549-2359-004-VO1</t>
  </si>
  <si>
    <t>260920251018</t>
  </si>
  <si>
    <t>260920251018453</t>
  </si>
  <si>
    <t>260920251019</t>
  </si>
  <si>
    <t>260920251019454</t>
  </si>
  <si>
    <t>260920251020</t>
  </si>
  <si>
    <t>260920251020455</t>
  </si>
  <si>
    <t>81020251000</t>
  </si>
  <si>
    <t>81020251000456</t>
  </si>
  <si>
    <t>8 de octubre del 2025</t>
  </si>
  <si>
    <t>9 de octubre del 2025 a las 11:56</t>
  </si>
  <si>
    <t>81020251000457</t>
  </si>
  <si>
    <t>81020251500</t>
  </si>
  <si>
    <t>81020251500458</t>
  </si>
  <si>
    <t>81020251500459</t>
  </si>
  <si>
    <t>81020251000460</t>
  </si>
  <si>
    <t>81020251000461</t>
  </si>
  <si>
    <t>81020251000462</t>
  </si>
  <si>
    <t>81020251000463</t>
  </si>
  <si>
    <t>81020251000464</t>
  </si>
  <si>
    <t>81020251000465</t>
  </si>
  <si>
    <t>81020251500466</t>
  </si>
  <si>
    <t>81020251500467</t>
  </si>
  <si>
    <t>Veliz Urbina Jaime Andres</t>
  </si>
  <si>
    <t>17.392.405-4</t>
  </si>
  <si>
    <t>81020251330</t>
  </si>
  <si>
    <t>81020251330468</t>
  </si>
  <si>
    <t>9 de octubre del 2025 a las 13:20</t>
  </si>
  <si>
    <t>91020251550</t>
  </si>
  <si>
    <t>91020251550469</t>
  </si>
  <si>
    <t>9 de octubre del 2025</t>
  </si>
  <si>
    <t>9 de octubre del 2025 a las 15:48</t>
  </si>
  <si>
    <t>141020251800</t>
  </si>
  <si>
    <t>141020251800470</t>
  </si>
  <si>
    <t>14 de octubre del 2025</t>
  </si>
  <si>
    <t>14 de octubre del 2025 a las 18:19</t>
  </si>
  <si>
    <t>161020250800</t>
  </si>
  <si>
    <t>161020250800471</t>
  </si>
  <si>
    <t>16 de octubre del 2025</t>
  </si>
  <si>
    <t>16 de octubre del 2025 a las 08:12</t>
  </si>
  <si>
    <t>161020250800472</t>
  </si>
  <si>
    <t>16 de octubre del 2025 a las 08:17</t>
  </si>
  <si>
    <t>161020250800473</t>
  </si>
  <si>
    <t>16 de octubre del 2025 a las 08:22</t>
  </si>
  <si>
    <t>161020250800474</t>
  </si>
  <si>
    <t>16 de octubre del 2025 a las 12:38</t>
  </si>
  <si>
    <t>161020251200</t>
  </si>
  <si>
    <t>161020251200475</t>
  </si>
  <si>
    <t>16 de octubre del 2025 a las 12:47</t>
  </si>
  <si>
    <t>Toro Espinoza Juan Héctor</t>
  </si>
  <si>
    <t>10.805.945-1</t>
  </si>
  <si>
    <t>161020251500</t>
  </si>
  <si>
    <t>161020251500476</t>
  </si>
  <si>
    <t>17 de octubre del 2025 a las 11:30</t>
  </si>
  <si>
    <t>Cárdenas Fuenzalida Héctor Alejandro</t>
  </si>
  <si>
    <t>12.299.952-1</t>
  </si>
  <si>
    <t>161020250900</t>
  </si>
  <si>
    <t>161020250900477</t>
  </si>
  <si>
    <t>17 de octubre del 2025 a las 11:44</t>
  </si>
  <si>
    <t>10.805945-1</t>
  </si>
  <si>
    <t>161020250900478</t>
  </si>
  <si>
    <t>17 de octubre del 2025 a las 11:46</t>
  </si>
  <si>
    <t>Ramírez Cuadra Marco Antonio</t>
  </si>
  <si>
    <t>11.777.742-1</t>
  </si>
  <si>
    <t>161020250900479</t>
  </si>
  <si>
    <t>17 de octubre del 2025 a las 12:46</t>
  </si>
  <si>
    <t>161020250900480</t>
  </si>
  <si>
    <t>17 de octubre del 2025 a las 12:55</t>
  </si>
  <si>
    <t>161020251000</t>
  </si>
  <si>
    <t>161020251000481</t>
  </si>
  <si>
    <t>17 de octubre del 2025 a las 13:15</t>
  </si>
  <si>
    <t>16.856.607-0</t>
  </si>
  <si>
    <t>161020251200482</t>
  </si>
  <si>
    <t>17 de octubre del 2025 a las 13:24</t>
  </si>
  <si>
    <t>Ríos López Marco Antonio</t>
  </si>
  <si>
    <t>11.524.645-3</t>
  </si>
  <si>
    <t>161020251000483</t>
  </si>
  <si>
    <t>17 de octubre del 2025 a las 13:39</t>
  </si>
  <si>
    <t>161020251000484</t>
  </si>
  <si>
    <t>17 de octubre del 2025 a las 13:41</t>
  </si>
  <si>
    <t>161020251000485</t>
  </si>
  <si>
    <t>17 de octubre del 2025 a las 14:00</t>
  </si>
  <si>
    <t>161020251000486</t>
  </si>
  <si>
    <t>161020251000487</t>
  </si>
  <si>
    <t>17 de octubre del 2025 a las 14:15</t>
  </si>
  <si>
    <t>161020251000488</t>
  </si>
  <si>
    <t>17 de octubre del 2025 a las 14:16</t>
  </si>
  <si>
    <t>211020251200</t>
  </si>
  <si>
    <t>211020251200489</t>
  </si>
  <si>
    <t>21 de octubre del 2025</t>
  </si>
  <si>
    <t>21 de octubre del 2025 a las 11:06</t>
  </si>
  <si>
    <t>211020251500</t>
  </si>
  <si>
    <t>211020251500490</t>
  </si>
  <si>
    <t>22 de octubre del 2025 a las 09:11</t>
  </si>
  <si>
    <t>211020251500491</t>
  </si>
  <si>
    <t>22 de octubre del 2025 a las 09:12</t>
  </si>
  <si>
    <t>O500 RS - OC500 RF - SPRINTER 516 4x4 - LO915 - LO916</t>
  </si>
  <si>
    <t>221020251500</t>
  </si>
  <si>
    <t>221020251500492</t>
  </si>
  <si>
    <t>22 de octubre del 2025</t>
  </si>
  <si>
    <t>22 de octubre del 2025 a las 10:11</t>
  </si>
  <si>
    <t>221020251500493</t>
  </si>
  <si>
    <t>221020251500494</t>
  </si>
  <si>
    <t>F310 HB - K 360 IB - K 410CB</t>
  </si>
  <si>
    <t>221020251000</t>
  </si>
  <si>
    <t>221020251000495</t>
  </si>
  <si>
    <t>22 de octubre del 2025 a las 10:19</t>
  </si>
  <si>
    <t>221020251000496</t>
  </si>
  <si>
    <t>211020251000</t>
  </si>
  <si>
    <t>211020251000497</t>
  </si>
  <si>
    <t>22 de octubre del 2025 a las 10:20</t>
  </si>
  <si>
    <t>211020251000498</t>
  </si>
  <si>
    <t>22 de octubre del 2025 a las 11:01</t>
  </si>
  <si>
    <t>211020251000499</t>
  </si>
  <si>
    <t>Briones Galaz Jorge Luis</t>
  </si>
  <si>
    <t>13.277.571-0</t>
  </si>
  <si>
    <t>221020251650</t>
  </si>
  <si>
    <t>221020251650500</t>
  </si>
  <si>
    <t>23 de octubre del 2025 a las 17:05</t>
  </si>
  <si>
    <t>201020251500</t>
  </si>
  <si>
    <t>201020251500501</t>
  </si>
  <si>
    <t>20 de octubre del 2025</t>
  </si>
  <si>
    <t>201020251830</t>
  </si>
  <si>
    <t>201020251830502</t>
  </si>
  <si>
    <t>23 de octubre del 2025 a las 17:15</t>
  </si>
  <si>
    <t>271020251100</t>
  </si>
  <si>
    <t>271020251100503</t>
  </si>
  <si>
    <t>27 de octubre del 2025</t>
  </si>
  <si>
    <t>27 de octubre del 2025 a las 11:02</t>
  </si>
  <si>
    <t>260920251505</t>
  </si>
  <si>
    <t>260920251505506</t>
  </si>
  <si>
    <t>27 de octubre del 2025 a las 15:53</t>
  </si>
  <si>
    <t>260920251506</t>
  </si>
  <si>
    <t>260920251506507</t>
  </si>
  <si>
    <t>27 de octubre del 2025 a las 15:55</t>
  </si>
  <si>
    <t>260920251600</t>
  </si>
  <si>
    <t>260920251600508</t>
  </si>
  <si>
    <t>27 de octubre del 2025 a las 16:05</t>
  </si>
  <si>
    <t>260920251601</t>
  </si>
  <si>
    <t>260920251601509</t>
  </si>
  <si>
    <t>260920251607</t>
  </si>
  <si>
    <t>260920251607510</t>
  </si>
  <si>
    <t>27 de octubre del 2025 a las 16:07</t>
  </si>
  <si>
    <t>170920251701</t>
  </si>
  <si>
    <t>170920251701511</t>
  </si>
  <si>
    <t>27 de octubre del 2025 a las 16:17</t>
  </si>
  <si>
    <t>170920251704</t>
  </si>
  <si>
    <t>170920251704512</t>
  </si>
  <si>
    <t>170920251725</t>
  </si>
  <si>
    <t>170920251725513</t>
  </si>
  <si>
    <t>27 de octubre del 2025 a las 16:21</t>
  </si>
  <si>
    <t>31020251650</t>
  </si>
  <si>
    <t>31020251650514</t>
  </si>
  <si>
    <t>3 de octubre del 2025</t>
  </si>
  <si>
    <t>27 de octubre del 2025 a las 16:25</t>
  </si>
  <si>
    <t>271020251645</t>
  </si>
  <si>
    <t>271020251645515</t>
  </si>
  <si>
    <t>27 de octubre del 2025 a las 16:58</t>
  </si>
  <si>
    <t>271020251500</t>
  </si>
  <si>
    <t>271020251500516</t>
  </si>
  <si>
    <t>27 de octubre del 2025 a las 17:46</t>
  </si>
  <si>
    <t>Olivares Beroíza Juan Carlos</t>
  </si>
  <si>
    <t>14.404.036-8</t>
  </si>
  <si>
    <t>281020251600</t>
  </si>
  <si>
    <t>281020251600517</t>
  </si>
  <si>
    <t>28 de octubre del 2025</t>
  </si>
  <si>
    <t>28 de octubre del 2025 a las 16:02</t>
  </si>
  <si>
    <t>281020251600518</t>
  </si>
  <si>
    <t>O500 RS-D - SPRINTER 315 – 415 – 515 – 517 4X2</t>
  </si>
  <si>
    <t>141020251600</t>
  </si>
  <si>
    <t>141020251600519</t>
  </si>
  <si>
    <t>28 de octubre del 2025 a las 16:21</t>
  </si>
  <si>
    <t>K 400 IB - K 440 IB</t>
  </si>
  <si>
    <t>141020251600520</t>
  </si>
  <si>
    <t>28 de octubre del 2025 a las 16:22</t>
  </si>
  <si>
    <t>141020251600521</t>
  </si>
  <si>
    <t>28 de octubre del 2025 a las 16:50</t>
  </si>
  <si>
    <t>301020251500</t>
  </si>
  <si>
    <t>301020251500522</t>
  </si>
  <si>
    <t>30 de octubre del 2025</t>
  </si>
  <si>
    <t>3 de noviembre del 2025 a las 11:15</t>
  </si>
  <si>
    <t>301020251500523</t>
  </si>
  <si>
    <t>51120250930</t>
  </si>
  <si>
    <t>51120250930524</t>
  </si>
  <si>
    <t>5 de noviembre del 2025</t>
  </si>
  <si>
    <t>5 de noviembre del 2025 a las 09:36</t>
  </si>
  <si>
    <t>41120250000</t>
  </si>
  <si>
    <t>41120250000525</t>
  </si>
  <si>
    <t>4 de noviembre del 2025</t>
  </si>
  <si>
    <t>301020251800</t>
  </si>
  <si>
    <t>301020251800526</t>
  </si>
  <si>
    <t>5 de noviembre del 2025 a las 10:06</t>
  </si>
  <si>
    <t>K 400 IB - K 440 IB - K 360 IB</t>
  </si>
  <si>
    <t>301020251800527</t>
  </si>
  <si>
    <t>5 de noviembre del 2025 a las 10:08</t>
  </si>
  <si>
    <t>301020251800528</t>
  </si>
  <si>
    <t>5 de noviembre del 2025 a las 10:09</t>
  </si>
  <si>
    <t>Villalobos Esquivel José Antonio</t>
  </si>
  <si>
    <t>11.510.696-1</t>
  </si>
  <si>
    <t>51120251000</t>
  </si>
  <si>
    <t>51120251000529</t>
  </si>
  <si>
    <t>5 de noviembre del 2025 a las 10:29</t>
  </si>
  <si>
    <t>Soto García Cristian Edgardo</t>
  </si>
  <si>
    <t>15.589.832-1</t>
  </si>
  <si>
    <t>51120251001</t>
  </si>
  <si>
    <t>51120251001530</t>
  </si>
  <si>
    <t>51120251400</t>
  </si>
  <si>
    <t>51120251400531</t>
  </si>
  <si>
    <t>5 de noviembre del 2025 a las 14:59</t>
  </si>
  <si>
    <t>Dahmen Gaete Germán Carlos</t>
  </si>
  <si>
    <t>7.368.165-0</t>
  </si>
  <si>
    <t>51120251400532</t>
  </si>
  <si>
    <t>Almeyda Quiñenas Graciela Andrea</t>
  </si>
  <si>
    <t>13.869.039-3</t>
  </si>
  <si>
    <t>51120251400533</t>
  </si>
  <si>
    <t>51120251405</t>
  </si>
  <si>
    <t>51120251405534</t>
  </si>
  <si>
    <t>5 de noviembre del 2025 a las 15:02</t>
  </si>
  <si>
    <t>51120251406</t>
  </si>
  <si>
    <t>51120251406535</t>
  </si>
  <si>
    <t>51120251407</t>
  </si>
  <si>
    <t>51120251407536</t>
  </si>
  <si>
    <t>51120251700</t>
  </si>
  <si>
    <t>51120251700537</t>
  </si>
  <si>
    <t>5 de noviembre del 2025 a las 17:49</t>
  </si>
  <si>
    <t>538</t>
  </si>
  <si>
    <t>12 de noviembre del 2025 a las 18:23</t>
  </si>
  <si>
    <t>539</t>
  </si>
  <si>
    <t>540</t>
  </si>
  <si>
    <t>101020251550</t>
  </si>
  <si>
    <t>101020251550541</t>
  </si>
  <si>
    <t>10 de octubre del 2025</t>
  </si>
  <si>
    <t>13 de noviembre del 2025 a las 15:07</t>
  </si>
  <si>
    <t>542</t>
  </si>
  <si>
    <t>13.539.523-5</t>
  </si>
  <si>
    <t>251020251547</t>
  </si>
  <si>
    <t>251020251547543</t>
  </si>
  <si>
    <t>25 de octubre del 2025</t>
  </si>
  <si>
    <t>13 de noviembre del 2025 a las 15:13</t>
  </si>
  <si>
    <t>61120251000</t>
  </si>
  <si>
    <t>61120251000544</t>
  </si>
  <si>
    <t>6 de noviembre del 2025</t>
  </si>
  <si>
    <t>17 de noviembre del 2025 a las 12:48</t>
  </si>
  <si>
    <t>71120251001</t>
  </si>
  <si>
    <t>71120251001545</t>
  </si>
  <si>
    <t>7 de noviembre del 2025</t>
  </si>
  <si>
    <t>81120251002</t>
  </si>
  <si>
    <t>81120251002546</t>
  </si>
  <si>
    <t>8 de noviembre del 2025</t>
  </si>
  <si>
    <t>181120251145</t>
  </si>
  <si>
    <t>181120251145547</t>
  </si>
  <si>
    <t>18 de noviembre del 2025</t>
  </si>
  <si>
    <t>18 de noviembre del 2025 a las 11:52</t>
  </si>
  <si>
    <t>181120251147</t>
  </si>
  <si>
    <t>181120251147548</t>
  </si>
  <si>
    <t>O500 RS-D - O500 RS - OC500 RF - SPRINTER 315 – 415 – 515 – 517 4X2</t>
  </si>
  <si>
    <t>181120250900</t>
  </si>
  <si>
    <t>181120250900549</t>
  </si>
  <si>
    <t>18 de noviembre del 2025 a las 12:09</t>
  </si>
  <si>
    <t>K 440 IB - K 360 IB - K 400 IB</t>
  </si>
  <si>
    <t>181120250900550</t>
  </si>
  <si>
    <t>18 de noviembre del 2025 a las 12:13</t>
  </si>
  <si>
    <t>181120250900551</t>
  </si>
  <si>
    <t>18 de noviembre del 2025 a las 12:14</t>
  </si>
  <si>
    <t>61120251100</t>
  </si>
  <si>
    <t>61120251100552</t>
  </si>
  <si>
    <t>18 de noviembre del 2025 a las 12:34</t>
  </si>
  <si>
    <t>181120250900553</t>
  </si>
  <si>
    <t>18 de noviembre del 2025 a las 12:37</t>
  </si>
  <si>
    <t>181120250900554</t>
  </si>
  <si>
    <t>18 de noviembre del 2025 a las 12:38</t>
  </si>
  <si>
    <t>181120250900555</t>
  </si>
  <si>
    <t>18 de noviembre del 2025 a las 12:40</t>
  </si>
  <si>
    <t>181120250900556</t>
  </si>
  <si>
    <t>18 de noviembre del 2025 a las 13:01</t>
  </si>
  <si>
    <t>181120250900557</t>
  </si>
  <si>
    <t>18 de noviembre del 2025 a las 13:03</t>
  </si>
  <si>
    <t>181120250900558</t>
  </si>
  <si>
    <t>18 de noviembre del 2025 a las 13:04</t>
  </si>
  <si>
    <t>181120250900559</t>
  </si>
  <si>
    <t>18 de noviembre del 2025 a las 14:18</t>
  </si>
  <si>
    <t>181120250900560</t>
  </si>
  <si>
    <t>18 de noviembre del 2025 a las 14:19</t>
  </si>
  <si>
    <t>181120250900561</t>
  </si>
  <si>
    <t>18 de noviembre del 2025 a las 14:21</t>
  </si>
  <si>
    <t>181120250900562</t>
  </si>
  <si>
    <t>18 de noviembre del 2025 a las 14:28</t>
  </si>
  <si>
    <t>181120250900563</t>
  </si>
  <si>
    <t>18 de noviembre del 2025 a las 14:37</t>
  </si>
  <si>
    <t>181120250900564</t>
  </si>
  <si>
    <t>18 de noviembre del 2025 a las 14:39</t>
  </si>
  <si>
    <t>61120251800</t>
  </si>
  <si>
    <t>61120251800565</t>
  </si>
  <si>
    <t>18 de noviembre del 2025 a las 16:12</t>
  </si>
  <si>
    <t>61120251801</t>
  </si>
  <si>
    <t>61120251801566</t>
  </si>
  <si>
    <t>131120251800</t>
  </si>
  <si>
    <t>131120251800567</t>
  </si>
  <si>
    <t>13 de noviembre del 2025</t>
  </si>
  <si>
    <t>131120251802</t>
  </si>
  <si>
    <t>131120251802568</t>
  </si>
  <si>
    <t>131120251830</t>
  </si>
  <si>
    <t>131120251830569</t>
  </si>
  <si>
    <t>171120251200</t>
  </si>
  <si>
    <t>171120251200570</t>
  </si>
  <si>
    <t>17 de noviembre del 2025</t>
  </si>
  <si>
    <t>171120251230</t>
  </si>
  <si>
    <t>171120251230571</t>
  </si>
  <si>
    <t>181120251500</t>
  </si>
  <si>
    <t>181120251500572</t>
  </si>
  <si>
    <t>181120251450</t>
  </si>
  <si>
    <t>181120251450573</t>
  </si>
  <si>
    <t>61120251700</t>
  </si>
  <si>
    <t>61120251700574</t>
  </si>
  <si>
    <t>61120251705</t>
  </si>
  <si>
    <t>61120251705575</t>
  </si>
  <si>
    <t>Toloza Pinochet Héctor Gabriel</t>
  </si>
  <si>
    <t>10.654.479-4</t>
  </si>
  <si>
    <t>61120251800576</t>
  </si>
  <si>
    <t>18 de noviembre del 2025 a las 16:20</t>
  </si>
  <si>
    <t>61120251805</t>
  </si>
  <si>
    <t>61120251805577</t>
  </si>
  <si>
    <t>61120251750</t>
  </si>
  <si>
    <t>61120251750578</t>
  </si>
  <si>
    <t>61120251800579</t>
  </si>
  <si>
    <t>111120251700</t>
  </si>
  <si>
    <t>111120251700580</t>
  </si>
  <si>
    <t>11 de noviembre del 2025</t>
  </si>
  <si>
    <t>111120251800</t>
  </si>
  <si>
    <t>111120251800581</t>
  </si>
  <si>
    <t>111120251800582</t>
  </si>
  <si>
    <t>18 de noviembre del 2025 a las 16:43</t>
  </si>
  <si>
    <t>111120251801</t>
  </si>
  <si>
    <t>111120251801583</t>
  </si>
  <si>
    <t>Espinoza Pizarro Julio Archivaldo</t>
  </si>
  <si>
    <t>11.164.781-k</t>
  </si>
  <si>
    <t>61120251802</t>
  </si>
  <si>
    <t>61120251802584</t>
  </si>
  <si>
    <t>61120251803</t>
  </si>
  <si>
    <t>61120251803585</t>
  </si>
  <si>
    <t>61120251800586</t>
  </si>
  <si>
    <t>61120251810</t>
  </si>
  <si>
    <t>61120251810587</t>
  </si>
  <si>
    <t>171120251800</t>
  </si>
  <si>
    <t>171120251800588</t>
  </si>
  <si>
    <t>18 de noviembre del 2025 a las 16:46</t>
  </si>
  <si>
    <t>61120251800589</t>
  </si>
  <si>
    <t>18 de noviembre del 2025 a las 18:01</t>
  </si>
  <si>
    <t>61120251805590</t>
  </si>
  <si>
    <t>51120251200</t>
  </si>
  <si>
    <t>51120251200591</t>
  </si>
  <si>
    <t>19 de noviembre del 2025 a las 07:41</t>
  </si>
  <si>
    <t>51120251200592</t>
  </si>
  <si>
    <t>19 de noviembre del 2025 a las 07:44</t>
  </si>
  <si>
    <t>201120251100</t>
  </si>
  <si>
    <t>201120251100593</t>
  </si>
  <si>
    <t>20 de noviembre del 2025</t>
  </si>
  <si>
    <t>20 de noviembre del 2025 a las 12:51</t>
  </si>
  <si>
    <t>201120251600</t>
  </si>
  <si>
    <t>201120251600594</t>
  </si>
  <si>
    <t>20 de noviembre del 2025 a las 16:30</t>
  </si>
  <si>
    <t>201120251628</t>
  </si>
  <si>
    <t>201120251628595</t>
  </si>
  <si>
    <t>SPRINTER 315 – 415 – 515 – 517 4X2 - O500 RS - OC500 RF</t>
  </si>
  <si>
    <t>251120251200</t>
  </si>
  <si>
    <t>251120251200596</t>
  </si>
  <si>
    <t>25 de noviembre del 2025</t>
  </si>
  <si>
    <t>25 de noviembre del 2025 a las 12:12</t>
  </si>
  <si>
    <t>251120251200597</t>
  </si>
  <si>
    <t>25 de noviembre del 2025 a las 12:13</t>
  </si>
  <si>
    <t>261120251600</t>
  </si>
  <si>
    <t>261120251600598</t>
  </si>
  <si>
    <t>26 de noviembre del 2025</t>
  </si>
  <si>
    <t>26 de noviembre del 2025 a las 16:28</t>
  </si>
  <si>
    <t>261120251620</t>
  </si>
  <si>
    <t>261120251620599</t>
  </si>
  <si>
    <t>261120251640</t>
  </si>
  <si>
    <t>261120251640600</t>
  </si>
  <si>
    <t>26 de noviembre del 2025 a las 17:02</t>
  </si>
  <si>
    <t>261120251641</t>
  </si>
  <si>
    <t>261120251641601</t>
  </si>
  <si>
    <t>261120251650</t>
  </si>
  <si>
    <t>261120251650602</t>
  </si>
  <si>
    <t>261120251655</t>
  </si>
  <si>
    <t>261120251655603</t>
  </si>
  <si>
    <t>261120251657</t>
  </si>
  <si>
    <t>261120251657604</t>
  </si>
  <si>
    <t>261120251658</t>
  </si>
  <si>
    <t>261120251658605</t>
  </si>
  <si>
    <t>261120251659</t>
  </si>
  <si>
    <t>261120251659606</t>
  </si>
  <si>
    <t>261120251700</t>
  </si>
  <si>
    <t>261120251700607</t>
  </si>
  <si>
    <t>O500 RS - OC500 RF - LO915 - LO916 - LO915 - LO916</t>
  </si>
  <si>
    <t>271120251530</t>
  </si>
  <si>
    <t>271120251530608</t>
  </si>
  <si>
    <t>27 de noviembre del 2025</t>
  </si>
  <si>
    <t>27 de noviembre del 2025 a las 16:21</t>
  </si>
  <si>
    <t>271120251630</t>
  </si>
  <si>
    <t>271120251630609</t>
  </si>
  <si>
    <t>271120251730</t>
  </si>
  <si>
    <t>271120251730610</t>
  </si>
  <si>
    <t>271120251540</t>
  </si>
  <si>
    <t>271120251540611</t>
  </si>
  <si>
    <t>271120251618</t>
  </si>
  <si>
    <t>271120251618612</t>
  </si>
  <si>
    <t>271120251530613</t>
  </si>
  <si>
    <t>27 de noviembre del 2025 a las 16:28</t>
  </si>
  <si>
    <t>271120251540614</t>
  </si>
  <si>
    <t>271120251555</t>
  </si>
  <si>
    <t>271120251555615</t>
  </si>
  <si>
    <t>271120251600</t>
  </si>
  <si>
    <t>271120251600616</t>
  </si>
  <si>
    <t>261120251610</t>
  </si>
  <si>
    <t>261120251610617</t>
  </si>
  <si>
    <t>Rojas Chambe Leonel Antonio</t>
  </si>
  <si>
    <t>12.582.315-7</t>
  </si>
  <si>
    <t>271120251530618</t>
  </si>
  <si>
    <t>27 de noviembre del 2025 a las 16:35</t>
  </si>
  <si>
    <t>271120251540619</t>
  </si>
  <si>
    <t>271120251550</t>
  </si>
  <si>
    <t>271120251550620</t>
  </si>
  <si>
    <t>K 360 IB - K 400 IB - B 450R</t>
  </si>
  <si>
    <t>271120251555621</t>
  </si>
  <si>
    <t>271120251625</t>
  </si>
  <si>
    <t>271120251625622</t>
  </si>
  <si>
    <t>281120251000</t>
  </si>
  <si>
    <t>281120251000623</t>
  </si>
  <si>
    <t>28 de noviembre del 2025</t>
  </si>
  <si>
    <t>28 de noviembre del 2025 a las 12:05</t>
  </si>
  <si>
    <t>281120251000624</t>
  </si>
  <si>
    <t>28 de noviembre del 2025 a las 12:07</t>
  </si>
  <si>
    <t>281120251200</t>
  </si>
  <si>
    <t>281120251200625</t>
  </si>
  <si>
    <t>2 de diciembre del 2025 a las 13:16</t>
  </si>
  <si>
    <t>281120251200626</t>
  </si>
  <si>
    <t>2 de diciembre del 2025 a las 13:17</t>
  </si>
  <si>
    <t>281120251200627</t>
  </si>
  <si>
    <t>2 de diciembre del 2025 a las 13:18</t>
  </si>
  <si>
    <t>21220251800</t>
  </si>
  <si>
    <t>21220251800628</t>
  </si>
  <si>
    <t>2 de diciembre del 2025</t>
  </si>
  <si>
    <t>4 de diciembre del 2025 a las 08:54</t>
  </si>
  <si>
    <t>21220251800629</t>
  </si>
  <si>
    <t>4 de diciembre del 2025 a las 08:55</t>
  </si>
  <si>
    <t>21220251800630</t>
  </si>
  <si>
    <t>4 de diciembre del 2025 a las 08:57</t>
  </si>
  <si>
    <t>21220251800631</t>
  </si>
  <si>
    <t>4 de diciembre del 2025 a las 08:58</t>
  </si>
  <si>
    <t>21220251800632</t>
  </si>
  <si>
    <t>4 de diciembre del 2025 a las 09:00</t>
  </si>
  <si>
    <t>21220251800633</t>
  </si>
  <si>
    <t>4 de diciembre del 2025 a las 09:01</t>
  </si>
  <si>
    <t>4 de diciembre del 2025 a las 12:14</t>
  </si>
  <si>
    <t>4 de diciembre del 2025 a las 16:01</t>
  </si>
  <si>
    <t>Araya Espindola Mauricio Enrique</t>
  </si>
  <si>
    <t>11.065.236-4</t>
  </si>
  <si>
    <t>4 de diciembre del 2025 a las 16:11</t>
  </si>
  <si>
    <t>4 de diciembre del 2025 a las 16:16</t>
  </si>
  <si>
    <t>4 de diciembre del 2025 a las 16:20</t>
  </si>
  <si>
    <t>4 de diciembre del 2025 a las 16:26</t>
  </si>
  <si>
    <t>4 de diciembre del 2025 a las 16:44</t>
  </si>
  <si>
    <t>9 de diciembre del 2025 a las 14:41</t>
  </si>
  <si>
    <t>Mercedes Benz</t>
  </si>
  <si>
    <t>15 de diciembre del 2025 a las 15:39</t>
  </si>
  <si>
    <t>15 de diciembre del 2025 a las 16:05</t>
  </si>
  <si>
    <t xml:space="preserve">Mercedes Benz </t>
  </si>
  <si>
    <t>16 de diciembre del 2025 a las 16:57</t>
  </si>
  <si>
    <t>Mercedes benz</t>
  </si>
  <si>
    <t>17 de diciembre del 2025 a las 17:54</t>
  </si>
  <si>
    <t>17 de diciembre del 2025 a las 18:01</t>
  </si>
  <si>
    <t>19 de diciembre del 2025 a las 11:51</t>
  </si>
  <si>
    <t>19 de diciembre del 2025 a las 11:58</t>
  </si>
  <si>
    <t>19 de diciembre del 2025 a las 11:59</t>
  </si>
  <si>
    <t>19 de diciembre del 2025 a las 12:08</t>
  </si>
  <si>
    <t>19 de diciembre del 2025 a las 12:20</t>
  </si>
  <si>
    <t>19 de diciembre del 2025 a las 12:21</t>
  </si>
  <si>
    <t>Saavedra Serrano Manuel Gonzalo</t>
  </si>
  <si>
    <t>11.466.153-8</t>
  </si>
  <si>
    <t>19 de diciembre del 2025 a las 12:26</t>
  </si>
  <si>
    <t>19 de diciembre del 2025 a las 12:27</t>
  </si>
  <si>
    <t>19 de diciembre del 2025 a las 12:29</t>
  </si>
  <si>
    <t>22 de diciembre del 2025 a las 08:42</t>
  </si>
  <si>
    <t>22 de diciembre del 2025 a las 08:45</t>
  </si>
  <si>
    <t>Álvarez Medina Mauricio Ernesto</t>
  </si>
  <si>
    <t>12.607.898-6</t>
  </si>
  <si>
    <t>22 de diciembre del 2025 a las 09:32</t>
  </si>
  <si>
    <t>22 de diciembre del 2025 a las 09:33</t>
  </si>
  <si>
    <t>22 de diciembre del 2025 a las 09:34</t>
  </si>
  <si>
    <t>22 de diciembre del 2025 a las 09:41</t>
  </si>
  <si>
    <t>23 de diciembre del 2025 a las 12:13</t>
  </si>
  <si>
    <t>23 de diciembre del 2025 a las 12:21</t>
  </si>
  <si>
    <t>23 de diciembre del 2025 a las 12:24</t>
  </si>
  <si>
    <t>29 de diciembre del 2025 a las 15:56</t>
  </si>
  <si>
    <t>30 de diciembre del 2025 a las 10:50</t>
  </si>
  <si>
    <t>7 de enero del 2026 a las 09:56</t>
  </si>
  <si>
    <t>8 de enero del 2026 a las 10:43</t>
  </si>
  <si>
    <t>8 de enero del 2026 a las 10:47</t>
  </si>
  <si>
    <t>8 de enero del 2026 a las 11:34</t>
  </si>
  <si>
    <t>12 de enero del 2026 a las 17:32</t>
  </si>
  <si>
    <t>15 de enero del 2026 a las 12:00</t>
  </si>
  <si>
    <t>15 de enero del 2026 a las 12:10</t>
  </si>
  <si>
    <t>SPRINTER 516 4x4 - SPRINTER 315 – 415 – 515 – 517 4X2</t>
  </si>
  <si>
    <t>15 de enero del 2026 a las 16:39</t>
  </si>
  <si>
    <t>16 de enero del 2026 a las 10:21</t>
  </si>
  <si>
    <t>K 400 IB - K 410CB - K 440 IB</t>
  </si>
  <si>
    <t>16 de enero del 2026 a las 10:24</t>
  </si>
  <si>
    <t>16 de enero del 2026 a las 10:46</t>
  </si>
  <si>
    <t>16 de enero del 2026 a las 11:15</t>
  </si>
  <si>
    <t>17 de enero del 2026 a las 21:49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</si>
</sst>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hh:mm"/>
  </numFmts>
  <fonts count="8">
    <font>
      <sz val="11"/>
      <color theme="1"/>
      <name val="Arial Narrow"/>
      <family val="2"/>
    </font>
    <font>
      <sz val="12"/>
      <name val="Arial Narrow"/>
      <family val="2"/>
    </font>
    <font>
      <sz val="8"/>
      <name val="Arial Narrow"/>
      <family val="2"/>
    </font>
    <font>
      <sz val="11"/>
      <color theme="1"/>
      <name val="Arial Narrow"/>
      <family val="2"/>
    </font>
    <font>
      <sz val="11"/>
      <color theme="1"/>
      <name val="cmtt10"/>
      <family val="2"/>
    </font>
    <font>
      <sz val="11"/>
      <color theme="1"/>
      <name val="cmr10"/>
      <family val="2"/>
    </font>
    <font>
      <sz val="11"/>
      <color theme="1"/>
      <name val="Dreaming Outloud Pro"/>
      <family val="4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20" fontId="0" fillId="2" borderId="0" xfId="0" applyNumberFormat="1" applyFill="1" applyAlignment="1">
      <alignment horizontal="center"/>
    </xf>
    <xf numFmtId="20" fontId="0" fillId="0" borderId="0" xfId="0" applyNumberFormat="1"/>
    <xf numFmtId="20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 wrapText="1"/>
    </xf>
    <xf numFmtId="49" fontId="0" fillId="3" borderId="0" xfId="2" applyNumberFormat="1" applyFont="1" applyFill="1" applyAlignment="1">
      <alignment horizontal="center"/>
    </xf>
    <xf numFmtId="49" fontId="0" fillId="0" borderId="0" xfId="2" applyNumberFormat="1" applyFont="1" applyAlignment="1">
      <alignment horizontal="center" vertical="center"/>
    </xf>
    <xf numFmtId="49" fontId="0" fillId="0" borderId="0" xfId="2" applyNumberFormat="1" applyFont="1"/>
    <xf numFmtId="9" fontId="0" fillId="2" borderId="0" xfId="1" applyFont="1" applyFill="1" applyAlignment="1">
      <alignment horizontal="center"/>
    </xf>
    <xf numFmtId="9" fontId="0" fillId="0" borderId="0" xfId="1" applyFont="1"/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1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165" fontId="0" fillId="0" borderId="0" xfId="0" applyNumberFormat="1" applyAlignment="1">
      <alignment horizontal="center" vertical="center"/>
    </xf>
    <xf numFmtId="0" fontId="7" fillId="0" borderId="0" xfId="0" applyFont="1"/>
  </cellXfs>
  <cellStyles count="3">
    <cellStyle name="Millares" xfId="2" builtinId="3"/>
    <cellStyle name="Normal" xfId="0" builtinId="0"/>
    <cellStyle name="Porcentaje" xfId="1" builtinId="5"/>
  </cellStyles>
  <dxfs count="4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5" formatCode="hh:mm"/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hh:mm"/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1379220</xdr:colOff>
      <xdr:row>1</xdr:row>
      <xdr:rowOff>419100</xdr:rowOff>
    </xdr:from>
    <xdr:ext cx="266700" cy="266700"/>
    <xdr:pic>
      <xdr:nvPicPr>
        <xdr:cNvPr id="2" name="Imagen 2">
          <a:extLst>
            <a:ext uri="{FF2B5EF4-FFF2-40B4-BE49-F238E27FC236}">
              <a16:creationId xmlns:a16="http://schemas.microsoft.com/office/drawing/2014/main" id="{631CF3A9-CB54-AEA1-15D5-0EB13F5A4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900" y="594360"/>
          <a:ext cx="266700" cy="266700"/>
        </a:xfrm>
        <a:prstGeom prst="rect">
          <a:avLst/>
        </a:prstGeom>
      </xdr:spPr>
    </xdr:pic>
    <xdr:clientData/>
  </xdr:oneCellAnchor>
  <xdr:oneCellAnchor>
    <xdr:from>
      <xdr:col>3</xdr:col>
      <xdr:colOff>1379220</xdr:colOff>
      <xdr:row>2</xdr:row>
      <xdr:rowOff>419100</xdr:rowOff>
    </xdr:from>
    <xdr:ext cx="266700" cy="266700"/>
    <xdr:pic>
      <xdr:nvPicPr>
        <xdr:cNvPr id="9" name="Imagen 2">
          <a:extLst>
            <a:ext uri="{FF2B5EF4-FFF2-40B4-BE49-F238E27FC236}">
              <a16:creationId xmlns:a16="http://schemas.microsoft.com/office/drawing/2014/main" id="{2ABA03C0-B751-4EED-A193-47C7CF676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140" y="594360"/>
          <a:ext cx="266700" cy="266700"/>
        </a:xfrm>
        <a:prstGeom prst="rect">
          <a:avLst/>
        </a:prstGeom>
      </xdr:spPr>
    </xdr:pic>
    <xdr:clientData/>
  </xdr:oneCellAnchor>
  <xdr:oneCellAnchor>
    <xdr:from>
      <xdr:col>3</xdr:col>
      <xdr:colOff>1379220</xdr:colOff>
      <xdr:row>3</xdr:row>
      <xdr:rowOff>419100</xdr:rowOff>
    </xdr:from>
    <xdr:ext cx="266700" cy="266700"/>
    <xdr:pic>
      <xdr:nvPicPr>
        <xdr:cNvPr id="3" name="Imagen 2">
          <a:extLst>
            <a:ext uri="{FF2B5EF4-FFF2-40B4-BE49-F238E27FC236}">
              <a16:creationId xmlns:a16="http://schemas.microsoft.com/office/drawing/2014/main" id="{0CE1E4ED-E2BA-45DF-B7D4-E45DCC736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140" y="1356360"/>
          <a:ext cx="266700" cy="266700"/>
        </a:xfrm>
        <a:prstGeom prst="rect">
          <a:avLst/>
        </a:prstGeom>
      </xdr:spPr>
    </xdr:pic>
    <xdr:clientData/>
  </xdr:oneCellAnchor>
  <xdr:oneCellAnchor>
    <xdr:from>
      <xdr:col>3</xdr:col>
      <xdr:colOff>1379220</xdr:colOff>
      <xdr:row>4</xdr:row>
      <xdr:rowOff>419100</xdr:rowOff>
    </xdr:from>
    <xdr:ext cx="266700" cy="266700"/>
    <xdr:pic>
      <xdr:nvPicPr>
        <xdr:cNvPr id="4" name="Imagen 3">
          <a:extLst>
            <a:ext uri="{FF2B5EF4-FFF2-40B4-BE49-F238E27FC236}">
              <a16:creationId xmlns:a16="http://schemas.microsoft.com/office/drawing/2014/main" id="{696B98F0-16A4-4382-979C-7F2CCCF0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140" y="2118360"/>
          <a:ext cx="266700" cy="266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243840</xdr:colOff>
      <xdr:row>1</xdr:row>
      <xdr:rowOff>121920</xdr:rowOff>
    </xdr:from>
    <xdr:to>
      <xdr:col>16</xdr:col>
      <xdr:colOff>20320</xdr:colOff>
      <xdr:row>3</xdr:row>
      <xdr:rowOff>63500</xdr:rowOff>
    </xdr:to>
    <xdr:sp macro="" textlink="">
      <xdr:nvSpPr>
        <xdr:cNvPr id="12" name="Rectángulo: esquinas redondeadas 1">
          <a:extLst>
            <a:ext uri="{FF2B5EF4-FFF2-40B4-BE49-F238E27FC236}">
              <a16:creationId xmlns:a16="http://schemas.microsoft.com/office/drawing/2014/main" id="{C8AB997A-BF31-45F5-A90B-50F5089C2557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idXNlc2ptLW15LnNoYXJlcG9pbnQuY29tLzp1Oi9wL21heGltaWxpYW5vX2NvbnRyZXJhcy9FZHNtNV9TTEJ2dEdycmVVWjE2dlNCMEIzNXVKUzd5bFV1MjJlRUNESUdCYW5B&quot;}"/>
            </a:ext>
          </a:extLst>
        </xdr:cNvPr>
        <xdr:cNvSpPr/>
      </xdr:nvSpPr>
      <xdr:spPr>
        <a:xfrm>
          <a:off x="26936700" y="297180"/>
          <a:ext cx="1612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/>
            <a:t>Generar Certificado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75BAA3-D4BA-4AE8-B4F4-FB9A0854F967}" name="Tabla2" displayName="Tabla2" ref="A1:D1653" totalsRowShown="0" headerRowDxfId="25">
  <autoFilter ref="A1:D1653" xr:uid="{2575BAA3-D4BA-4AE8-B4F4-FB9A0854F967}"/>
  <sortState xmlns:xlrd2="http://schemas.microsoft.com/office/spreadsheetml/2017/richdata2" ref="A2:D1603">
    <sortCondition ref="A1:A1603"/>
  </sortState>
  <tableColumns count="4">
    <tableColumn id="1" xr3:uid="{01F4E179-9355-4882-892D-B42DF651049A}" name="Nombre Completo"/>
    <tableColumn id="2" xr3:uid="{F76592D8-D049-4DAB-9169-8B4176A54A5C}" name="Número de Documento"/>
    <tableColumn id="3" xr3:uid="{99410E3B-75EF-4AF7-B53E-BFED9C2E9A19}" name="Cargo"/>
    <tableColumn id="4" xr3:uid="{50CD4383-1EE8-4F19-9C68-84E32356858F}" name="Nombre Áre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7CFCDE-409C-42AE-82EB-7DBBBEBF35DA}" name="Tabla4" displayName="Tabla4" ref="A1:N41" totalsRowShown="0" headerRowDxfId="40">
  <autoFilter ref="A1:N41" xr:uid="{DD7CFCDE-409C-42AE-82EB-7DBBBEBF35DA}"/>
  <tableColumns count="14">
    <tableColumn id="1" xr3:uid="{FC797214-7118-4149-BD04-D212B5C0B8C5}" name="instructor_" dataDxfId="39"/>
    <tableColumn id="2" xr3:uid="{0AF63B03-B6A0-4C78-A2E4-D19DF29B3C17}" name="rut_instructor" dataDxfId="38">
      <calculatedColumnFormula>IF(Tabla4[[#This Row],[instructor_]]="","",_xlfn.XLOOKUP(Tabla4[[#This Row],[instructor_]],diccionario_!$A$1:$A$13,diccionario_!$B$1:$B$13,,0))</calculatedColumnFormula>
    </tableColumn>
    <tableColumn id="3" xr3:uid="{F1FF0030-34AA-45B9-B97B-C484B304423E}" name="codigo_perfil_cv" dataDxfId="37">
      <calculatedColumnFormula>IF(Tabla4[[#This Row],[instructor_]]="","",_xlfn.XLOOKUP(Tabla4[[#This Row],[instructor_]],diccionario_!$A$1:$A$13,diccionario_!$C$1:$C$13,,0))</calculatedColumnFormula>
    </tableColumn>
    <tableColumn id="15" xr3:uid="{B5B4AAD6-9CE3-4435-85E3-32C63AEEC406}" name="fecha" dataDxfId="36"/>
    <tableColumn id="16" xr3:uid="{1EBB1820-DBCE-4AF7-A183-5449EBBD4684}" name="hora" dataDxfId="35"/>
    <tableColumn id="4" xr3:uid="{268C0758-CCB3-4DA3-95C4-4B77C6A6D410}" name="trabajador_" dataDxfId="34"/>
    <tableColumn id="5" xr3:uid="{2445186D-F38A-4BAD-AC80-91B1B05593C3}" name="rut_trabajador" dataDxfId="33">
      <calculatedColumnFormula>IF(Tabla4[[#This Row],[trabajador_]]="","",_xlfn.XLOOKUP(Tabla4[[#This Row],[trabajador_]],Tabla2[Nombre Completo],Tabla2[Número de Documento],,0))</calculatedColumnFormula>
    </tableColumn>
    <tableColumn id="6" xr3:uid="{ADEA4A47-090A-4248-8D2C-DF75CC603FFE}" name="marca_" dataDxfId="32"/>
    <tableColumn id="10" xr3:uid="{E3803BA7-5025-42E3-AF68-83079EA638EA}" name="tipo_1" dataDxfId="31"/>
    <tableColumn id="7" xr3:uid="{889BE330-A99C-4E50-878C-95F5B00C1882}" name="modelo_1" dataDxfId="30"/>
    <tableColumn id="11" xr3:uid="{55A51127-5EF1-4DA3-8292-70158AE227DB}" name="modelo_2" dataDxfId="29"/>
    <tableColumn id="9" xr3:uid="{F0274BB1-89C0-4E33-A8E3-9A33FB171249}" name="modelo_3" dataDxfId="28"/>
    <tableColumn id="12" xr3:uid="{4541749A-2D80-4516-9184-85FB49B4F36D}" name="modelos_todos" dataDxfId="27">
      <calculatedColumnFormula>_xlfn.TEXTJOIN(" - ",TRUE,Tabla4[[#This Row],[modelo_1]],Tabla4[[#This Row],[modelo_2]],Tabla4[[#This Row],[modelo_3]])</calculatedColumnFormula>
    </tableColumn>
    <tableColumn id="13" xr3:uid="{8FF6BC64-4EE8-43AB-98B5-9DF3C7E9E9FA}" name="evaluacion_" dataDxfId="26" dataCellStyle="Porcentaj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87417-517B-4987-8346-5709D227CA08}" name="Tabla1" displayName="Tabla1" ref="A1:W244" totalsRowShown="0" headerRowDxfId="24" dataDxfId="23">
  <autoFilter ref="A1:W244" xr:uid="{AAD87417-517B-4987-8346-5709D227CA08}"/>
  <tableColumns count="23">
    <tableColumn id="1" xr3:uid="{CE2FC0D0-DC48-4F6A-938D-2F3DB24B2623}" name="correlativo_" dataDxfId="22"/>
    <tableColumn id="16" xr3:uid="{8456FAE7-ADD1-40F7-BCA0-28EAC3D4E4E5}" name="instructor_2" dataDxfId="21"/>
    <tableColumn id="2" xr3:uid="{FF87585D-EE35-4560-AE98-4A47D0810A40}" name="rut_instructor" dataDxfId="20"/>
    <tableColumn id="3" xr3:uid="{4B61F31D-AA72-4059-B2C5-19EA6C4CC7F5}" name="codigo_perfil_cv" dataDxfId="19"/>
    <tableColumn id="4" xr3:uid="{05E6CCCF-F064-4C9B-9F2C-611F75DE248C}" name="fecha" dataDxfId="18"/>
    <tableColumn id="5" xr3:uid="{AA617BF6-FFDC-4CEB-92BC-FEB8AEB167A8}" name="hora" dataDxfId="17"/>
    <tableColumn id="6" xr3:uid="{5DB75C8E-8D65-4A09-9AFB-954674D3BD6E}" name="trabajador_" dataDxfId="16"/>
    <tableColumn id="7" xr3:uid="{146A3250-537E-451B-909F-6E9CE0AE0186}" name="rut_trabajador" dataDxfId="15"/>
    <tableColumn id="8" xr3:uid="{1A58669F-1EF0-406B-8738-279736829FDA}" name="marca_" dataDxfId="14"/>
    <tableColumn id="9" xr3:uid="{80CFE821-AF40-4DA1-8919-5DC718AE562A}" name="tipo_1" dataDxfId="13"/>
    <tableColumn id="10" xr3:uid="{86B45DB7-3FA6-4149-A851-0A32EF104AC2}" name="modelo_1" dataDxfId="12"/>
    <tableColumn id="11" xr3:uid="{0115BCEE-7F3F-473F-B917-FE6D4F9C7766}" name="modelo_2" dataDxfId="11"/>
    <tableColumn id="12" xr3:uid="{608F3756-018C-4857-8980-5F1F5B32374E}" name="modelo_3" dataDxfId="10"/>
    <tableColumn id="13" xr3:uid="{67D43741-FF38-4293-8A68-C1A62777C85C}" name="modelos_todos" dataDxfId="9" dataCellStyle="Porcentaje"/>
    <tableColumn id="14" xr3:uid="{CDAA9FB9-F47A-4201-90A7-621347E559E8}" name="evaluacion_" dataDxfId="8"/>
    <tableColumn id="15" xr3:uid="{BA7A11A4-386A-44A9-A1D1-DE99C6CD7D4D}" name="estado_certificado" dataDxfId="7"/>
    <tableColumn id="18" xr3:uid="{BFB18C54-369A-4D55-9B5D-1514B6735B06}" name="autorizado_para_operar" dataDxfId="6">
      <calculatedColumnFormula>IF(Tabla1[[#This Row],[evaluacion_]]="","",IF(Tabla1[[#This Row],[evaluacion_]]=1,"Habilitado","No Habilitado"))</calculatedColumnFormula>
    </tableColumn>
    <tableColumn id="19" xr3:uid="{2F82595D-E240-4E64-8313-3C37B3F474C5}" name="codigo_" dataDxfId="5">
      <calculatedColumnFormula>IF(Tabla1[[#This Row],[fecha]]="","",TEXT(Tabla1[[#This Row],[fecha]],"DMMAAAA")&amp;TEXT(Tabla1[[#This Row],[hora]],"HHmm"))</calculatedColumnFormula>
    </tableColumn>
    <tableColumn id="20" xr3:uid="{2718DB8A-EB38-4785-8F08-8719D0819C88}" name="folio_" dataDxfId="4" dataCellStyle="Millares">
      <calculatedColumnFormula>_xlfn.CONCAT(Tabla1[[#This Row],[codigo_]],Tabla1[[#This Row],[correlativo_]])</calculatedColumnFormula>
    </tableColumn>
    <tableColumn id="17" xr3:uid="{6123ACAC-0402-4FEF-8A5F-3AFE4F19D82C}" name="fecha_texto" dataDxfId="3">
      <calculatedColumnFormula>DAY(E2) &amp; " de " &amp; TEXT(E2, "mmmm") &amp; " del " &amp; YEAR(E2)</calculatedColumnFormula>
    </tableColumn>
    <tableColumn id="21" xr3:uid="{D67DBD64-4302-49FB-85D3-E4F58C7E440C}" name="firma_" dataDxfId="2">
      <calculatedColumnFormula>_xlfn.XLOOKUP(Tabla1[[#This Row],[instructor_2]],diccionario_!$A$1:$A$11,diccionario_!$D$1:$D$11,,0)</calculatedColumnFormula>
    </tableColumn>
    <tableColumn id="22" xr3:uid="{857C7C73-0B40-48E1-A71A-18E206B57625}" name="calificacion_" dataDxfId="1">
      <calculatedColumnFormula>TEXT(O2,"0%")</calculatedColumnFormula>
    </tableColumn>
    <tableColumn id="23" xr3:uid="{483C80E3-8923-4328-B195-18A7490899F8}" name="fecha_firma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7B34-A2A3-4794-99A8-EF73EFDCAA3B}">
  <dimension ref="A1:I19"/>
  <sheetViews>
    <sheetView workbookViewId="0">
      <selection activeCell="E10" sqref="E10"/>
    </sheetView>
  </sheetViews>
  <sheetFormatPr baseColWidth="10" defaultColWidth="11.3984375" defaultRowHeight="14"/>
  <cols>
    <col min="1" max="1" width="31.3984375" bestFit="1" customWidth="1"/>
    <col min="2" max="2" width="12.3984375" bestFit="1" customWidth="1"/>
    <col min="3" max="3" width="20.19921875" bestFit="1" customWidth="1"/>
    <col min="4" max="4" width="17.19921875" bestFit="1" customWidth="1"/>
    <col min="5" max="5" width="17.796875" customWidth="1"/>
    <col min="6" max="6" width="15.19921875" bestFit="1" customWidth="1"/>
    <col min="7" max="7" width="40.19921875" bestFit="1" customWidth="1"/>
    <col min="8" max="8" width="40.59765625" bestFit="1" customWidth="1"/>
    <col min="9" max="9" width="24.19921875" bestFit="1" customWidth="1"/>
  </cols>
  <sheetData>
    <row r="1" spans="1:9" s="2" customFormat="1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/>
    </row>
    <row r="2" spans="1:9" s="2" customFormat="1">
      <c r="A2" s="1"/>
      <c r="B2"/>
    </row>
    <row r="3" spans="1:9">
      <c r="A3" t="s">
        <v>7</v>
      </c>
      <c r="B3" t="s">
        <v>8</v>
      </c>
      <c r="C3" t="s">
        <v>9</v>
      </c>
      <c r="D3" t="s">
        <v>10</v>
      </c>
      <c r="E3" s="2" t="s">
        <v>11</v>
      </c>
      <c r="F3" s="2" t="s">
        <v>12</v>
      </c>
      <c r="G3" t="s">
        <v>13</v>
      </c>
    </row>
    <row r="4" spans="1:9">
      <c r="A4" t="s">
        <v>14</v>
      </c>
      <c r="B4" t="s">
        <v>15</v>
      </c>
      <c r="C4" t="s">
        <v>9</v>
      </c>
      <c r="D4" t="s">
        <v>16</v>
      </c>
      <c r="E4" s="2" t="s">
        <v>17</v>
      </c>
      <c r="F4" t="s">
        <v>18</v>
      </c>
      <c r="G4" t="s">
        <v>19</v>
      </c>
    </row>
    <row r="5" spans="1:9">
      <c r="A5" t="s">
        <v>20</v>
      </c>
      <c r="B5" t="s">
        <v>21</v>
      </c>
      <c r="C5" t="s">
        <v>9</v>
      </c>
      <c r="D5" t="s">
        <v>22</v>
      </c>
      <c r="E5" s="2" t="s">
        <v>23</v>
      </c>
      <c r="F5" s="2" t="s">
        <v>24</v>
      </c>
      <c r="G5" t="s">
        <v>25</v>
      </c>
    </row>
    <row r="6" spans="1:9">
      <c r="A6" t="s">
        <v>26</v>
      </c>
      <c r="B6" t="s">
        <v>27</v>
      </c>
      <c r="C6" t="s">
        <v>9</v>
      </c>
      <c r="D6" t="s">
        <v>28</v>
      </c>
      <c r="E6" s="1" t="s">
        <v>29</v>
      </c>
      <c r="F6" s="2" t="s">
        <v>30</v>
      </c>
      <c r="G6" t="s">
        <v>31</v>
      </c>
    </row>
    <row r="7" spans="1:9">
      <c r="A7" t="s">
        <v>32</v>
      </c>
      <c r="B7" t="s">
        <v>33</v>
      </c>
      <c r="C7" t="s">
        <v>9</v>
      </c>
      <c r="D7" t="s">
        <v>34</v>
      </c>
      <c r="E7" s="1" t="s">
        <v>35</v>
      </c>
      <c r="F7" s="2" t="s">
        <v>36</v>
      </c>
      <c r="G7" t="s">
        <v>37</v>
      </c>
    </row>
    <row r="8" spans="1:9">
      <c r="E8" s="2" t="s">
        <v>38</v>
      </c>
      <c r="G8" t="s">
        <v>39</v>
      </c>
      <c r="H8" s="5"/>
    </row>
    <row r="9" spans="1:9">
      <c r="E9" s="1" t="s">
        <v>40</v>
      </c>
      <c r="G9" t="s">
        <v>41</v>
      </c>
      <c r="H9" s="5"/>
    </row>
    <row r="10" spans="1:9">
      <c r="E10" s="1" t="s">
        <v>42</v>
      </c>
      <c r="G10" t="s">
        <v>43</v>
      </c>
    </row>
    <row r="11" spans="1:9">
      <c r="G11" t="s">
        <v>44</v>
      </c>
    </row>
    <row r="12" spans="1:9">
      <c r="G12" t="s">
        <v>45</v>
      </c>
    </row>
    <row r="13" spans="1:9">
      <c r="G13" t="s">
        <v>46</v>
      </c>
    </row>
    <row r="14" spans="1:9">
      <c r="G14" t="s">
        <v>47</v>
      </c>
    </row>
    <row r="15" spans="1:9">
      <c r="G15" t="s">
        <v>48</v>
      </c>
    </row>
    <row r="16" spans="1:9">
      <c r="G16" t="s">
        <v>49</v>
      </c>
    </row>
    <row r="17" spans="7:7">
      <c r="G17" t="s">
        <v>50</v>
      </c>
    </row>
    <row r="18" spans="7:7">
      <c r="G18" t="s">
        <v>51</v>
      </c>
    </row>
    <row r="19" spans="7:7">
      <c r="G1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9773-AC12-4516-A324-7A94E951A39E}">
  <dimension ref="A1:D1653"/>
  <sheetViews>
    <sheetView showGridLines="0" zoomScale="80" zoomScaleNormal="80" workbookViewId="0">
      <selection activeCell="D17" sqref="D17"/>
    </sheetView>
  </sheetViews>
  <sheetFormatPr baseColWidth="10" defaultColWidth="11.3984375" defaultRowHeight="14"/>
  <cols>
    <col min="1" max="1" width="53.59765625" bestFit="1" customWidth="1"/>
    <col min="2" max="2" width="38.796875" bestFit="1" customWidth="1"/>
    <col min="3" max="3" width="72.19921875" bestFit="1" customWidth="1"/>
    <col min="4" max="4" width="54" bestFit="1" customWidth="1"/>
  </cols>
  <sheetData>
    <row r="1" spans="1:4" s="1" customFormat="1" ht="16">
      <c r="A1" s="4" t="s">
        <v>53</v>
      </c>
      <c r="B1" s="4" t="s">
        <v>54</v>
      </c>
      <c r="C1" s="4" t="s">
        <v>55</v>
      </c>
      <c r="D1" s="4" t="s">
        <v>56</v>
      </c>
    </row>
    <row r="2" spans="1:4" s="1" customFormat="1" ht="16">
      <c r="A2" s="30" t="s">
        <v>57</v>
      </c>
      <c r="B2" s="30" t="s">
        <v>58</v>
      </c>
      <c r="C2" s="30" t="s">
        <v>59</v>
      </c>
      <c r="D2" s="30" t="s">
        <v>60</v>
      </c>
    </row>
    <row r="3" spans="1:4" s="1" customFormat="1" ht="16">
      <c r="A3" s="30" t="s">
        <v>57</v>
      </c>
      <c r="B3" s="30" t="s">
        <v>58</v>
      </c>
      <c r="C3" s="30" t="s">
        <v>61</v>
      </c>
      <c r="D3" s="30" t="s">
        <v>62</v>
      </c>
    </row>
    <row r="4" spans="1:4" s="1" customFormat="1" ht="16">
      <c r="A4" s="30" t="s">
        <v>63</v>
      </c>
      <c r="B4" s="30" t="s">
        <v>64</v>
      </c>
      <c r="C4" s="30" t="s">
        <v>65</v>
      </c>
      <c r="D4" s="30" t="s">
        <v>66</v>
      </c>
    </row>
    <row r="5" spans="1:4" s="1" customFormat="1" ht="16">
      <c r="A5" s="30" t="s">
        <v>67</v>
      </c>
      <c r="B5" s="30" t="s">
        <v>68</v>
      </c>
      <c r="C5" s="30" t="s">
        <v>61</v>
      </c>
      <c r="D5" s="30" t="s">
        <v>69</v>
      </c>
    </row>
    <row r="6" spans="1:4" s="1" customFormat="1" ht="16">
      <c r="A6" s="30" t="s">
        <v>70</v>
      </c>
      <c r="B6" s="30" t="s">
        <v>71</v>
      </c>
      <c r="C6" s="30" t="s">
        <v>61</v>
      </c>
      <c r="D6" s="30" t="s">
        <v>72</v>
      </c>
    </row>
    <row r="7" spans="1:4" s="1" customFormat="1" ht="16">
      <c r="A7" s="30" t="s">
        <v>73</v>
      </c>
      <c r="B7" s="30" t="s">
        <v>74</v>
      </c>
      <c r="C7" s="30" t="s">
        <v>61</v>
      </c>
      <c r="D7" s="30" t="s">
        <v>75</v>
      </c>
    </row>
    <row r="8" spans="1:4" s="1" customFormat="1" ht="16">
      <c r="A8" s="30" t="s">
        <v>76</v>
      </c>
      <c r="B8" s="30" t="s">
        <v>77</v>
      </c>
      <c r="C8" s="30" t="s">
        <v>61</v>
      </c>
      <c r="D8" s="30" t="s">
        <v>78</v>
      </c>
    </row>
    <row r="9" spans="1:4" ht="16">
      <c r="A9" s="30" t="s">
        <v>79</v>
      </c>
      <c r="B9" s="30" t="s">
        <v>80</v>
      </c>
      <c r="C9" s="30" t="s">
        <v>81</v>
      </c>
      <c r="D9" s="30" t="s">
        <v>82</v>
      </c>
    </row>
    <row r="10" spans="1:4" ht="16">
      <c r="A10" s="30" t="s">
        <v>83</v>
      </c>
      <c r="B10" s="30" t="s">
        <v>84</v>
      </c>
      <c r="C10" s="30" t="s">
        <v>85</v>
      </c>
      <c r="D10" s="30" t="s">
        <v>86</v>
      </c>
    </row>
    <row r="11" spans="1:4" ht="16">
      <c r="A11" s="30" t="s">
        <v>87</v>
      </c>
      <c r="B11" s="30" t="s">
        <v>88</v>
      </c>
      <c r="C11" s="30" t="s">
        <v>61</v>
      </c>
      <c r="D11" s="30" t="s">
        <v>89</v>
      </c>
    </row>
    <row r="12" spans="1:4" ht="16">
      <c r="A12" s="30" t="s">
        <v>90</v>
      </c>
      <c r="B12" s="30" t="s">
        <v>91</v>
      </c>
      <c r="C12" s="30" t="s">
        <v>61</v>
      </c>
      <c r="D12" s="30" t="s">
        <v>92</v>
      </c>
    </row>
    <row r="13" spans="1:4" ht="16">
      <c r="A13" s="30" t="s">
        <v>93</v>
      </c>
      <c r="B13" s="30" t="s">
        <v>94</v>
      </c>
      <c r="C13" s="30" t="s">
        <v>61</v>
      </c>
      <c r="D13" s="30" t="s">
        <v>95</v>
      </c>
    </row>
    <row r="14" spans="1:4" ht="16">
      <c r="A14" s="30" t="s">
        <v>96</v>
      </c>
      <c r="B14" s="30" t="s">
        <v>97</v>
      </c>
      <c r="C14" s="30" t="s">
        <v>81</v>
      </c>
      <c r="D14" s="30" t="s">
        <v>82</v>
      </c>
    </row>
    <row r="15" spans="1:4" ht="16">
      <c r="A15" s="30" t="s">
        <v>98</v>
      </c>
      <c r="B15" s="30" t="s">
        <v>99</v>
      </c>
      <c r="C15" s="30" t="s">
        <v>100</v>
      </c>
      <c r="D15" s="30" t="s">
        <v>75</v>
      </c>
    </row>
    <row r="16" spans="1:4" ht="16">
      <c r="A16" s="30" t="s">
        <v>101</v>
      </c>
      <c r="B16" s="30" t="s">
        <v>102</v>
      </c>
      <c r="C16" s="30" t="s">
        <v>61</v>
      </c>
      <c r="D16" s="30" t="s">
        <v>103</v>
      </c>
    </row>
    <row r="17" spans="1:4" ht="16">
      <c r="A17" s="30" t="s">
        <v>104</v>
      </c>
      <c r="B17" s="30" t="s">
        <v>105</v>
      </c>
      <c r="C17" s="30" t="s">
        <v>65</v>
      </c>
      <c r="D17" s="30" t="s">
        <v>66</v>
      </c>
    </row>
    <row r="18" spans="1:4" ht="16">
      <c r="A18" s="30" t="s">
        <v>106</v>
      </c>
      <c r="B18" s="30" t="s">
        <v>107</v>
      </c>
      <c r="C18" s="30" t="s">
        <v>61</v>
      </c>
      <c r="D18" s="30" t="s">
        <v>62</v>
      </c>
    </row>
    <row r="19" spans="1:4" ht="16">
      <c r="A19" s="30" t="s">
        <v>108</v>
      </c>
      <c r="B19" s="30" t="s">
        <v>109</v>
      </c>
      <c r="C19" s="30" t="s">
        <v>59</v>
      </c>
      <c r="D19" s="30" t="s">
        <v>82</v>
      </c>
    </row>
    <row r="20" spans="1:4" ht="16">
      <c r="A20" s="30" t="s">
        <v>110</v>
      </c>
      <c r="B20" s="30" t="s">
        <v>111</v>
      </c>
      <c r="C20" s="30" t="s">
        <v>59</v>
      </c>
      <c r="D20" s="30" t="s">
        <v>82</v>
      </c>
    </row>
    <row r="21" spans="1:4" ht="16">
      <c r="A21" s="30" t="s">
        <v>112</v>
      </c>
      <c r="B21" s="30" t="s">
        <v>113</v>
      </c>
      <c r="C21" s="30" t="s">
        <v>61</v>
      </c>
      <c r="D21" s="30" t="s">
        <v>103</v>
      </c>
    </row>
    <row r="22" spans="1:4" ht="16">
      <c r="A22" s="30" t="s">
        <v>114</v>
      </c>
      <c r="B22" s="30" t="s">
        <v>115</v>
      </c>
      <c r="C22" s="30" t="s">
        <v>116</v>
      </c>
      <c r="D22" s="30" t="s">
        <v>117</v>
      </c>
    </row>
    <row r="23" spans="1:4" ht="16">
      <c r="A23" s="30" t="s">
        <v>118</v>
      </c>
      <c r="B23" s="30" t="s">
        <v>119</v>
      </c>
      <c r="C23" s="30" t="s">
        <v>61</v>
      </c>
      <c r="D23" s="30" t="s">
        <v>103</v>
      </c>
    </row>
    <row r="24" spans="1:4" ht="16">
      <c r="A24" s="30" t="s">
        <v>120</v>
      </c>
      <c r="B24" s="30" t="s">
        <v>121</v>
      </c>
      <c r="C24" s="30" t="s">
        <v>65</v>
      </c>
      <c r="D24" s="30" t="s">
        <v>66</v>
      </c>
    </row>
    <row r="25" spans="1:4" ht="16">
      <c r="A25" s="30" t="s">
        <v>122</v>
      </c>
      <c r="B25" s="30" t="s">
        <v>123</v>
      </c>
      <c r="C25" s="30" t="s">
        <v>124</v>
      </c>
      <c r="D25" s="30" t="s">
        <v>125</v>
      </c>
    </row>
    <row r="26" spans="1:4" ht="16">
      <c r="A26" s="30" t="s">
        <v>126</v>
      </c>
      <c r="B26" s="30" t="s">
        <v>127</v>
      </c>
      <c r="C26" s="30" t="s">
        <v>61</v>
      </c>
      <c r="D26" s="30" t="s">
        <v>128</v>
      </c>
    </row>
    <row r="27" spans="1:4" ht="16">
      <c r="A27" s="30" t="s">
        <v>129</v>
      </c>
      <c r="B27" s="30" t="s">
        <v>130</v>
      </c>
      <c r="C27" s="30" t="s">
        <v>61</v>
      </c>
      <c r="D27" s="30" t="s">
        <v>131</v>
      </c>
    </row>
    <row r="28" spans="1:4" ht="16">
      <c r="A28" s="30" t="s">
        <v>132</v>
      </c>
      <c r="B28" s="30" t="s">
        <v>133</v>
      </c>
      <c r="C28" s="30" t="s">
        <v>134</v>
      </c>
      <c r="D28" s="30" t="s">
        <v>135</v>
      </c>
    </row>
    <row r="29" spans="1:4" ht="16">
      <c r="A29" s="30" t="s">
        <v>136</v>
      </c>
      <c r="B29" s="30" t="s">
        <v>137</v>
      </c>
      <c r="C29" s="30" t="s">
        <v>138</v>
      </c>
      <c r="D29" s="30" t="s">
        <v>62</v>
      </c>
    </row>
    <row r="30" spans="1:4" ht="16">
      <c r="A30" s="30" t="s">
        <v>139</v>
      </c>
      <c r="B30" s="30" t="s">
        <v>140</v>
      </c>
      <c r="C30" s="30" t="s">
        <v>141</v>
      </c>
      <c r="D30" s="30" t="s">
        <v>82</v>
      </c>
    </row>
    <row r="31" spans="1:4" ht="16">
      <c r="A31" s="30" t="s">
        <v>142</v>
      </c>
      <c r="B31" s="30" t="s">
        <v>143</v>
      </c>
      <c r="C31" s="30" t="s">
        <v>61</v>
      </c>
      <c r="D31" s="30" t="s">
        <v>69</v>
      </c>
    </row>
    <row r="32" spans="1:4" ht="16">
      <c r="A32" s="30" t="s">
        <v>144</v>
      </c>
      <c r="B32" s="30" t="s">
        <v>145</v>
      </c>
      <c r="C32" s="30" t="s">
        <v>61</v>
      </c>
      <c r="D32" s="30" t="s">
        <v>62</v>
      </c>
    </row>
    <row r="33" spans="1:4" ht="16">
      <c r="A33" s="30" t="s">
        <v>146</v>
      </c>
      <c r="B33" s="30" t="s">
        <v>147</v>
      </c>
      <c r="C33" s="30" t="s">
        <v>61</v>
      </c>
      <c r="D33" s="30" t="s">
        <v>148</v>
      </c>
    </row>
    <row r="34" spans="1:4" ht="16">
      <c r="A34" s="30" t="s">
        <v>149</v>
      </c>
      <c r="B34" s="30" t="s">
        <v>150</v>
      </c>
      <c r="C34" s="30" t="s">
        <v>151</v>
      </c>
      <c r="D34" s="30" t="s">
        <v>152</v>
      </c>
    </row>
    <row r="35" spans="1:4" ht="16">
      <c r="A35" s="30" t="s">
        <v>153</v>
      </c>
      <c r="B35" s="30" t="s">
        <v>154</v>
      </c>
      <c r="C35" s="30" t="s">
        <v>141</v>
      </c>
      <c r="D35" s="30" t="s">
        <v>82</v>
      </c>
    </row>
    <row r="36" spans="1:4" ht="16">
      <c r="A36" s="30" t="s">
        <v>155</v>
      </c>
      <c r="B36" s="30" t="s">
        <v>156</v>
      </c>
      <c r="C36" s="30" t="s">
        <v>61</v>
      </c>
      <c r="D36" s="30" t="s">
        <v>157</v>
      </c>
    </row>
    <row r="37" spans="1:4" ht="16">
      <c r="A37" s="30" t="s">
        <v>158</v>
      </c>
      <c r="B37" s="30" t="s">
        <v>159</v>
      </c>
      <c r="C37" s="30" t="s">
        <v>61</v>
      </c>
      <c r="D37" s="30" t="s">
        <v>160</v>
      </c>
    </row>
    <row r="38" spans="1:4" ht="16">
      <c r="A38" s="30" t="s">
        <v>161</v>
      </c>
      <c r="B38" s="30" t="s">
        <v>162</v>
      </c>
      <c r="C38" s="30" t="s">
        <v>61</v>
      </c>
      <c r="D38" s="30" t="s">
        <v>160</v>
      </c>
    </row>
    <row r="39" spans="1:4" ht="16">
      <c r="A39" s="30" t="s">
        <v>163</v>
      </c>
      <c r="B39" s="30" t="s">
        <v>164</v>
      </c>
      <c r="C39" s="30" t="s">
        <v>61</v>
      </c>
      <c r="D39" s="30" t="s">
        <v>165</v>
      </c>
    </row>
    <row r="40" spans="1:4" ht="16">
      <c r="A40" s="30" t="s">
        <v>166</v>
      </c>
      <c r="B40" s="30" t="s">
        <v>167</v>
      </c>
      <c r="C40" s="30" t="s">
        <v>124</v>
      </c>
      <c r="D40" s="30" t="s">
        <v>75</v>
      </c>
    </row>
    <row r="41" spans="1:4" ht="16">
      <c r="A41" s="30" t="s">
        <v>168</v>
      </c>
      <c r="B41" s="30" t="s">
        <v>169</v>
      </c>
      <c r="C41" s="30" t="s">
        <v>170</v>
      </c>
      <c r="D41" s="30" t="s">
        <v>171</v>
      </c>
    </row>
    <row r="42" spans="1:4" ht="16">
      <c r="A42" s="30" t="s">
        <v>172</v>
      </c>
      <c r="B42" s="30" t="s">
        <v>173</v>
      </c>
      <c r="C42" s="30" t="s">
        <v>61</v>
      </c>
      <c r="D42" s="30" t="s">
        <v>69</v>
      </c>
    </row>
    <row r="43" spans="1:4" ht="16">
      <c r="A43" s="30" t="s">
        <v>174</v>
      </c>
      <c r="B43" s="30" t="s">
        <v>175</v>
      </c>
      <c r="C43" s="30" t="s">
        <v>176</v>
      </c>
      <c r="D43" s="30" t="s">
        <v>177</v>
      </c>
    </row>
    <row r="44" spans="1:4" ht="16">
      <c r="A44" s="30" t="s">
        <v>178</v>
      </c>
      <c r="B44" s="30" t="s">
        <v>179</v>
      </c>
      <c r="C44" s="30" t="s">
        <v>61</v>
      </c>
      <c r="D44" s="30" t="s">
        <v>180</v>
      </c>
    </row>
    <row r="45" spans="1:4" ht="16">
      <c r="A45" s="30" t="s">
        <v>181</v>
      </c>
      <c r="B45" s="30" t="s">
        <v>182</v>
      </c>
      <c r="C45" s="30" t="s">
        <v>61</v>
      </c>
      <c r="D45" s="30" t="s">
        <v>148</v>
      </c>
    </row>
    <row r="46" spans="1:4" ht="16">
      <c r="A46" s="30" t="s">
        <v>183</v>
      </c>
      <c r="B46" s="30" t="s">
        <v>184</v>
      </c>
      <c r="C46" s="30" t="s">
        <v>61</v>
      </c>
      <c r="D46" s="30" t="s">
        <v>185</v>
      </c>
    </row>
    <row r="47" spans="1:4" ht="16">
      <c r="A47" s="30" t="s">
        <v>186</v>
      </c>
      <c r="B47" s="30" t="s">
        <v>187</v>
      </c>
      <c r="C47" s="30" t="s">
        <v>59</v>
      </c>
      <c r="D47" s="30" t="s">
        <v>82</v>
      </c>
    </row>
    <row r="48" spans="1:4" ht="16">
      <c r="A48" s="30" t="s">
        <v>188</v>
      </c>
      <c r="B48" s="30" t="s">
        <v>189</v>
      </c>
      <c r="C48" s="30" t="s">
        <v>141</v>
      </c>
      <c r="D48" s="30" t="s">
        <v>82</v>
      </c>
    </row>
    <row r="49" spans="1:4" ht="16">
      <c r="A49" s="30" t="s">
        <v>190</v>
      </c>
      <c r="B49" s="30" t="s">
        <v>191</v>
      </c>
      <c r="C49" s="30" t="s">
        <v>81</v>
      </c>
      <c r="D49" s="30" t="s">
        <v>82</v>
      </c>
    </row>
    <row r="50" spans="1:4" ht="16">
      <c r="A50" s="30" t="s">
        <v>192</v>
      </c>
      <c r="B50" s="30" t="s">
        <v>193</v>
      </c>
      <c r="C50" s="30" t="s">
        <v>61</v>
      </c>
      <c r="D50" s="30" t="s">
        <v>72</v>
      </c>
    </row>
    <row r="51" spans="1:4" ht="16">
      <c r="A51" s="30" t="s">
        <v>194</v>
      </c>
      <c r="B51" s="30" t="s">
        <v>195</v>
      </c>
      <c r="C51" s="30" t="s">
        <v>59</v>
      </c>
      <c r="D51" s="30" t="s">
        <v>82</v>
      </c>
    </row>
    <row r="52" spans="1:4" ht="16">
      <c r="A52" s="30" t="s">
        <v>196</v>
      </c>
      <c r="B52" s="30" t="s">
        <v>197</v>
      </c>
      <c r="C52" s="30" t="s">
        <v>59</v>
      </c>
      <c r="D52" s="30" t="s">
        <v>82</v>
      </c>
    </row>
    <row r="53" spans="1:4" ht="16">
      <c r="A53" s="30" t="s">
        <v>198</v>
      </c>
      <c r="B53" s="30" t="s">
        <v>199</v>
      </c>
      <c r="C53" s="30" t="s">
        <v>61</v>
      </c>
      <c r="D53" s="30" t="s">
        <v>160</v>
      </c>
    </row>
    <row r="54" spans="1:4" ht="16">
      <c r="A54" s="30" t="s">
        <v>200</v>
      </c>
      <c r="B54" s="30" t="s">
        <v>201</v>
      </c>
      <c r="C54" s="30" t="s">
        <v>59</v>
      </c>
      <c r="D54" s="30" t="s">
        <v>82</v>
      </c>
    </row>
    <row r="55" spans="1:4" ht="16">
      <c r="A55" s="30" t="s">
        <v>202</v>
      </c>
      <c r="B55" s="30" t="s">
        <v>203</v>
      </c>
      <c r="C55" s="30" t="s">
        <v>141</v>
      </c>
      <c r="D55" s="30" t="s">
        <v>82</v>
      </c>
    </row>
    <row r="56" spans="1:4" ht="16">
      <c r="A56" s="30" t="s">
        <v>204</v>
      </c>
      <c r="B56" s="30" t="s">
        <v>205</v>
      </c>
      <c r="C56" s="30" t="s">
        <v>61</v>
      </c>
      <c r="D56" s="30" t="s">
        <v>69</v>
      </c>
    </row>
    <row r="57" spans="1:4" ht="16">
      <c r="A57" s="30" t="s">
        <v>206</v>
      </c>
      <c r="B57" s="30" t="s">
        <v>207</v>
      </c>
      <c r="C57" s="30" t="s">
        <v>61</v>
      </c>
      <c r="D57" s="30" t="s">
        <v>160</v>
      </c>
    </row>
    <row r="58" spans="1:4" ht="16">
      <c r="A58" s="30" t="s">
        <v>208</v>
      </c>
      <c r="B58" s="30" t="s">
        <v>209</v>
      </c>
      <c r="C58" s="30" t="s">
        <v>61</v>
      </c>
      <c r="D58" s="30" t="s">
        <v>210</v>
      </c>
    </row>
    <row r="59" spans="1:4" ht="16">
      <c r="A59" s="30" t="s">
        <v>211</v>
      </c>
      <c r="B59" s="30" t="s">
        <v>212</v>
      </c>
      <c r="C59" s="30" t="s">
        <v>176</v>
      </c>
      <c r="D59" s="30" t="s">
        <v>171</v>
      </c>
    </row>
    <row r="60" spans="1:4" ht="16">
      <c r="A60" s="30" t="s">
        <v>213</v>
      </c>
      <c r="B60" s="30" t="s">
        <v>214</v>
      </c>
      <c r="C60" s="30" t="s">
        <v>215</v>
      </c>
      <c r="D60" s="30" t="s">
        <v>66</v>
      </c>
    </row>
    <row r="61" spans="1:4" ht="16">
      <c r="A61" s="30" t="s">
        <v>216</v>
      </c>
      <c r="B61" s="30" t="s">
        <v>217</v>
      </c>
      <c r="C61" s="30" t="s">
        <v>215</v>
      </c>
      <c r="D61" s="30" t="s">
        <v>66</v>
      </c>
    </row>
    <row r="62" spans="1:4" ht="16">
      <c r="A62" s="30" t="s">
        <v>218</v>
      </c>
      <c r="B62" s="30" t="s">
        <v>219</v>
      </c>
      <c r="C62" s="30" t="s">
        <v>61</v>
      </c>
      <c r="D62" s="30" t="s">
        <v>69</v>
      </c>
    </row>
    <row r="63" spans="1:4" ht="16">
      <c r="A63" s="30" t="s">
        <v>220</v>
      </c>
      <c r="B63" s="30" t="s">
        <v>221</v>
      </c>
      <c r="C63" s="30" t="s">
        <v>61</v>
      </c>
      <c r="D63" s="30" t="s">
        <v>69</v>
      </c>
    </row>
    <row r="64" spans="1:4" ht="16">
      <c r="A64" s="30" t="s">
        <v>222</v>
      </c>
      <c r="B64" s="30" t="s">
        <v>223</v>
      </c>
      <c r="C64" s="30" t="s">
        <v>141</v>
      </c>
      <c r="D64" s="30" t="s">
        <v>82</v>
      </c>
    </row>
    <row r="65" spans="1:4" ht="16">
      <c r="A65" s="30" t="s">
        <v>224</v>
      </c>
      <c r="B65" s="30" t="s">
        <v>225</v>
      </c>
      <c r="C65" s="30" t="s">
        <v>65</v>
      </c>
      <c r="D65" s="30" t="s">
        <v>66</v>
      </c>
    </row>
    <row r="66" spans="1:4" ht="16">
      <c r="A66" s="30" t="s">
        <v>226</v>
      </c>
      <c r="B66" s="30" t="s">
        <v>227</v>
      </c>
      <c r="C66" s="30" t="s">
        <v>59</v>
      </c>
      <c r="D66" s="30" t="s">
        <v>228</v>
      </c>
    </row>
    <row r="67" spans="1:4" ht="16">
      <c r="A67" s="30" t="s">
        <v>229</v>
      </c>
      <c r="B67" s="30" t="s">
        <v>230</v>
      </c>
      <c r="C67" s="30" t="s">
        <v>231</v>
      </c>
      <c r="D67" s="30" t="s">
        <v>232</v>
      </c>
    </row>
    <row r="68" spans="1:4" ht="16">
      <c r="A68" s="30" t="s">
        <v>233</v>
      </c>
      <c r="B68" s="30" t="s">
        <v>234</v>
      </c>
      <c r="C68" s="30" t="s">
        <v>61</v>
      </c>
      <c r="D68" s="30" t="s">
        <v>69</v>
      </c>
    </row>
    <row r="69" spans="1:4" ht="16">
      <c r="A69" s="30" t="s">
        <v>235</v>
      </c>
      <c r="B69" s="30" t="s">
        <v>236</v>
      </c>
      <c r="C69" s="30" t="s">
        <v>61</v>
      </c>
      <c r="D69" s="30" t="s">
        <v>237</v>
      </c>
    </row>
    <row r="70" spans="1:4" ht="16">
      <c r="A70" s="30" t="s">
        <v>238</v>
      </c>
      <c r="B70" s="30" t="s">
        <v>239</v>
      </c>
      <c r="C70" s="30" t="s">
        <v>61</v>
      </c>
      <c r="D70" s="30" t="s">
        <v>69</v>
      </c>
    </row>
    <row r="71" spans="1:4" ht="16">
      <c r="A71" s="30" t="s">
        <v>240</v>
      </c>
      <c r="B71" s="30" t="s">
        <v>241</v>
      </c>
      <c r="C71" s="30" t="s">
        <v>61</v>
      </c>
      <c r="D71" s="30" t="s">
        <v>232</v>
      </c>
    </row>
    <row r="72" spans="1:4" ht="16">
      <c r="A72" s="30" t="s">
        <v>242</v>
      </c>
      <c r="B72" s="30" t="s">
        <v>243</v>
      </c>
      <c r="C72" s="30" t="s">
        <v>65</v>
      </c>
      <c r="D72" s="30" t="s">
        <v>66</v>
      </c>
    </row>
    <row r="73" spans="1:4" ht="16">
      <c r="A73" s="30" t="s">
        <v>244</v>
      </c>
      <c r="B73" s="30" t="s">
        <v>245</v>
      </c>
      <c r="C73" s="30" t="s">
        <v>246</v>
      </c>
      <c r="D73" s="30" t="s">
        <v>247</v>
      </c>
    </row>
    <row r="74" spans="1:4" ht="16">
      <c r="A74" s="30" t="s">
        <v>248</v>
      </c>
      <c r="B74" s="30" t="s">
        <v>249</v>
      </c>
      <c r="C74" s="30" t="s">
        <v>59</v>
      </c>
      <c r="D74" s="30" t="s">
        <v>60</v>
      </c>
    </row>
    <row r="75" spans="1:4" ht="16">
      <c r="A75" s="30" t="s">
        <v>248</v>
      </c>
      <c r="B75" s="30" t="s">
        <v>249</v>
      </c>
      <c r="C75" s="30" t="s">
        <v>61</v>
      </c>
      <c r="D75" s="30" t="s">
        <v>62</v>
      </c>
    </row>
    <row r="76" spans="1:4" ht="16">
      <c r="A76" s="30" t="s">
        <v>250</v>
      </c>
      <c r="B76" s="30" t="s">
        <v>251</v>
      </c>
      <c r="C76" s="30" t="s">
        <v>252</v>
      </c>
      <c r="D76" s="30" t="s">
        <v>171</v>
      </c>
    </row>
    <row r="77" spans="1:4" ht="16">
      <c r="A77" s="30" t="s">
        <v>253</v>
      </c>
      <c r="B77" s="30" t="s">
        <v>254</v>
      </c>
      <c r="C77" s="30" t="s">
        <v>61</v>
      </c>
      <c r="D77" s="30" t="s">
        <v>62</v>
      </c>
    </row>
    <row r="78" spans="1:4" ht="16">
      <c r="A78" s="30" t="s">
        <v>255</v>
      </c>
      <c r="B78" s="30" t="s">
        <v>256</v>
      </c>
      <c r="C78" s="30" t="s">
        <v>257</v>
      </c>
      <c r="D78" s="30" t="s">
        <v>232</v>
      </c>
    </row>
    <row r="79" spans="1:4" ht="16">
      <c r="A79" s="30" t="s">
        <v>258</v>
      </c>
      <c r="B79" s="30" t="s">
        <v>259</v>
      </c>
      <c r="C79" s="30" t="s">
        <v>151</v>
      </c>
      <c r="D79" s="30" t="s">
        <v>260</v>
      </c>
    </row>
    <row r="80" spans="1:4" ht="16">
      <c r="A80" s="30" t="s">
        <v>261</v>
      </c>
      <c r="B80" s="30" t="s">
        <v>262</v>
      </c>
      <c r="C80" s="30" t="s">
        <v>61</v>
      </c>
      <c r="D80" s="30" t="s">
        <v>69</v>
      </c>
    </row>
    <row r="81" spans="1:4" ht="16">
      <c r="A81" s="30" t="s">
        <v>263</v>
      </c>
      <c r="B81" s="30" t="s">
        <v>264</v>
      </c>
      <c r="C81" s="30" t="s">
        <v>141</v>
      </c>
      <c r="D81" s="30" t="s">
        <v>82</v>
      </c>
    </row>
    <row r="82" spans="1:4" ht="16">
      <c r="A82" s="30" t="s">
        <v>265</v>
      </c>
      <c r="B82" s="30" t="s">
        <v>266</v>
      </c>
      <c r="C82" s="30" t="s">
        <v>267</v>
      </c>
      <c r="D82" s="30" t="s">
        <v>78</v>
      </c>
    </row>
    <row r="83" spans="1:4" ht="16">
      <c r="A83" s="30" t="s">
        <v>268</v>
      </c>
      <c r="B83" s="30" t="s">
        <v>269</v>
      </c>
      <c r="C83" s="30" t="s">
        <v>124</v>
      </c>
      <c r="D83" s="30" t="s">
        <v>75</v>
      </c>
    </row>
    <row r="84" spans="1:4" ht="16">
      <c r="A84" s="30" t="s">
        <v>270</v>
      </c>
      <c r="B84" s="30" t="s">
        <v>271</v>
      </c>
      <c r="C84" s="30" t="s">
        <v>59</v>
      </c>
      <c r="D84" s="30" t="s">
        <v>82</v>
      </c>
    </row>
    <row r="85" spans="1:4" ht="16">
      <c r="A85" s="30" t="s">
        <v>272</v>
      </c>
      <c r="B85" s="30" t="s">
        <v>273</v>
      </c>
      <c r="C85" s="30" t="s">
        <v>59</v>
      </c>
      <c r="D85" s="30" t="s">
        <v>82</v>
      </c>
    </row>
    <row r="86" spans="1:4" ht="16">
      <c r="A86" s="30" t="s">
        <v>274</v>
      </c>
      <c r="B86" s="30" t="s">
        <v>275</v>
      </c>
      <c r="C86" s="30" t="s">
        <v>257</v>
      </c>
      <c r="D86" s="30" t="s">
        <v>232</v>
      </c>
    </row>
    <row r="87" spans="1:4" ht="16">
      <c r="A87" s="30" t="s">
        <v>276</v>
      </c>
      <c r="B87" s="30" t="s">
        <v>277</v>
      </c>
      <c r="C87" s="30" t="s">
        <v>61</v>
      </c>
      <c r="D87" s="30" t="s">
        <v>69</v>
      </c>
    </row>
    <row r="88" spans="1:4" ht="16">
      <c r="A88" s="30" t="s">
        <v>278</v>
      </c>
      <c r="B88" s="30" t="s">
        <v>279</v>
      </c>
      <c r="C88" s="30" t="s">
        <v>61</v>
      </c>
      <c r="D88" s="30" t="s">
        <v>280</v>
      </c>
    </row>
    <row r="89" spans="1:4" ht="16">
      <c r="A89" s="30" t="s">
        <v>281</v>
      </c>
      <c r="B89" s="30" t="s">
        <v>282</v>
      </c>
      <c r="C89" s="30" t="s">
        <v>100</v>
      </c>
      <c r="D89" s="30" t="s">
        <v>75</v>
      </c>
    </row>
    <row r="90" spans="1:4" ht="16">
      <c r="A90" s="30" t="s">
        <v>283</v>
      </c>
      <c r="B90" s="30" t="s">
        <v>284</v>
      </c>
      <c r="C90" s="30" t="s">
        <v>61</v>
      </c>
      <c r="D90" s="30" t="s">
        <v>260</v>
      </c>
    </row>
    <row r="91" spans="1:4" ht="16">
      <c r="A91" s="30" t="s">
        <v>285</v>
      </c>
      <c r="B91" s="30" t="s">
        <v>286</v>
      </c>
      <c r="C91" s="30" t="s">
        <v>287</v>
      </c>
      <c r="D91" s="30" t="s">
        <v>82</v>
      </c>
    </row>
    <row r="92" spans="1:4" ht="16">
      <c r="A92" s="30" t="s">
        <v>288</v>
      </c>
      <c r="B92" s="30" t="s">
        <v>289</v>
      </c>
      <c r="C92" s="30" t="s">
        <v>61</v>
      </c>
      <c r="D92" s="30" t="s">
        <v>160</v>
      </c>
    </row>
    <row r="93" spans="1:4" ht="16">
      <c r="A93" s="30" t="s">
        <v>290</v>
      </c>
      <c r="B93" s="30" t="s">
        <v>291</v>
      </c>
      <c r="C93" s="30" t="s">
        <v>59</v>
      </c>
      <c r="D93" s="30" t="s">
        <v>82</v>
      </c>
    </row>
    <row r="94" spans="1:4" ht="16">
      <c r="A94" s="30" t="s">
        <v>292</v>
      </c>
      <c r="B94" s="30" t="s">
        <v>293</v>
      </c>
      <c r="C94" s="30" t="s">
        <v>61</v>
      </c>
      <c r="D94" s="30" t="s">
        <v>294</v>
      </c>
    </row>
    <row r="95" spans="1:4" ht="16">
      <c r="A95" s="30" t="s">
        <v>295</v>
      </c>
      <c r="B95" s="30" t="s">
        <v>296</v>
      </c>
      <c r="C95" s="30" t="s">
        <v>61</v>
      </c>
      <c r="D95" s="30" t="s">
        <v>62</v>
      </c>
    </row>
    <row r="96" spans="1:4" ht="16">
      <c r="A96" s="30" t="s">
        <v>297</v>
      </c>
      <c r="B96" s="30" t="s">
        <v>298</v>
      </c>
      <c r="C96" s="30" t="s">
        <v>299</v>
      </c>
      <c r="D96" s="30" t="s">
        <v>300</v>
      </c>
    </row>
    <row r="97" spans="1:4" ht="16">
      <c r="A97" s="30" t="s">
        <v>301</v>
      </c>
      <c r="B97" s="30" t="s">
        <v>302</v>
      </c>
      <c r="C97" s="30" t="s">
        <v>85</v>
      </c>
      <c r="D97" s="30" t="s">
        <v>75</v>
      </c>
    </row>
    <row r="98" spans="1:4" ht="16">
      <c r="A98" s="30" t="s">
        <v>303</v>
      </c>
      <c r="B98" s="30" t="s">
        <v>304</v>
      </c>
      <c r="C98" s="30" t="s">
        <v>85</v>
      </c>
      <c r="D98" s="30" t="s">
        <v>305</v>
      </c>
    </row>
    <row r="99" spans="1:4" ht="16">
      <c r="A99" s="30" t="s">
        <v>306</v>
      </c>
      <c r="B99" s="30" t="s">
        <v>307</v>
      </c>
      <c r="C99" s="30" t="s">
        <v>257</v>
      </c>
      <c r="D99" s="30" t="s">
        <v>232</v>
      </c>
    </row>
    <row r="100" spans="1:4" ht="16">
      <c r="A100" s="30" t="s">
        <v>308</v>
      </c>
      <c r="B100" s="30" t="s">
        <v>309</v>
      </c>
      <c r="C100" s="30" t="s">
        <v>257</v>
      </c>
      <c r="D100" s="30" t="s">
        <v>232</v>
      </c>
    </row>
    <row r="101" spans="1:4" ht="16">
      <c r="A101" s="30" t="s">
        <v>310</v>
      </c>
      <c r="B101" s="30" t="s">
        <v>311</v>
      </c>
      <c r="C101" s="30" t="s">
        <v>257</v>
      </c>
      <c r="D101" s="30" t="s">
        <v>232</v>
      </c>
    </row>
    <row r="102" spans="1:4" ht="16">
      <c r="A102" s="30" t="s">
        <v>312</v>
      </c>
      <c r="B102" s="30" t="s">
        <v>313</v>
      </c>
      <c r="C102" s="30" t="s">
        <v>257</v>
      </c>
      <c r="D102" s="30" t="s">
        <v>232</v>
      </c>
    </row>
    <row r="103" spans="1:4" ht="16">
      <c r="A103" s="30" t="s">
        <v>314</v>
      </c>
      <c r="B103" s="30" t="s">
        <v>315</v>
      </c>
      <c r="C103" s="30" t="s">
        <v>61</v>
      </c>
      <c r="D103" s="30" t="s">
        <v>131</v>
      </c>
    </row>
    <row r="104" spans="1:4" ht="16">
      <c r="A104" s="30" t="s">
        <v>316</v>
      </c>
      <c r="B104" s="30" t="s">
        <v>317</v>
      </c>
      <c r="C104" s="30" t="s">
        <v>65</v>
      </c>
      <c r="D104" s="30" t="s">
        <v>66</v>
      </c>
    </row>
    <row r="105" spans="1:4" ht="16">
      <c r="A105" s="30" t="s">
        <v>318</v>
      </c>
      <c r="B105" s="30" t="s">
        <v>319</v>
      </c>
      <c r="C105" s="30" t="s">
        <v>61</v>
      </c>
      <c r="D105" s="30" t="s">
        <v>232</v>
      </c>
    </row>
    <row r="106" spans="1:4" ht="16">
      <c r="A106" s="30" t="s">
        <v>320</v>
      </c>
      <c r="B106" s="30" t="s">
        <v>321</v>
      </c>
      <c r="C106" s="30" t="s">
        <v>257</v>
      </c>
      <c r="D106" s="30" t="s">
        <v>322</v>
      </c>
    </row>
    <row r="107" spans="1:4" ht="16">
      <c r="A107" s="30" t="s">
        <v>323</v>
      </c>
      <c r="B107" s="30" t="s">
        <v>324</v>
      </c>
      <c r="C107" s="30" t="s">
        <v>257</v>
      </c>
      <c r="D107" s="30" t="s">
        <v>165</v>
      </c>
    </row>
    <row r="108" spans="1:4" ht="16">
      <c r="A108" s="30" t="s">
        <v>325</v>
      </c>
      <c r="B108" s="30" t="s">
        <v>326</v>
      </c>
      <c r="C108" s="30" t="s">
        <v>65</v>
      </c>
      <c r="D108" s="30" t="s">
        <v>66</v>
      </c>
    </row>
    <row r="109" spans="1:4" ht="16">
      <c r="A109" s="30" t="s">
        <v>327</v>
      </c>
      <c r="B109" s="30" t="s">
        <v>328</v>
      </c>
      <c r="C109" s="30" t="s">
        <v>257</v>
      </c>
      <c r="D109" s="30" t="s">
        <v>232</v>
      </c>
    </row>
    <row r="110" spans="1:4" ht="16">
      <c r="A110" s="30" t="s">
        <v>329</v>
      </c>
      <c r="B110" s="30" t="s">
        <v>330</v>
      </c>
      <c r="C110" s="30" t="s">
        <v>61</v>
      </c>
      <c r="D110" s="30" t="s">
        <v>69</v>
      </c>
    </row>
    <row r="111" spans="1:4" ht="16">
      <c r="A111" s="30" t="s">
        <v>331</v>
      </c>
      <c r="B111" s="30" t="s">
        <v>332</v>
      </c>
      <c r="C111" s="30" t="s">
        <v>333</v>
      </c>
      <c r="D111" s="30" t="s">
        <v>334</v>
      </c>
    </row>
    <row r="112" spans="1:4" ht="16">
      <c r="A112" s="30" t="s">
        <v>335</v>
      </c>
      <c r="B112" s="30" t="s">
        <v>336</v>
      </c>
      <c r="C112" s="30" t="s">
        <v>61</v>
      </c>
      <c r="D112" s="30" t="s">
        <v>160</v>
      </c>
    </row>
    <row r="113" spans="1:4" ht="16">
      <c r="A113" s="30" t="s">
        <v>337</v>
      </c>
      <c r="B113" s="30" t="s">
        <v>338</v>
      </c>
      <c r="C113" s="30" t="s">
        <v>61</v>
      </c>
      <c r="D113" s="30" t="s">
        <v>62</v>
      </c>
    </row>
    <row r="114" spans="1:4" ht="16">
      <c r="A114" s="30" t="s">
        <v>339</v>
      </c>
      <c r="B114" s="30" t="s">
        <v>340</v>
      </c>
      <c r="C114" s="30" t="s">
        <v>61</v>
      </c>
      <c r="D114" s="30" t="s">
        <v>341</v>
      </c>
    </row>
    <row r="115" spans="1:4" ht="16">
      <c r="A115" s="30" t="s">
        <v>342</v>
      </c>
      <c r="B115" s="30" t="s">
        <v>343</v>
      </c>
      <c r="C115" s="30" t="s">
        <v>257</v>
      </c>
      <c r="D115" s="30" t="s">
        <v>160</v>
      </c>
    </row>
    <row r="116" spans="1:4" ht="16">
      <c r="A116" s="30" t="s">
        <v>344</v>
      </c>
      <c r="B116" s="30" t="s">
        <v>345</v>
      </c>
      <c r="C116" s="30" t="s">
        <v>61</v>
      </c>
      <c r="D116" s="30" t="s">
        <v>346</v>
      </c>
    </row>
    <row r="117" spans="1:4" ht="16">
      <c r="A117" s="30" t="s">
        <v>347</v>
      </c>
      <c r="B117" s="30" t="s">
        <v>348</v>
      </c>
      <c r="C117" s="30" t="s">
        <v>61</v>
      </c>
      <c r="D117" s="30" t="s">
        <v>128</v>
      </c>
    </row>
    <row r="118" spans="1:4" ht="16">
      <c r="A118" s="30" t="s">
        <v>349</v>
      </c>
      <c r="B118" s="30" t="s">
        <v>350</v>
      </c>
      <c r="C118" s="30" t="s">
        <v>61</v>
      </c>
      <c r="D118" s="30" t="s">
        <v>341</v>
      </c>
    </row>
    <row r="119" spans="1:4" ht="16">
      <c r="A119" s="30" t="s">
        <v>351</v>
      </c>
      <c r="B119" s="30" t="s">
        <v>352</v>
      </c>
      <c r="C119" s="30" t="s">
        <v>124</v>
      </c>
      <c r="D119" s="30" t="s">
        <v>75</v>
      </c>
    </row>
    <row r="120" spans="1:4" ht="16">
      <c r="A120" s="30" t="s">
        <v>353</v>
      </c>
      <c r="B120" s="30" t="s">
        <v>354</v>
      </c>
      <c r="C120" s="30" t="s">
        <v>257</v>
      </c>
      <c r="D120" s="30" t="s">
        <v>232</v>
      </c>
    </row>
    <row r="121" spans="1:4" ht="16">
      <c r="A121" s="30" t="s">
        <v>355</v>
      </c>
      <c r="B121" s="30" t="s">
        <v>356</v>
      </c>
      <c r="C121" s="30" t="s">
        <v>257</v>
      </c>
      <c r="D121" s="30" t="s">
        <v>357</v>
      </c>
    </row>
    <row r="122" spans="1:4" ht="16">
      <c r="A122" s="30" t="s">
        <v>358</v>
      </c>
      <c r="B122" s="30" t="s">
        <v>359</v>
      </c>
      <c r="C122" s="30" t="s">
        <v>134</v>
      </c>
      <c r="D122" s="30" t="s">
        <v>75</v>
      </c>
    </row>
    <row r="123" spans="1:4" ht="16">
      <c r="A123" s="30" t="s">
        <v>360</v>
      </c>
      <c r="B123" s="30" t="s">
        <v>361</v>
      </c>
      <c r="C123" s="30" t="s">
        <v>257</v>
      </c>
      <c r="D123" s="30" t="s">
        <v>232</v>
      </c>
    </row>
    <row r="124" spans="1:4" ht="16">
      <c r="A124" s="30" t="s">
        <v>362</v>
      </c>
      <c r="B124" s="30" t="s">
        <v>363</v>
      </c>
      <c r="C124" s="30" t="s">
        <v>65</v>
      </c>
      <c r="D124" s="30" t="s">
        <v>66</v>
      </c>
    </row>
    <row r="125" spans="1:4" ht="16">
      <c r="A125" s="30" t="s">
        <v>364</v>
      </c>
      <c r="B125" s="30" t="s">
        <v>365</v>
      </c>
      <c r="C125" s="30" t="s">
        <v>59</v>
      </c>
      <c r="D125" s="30" t="s">
        <v>82</v>
      </c>
    </row>
    <row r="126" spans="1:4" ht="16">
      <c r="A126" s="30" t="s">
        <v>366</v>
      </c>
      <c r="B126" s="30" t="s">
        <v>367</v>
      </c>
      <c r="C126" s="30" t="s">
        <v>368</v>
      </c>
      <c r="D126" s="30" t="s">
        <v>369</v>
      </c>
    </row>
    <row r="127" spans="1:4" ht="16">
      <c r="A127" s="30" t="s">
        <v>370</v>
      </c>
      <c r="B127" s="30" t="s">
        <v>371</v>
      </c>
      <c r="C127" s="30" t="s">
        <v>61</v>
      </c>
      <c r="D127" s="30" t="s">
        <v>62</v>
      </c>
    </row>
    <row r="128" spans="1:4" ht="16">
      <c r="A128" s="30" t="s">
        <v>372</v>
      </c>
      <c r="B128" s="30" t="s">
        <v>373</v>
      </c>
      <c r="C128" s="30" t="s">
        <v>61</v>
      </c>
      <c r="D128" s="30" t="s">
        <v>62</v>
      </c>
    </row>
    <row r="129" spans="1:4" ht="16">
      <c r="A129" s="30" t="s">
        <v>374</v>
      </c>
      <c r="B129" s="30" t="s">
        <v>375</v>
      </c>
      <c r="C129" s="30" t="s">
        <v>376</v>
      </c>
      <c r="D129" s="30" t="s">
        <v>82</v>
      </c>
    </row>
    <row r="130" spans="1:4" ht="16">
      <c r="A130" s="30" t="s">
        <v>377</v>
      </c>
      <c r="B130" s="30" t="s">
        <v>378</v>
      </c>
      <c r="C130" s="30" t="s">
        <v>257</v>
      </c>
      <c r="D130" s="30" t="s">
        <v>165</v>
      </c>
    </row>
    <row r="131" spans="1:4" ht="16">
      <c r="A131" s="30" t="s">
        <v>379</v>
      </c>
      <c r="B131" s="30" t="s">
        <v>380</v>
      </c>
      <c r="C131" s="30" t="s">
        <v>65</v>
      </c>
      <c r="D131" s="30" t="s">
        <v>66</v>
      </c>
    </row>
    <row r="132" spans="1:4" ht="16">
      <c r="A132" s="30" t="s">
        <v>381</v>
      </c>
      <c r="B132" s="30" t="s">
        <v>382</v>
      </c>
      <c r="C132" s="30" t="s">
        <v>59</v>
      </c>
      <c r="D132" s="30" t="s">
        <v>82</v>
      </c>
    </row>
    <row r="133" spans="1:4" ht="16">
      <c r="A133" s="30" t="s">
        <v>383</v>
      </c>
      <c r="B133" s="30" t="s">
        <v>384</v>
      </c>
      <c r="C133" s="30" t="s">
        <v>134</v>
      </c>
      <c r="D133" s="30" t="s">
        <v>69</v>
      </c>
    </row>
    <row r="134" spans="1:4" ht="16">
      <c r="A134" s="30" t="s">
        <v>385</v>
      </c>
      <c r="B134" s="30" t="s">
        <v>386</v>
      </c>
      <c r="C134" s="30" t="s">
        <v>65</v>
      </c>
      <c r="D134" s="30" t="s">
        <v>66</v>
      </c>
    </row>
    <row r="135" spans="1:4" ht="16">
      <c r="A135" s="30" t="s">
        <v>387</v>
      </c>
      <c r="B135" s="30" t="s">
        <v>388</v>
      </c>
      <c r="C135" s="30" t="s">
        <v>389</v>
      </c>
      <c r="D135" s="30" t="s">
        <v>82</v>
      </c>
    </row>
    <row r="136" spans="1:4" ht="16">
      <c r="A136" s="30" t="s">
        <v>390</v>
      </c>
      <c r="B136" s="30" t="s">
        <v>391</v>
      </c>
      <c r="C136" s="30" t="s">
        <v>61</v>
      </c>
      <c r="D136" s="30" t="s">
        <v>69</v>
      </c>
    </row>
    <row r="137" spans="1:4" ht="16">
      <c r="A137" s="30" t="s">
        <v>392</v>
      </c>
      <c r="B137" s="30" t="s">
        <v>393</v>
      </c>
      <c r="C137" s="30" t="s">
        <v>61</v>
      </c>
      <c r="D137" s="30" t="s">
        <v>232</v>
      </c>
    </row>
    <row r="138" spans="1:4" ht="16">
      <c r="A138" s="30" t="s">
        <v>392</v>
      </c>
      <c r="B138" s="30" t="s">
        <v>393</v>
      </c>
      <c r="C138" s="30" t="s">
        <v>61</v>
      </c>
      <c r="D138" s="30" t="s">
        <v>62</v>
      </c>
    </row>
    <row r="139" spans="1:4" ht="16">
      <c r="A139" s="30" t="s">
        <v>394</v>
      </c>
      <c r="B139" s="30" t="s">
        <v>395</v>
      </c>
      <c r="C139" s="30" t="s">
        <v>61</v>
      </c>
      <c r="D139" s="30" t="s">
        <v>396</v>
      </c>
    </row>
    <row r="140" spans="1:4" ht="16">
      <c r="A140" s="30" t="s">
        <v>394</v>
      </c>
      <c r="B140" s="30" t="s">
        <v>395</v>
      </c>
      <c r="C140" s="30" t="s">
        <v>61</v>
      </c>
      <c r="D140" s="30" t="s">
        <v>160</v>
      </c>
    </row>
    <row r="141" spans="1:4" ht="16">
      <c r="A141" s="30" t="s">
        <v>397</v>
      </c>
      <c r="B141" s="30" t="s">
        <v>398</v>
      </c>
      <c r="C141" s="30" t="s">
        <v>61</v>
      </c>
      <c r="D141" s="30" t="s">
        <v>103</v>
      </c>
    </row>
    <row r="142" spans="1:4" ht="16">
      <c r="A142" s="30" t="s">
        <v>399</v>
      </c>
      <c r="B142" s="30" t="s">
        <v>400</v>
      </c>
      <c r="C142" s="30" t="s">
        <v>401</v>
      </c>
      <c r="D142" s="30" t="s">
        <v>82</v>
      </c>
    </row>
    <row r="143" spans="1:4" ht="16">
      <c r="A143" s="30" t="s">
        <v>402</v>
      </c>
      <c r="B143" s="30" t="s">
        <v>403</v>
      </c>
      <c r="C143" s="30" t="s">
        <v>257</v>
      </c>
      <c r="D143" s="30" t="s">
        <v>157</v>
      </c>
    </row>
    <row r="144" spans="1:4" ht="16">
      <c r="A144" s="30" t="s">
        <v>402</v>
      </c>
      <c r="B144" s="30" t="s">
        <v>403</v>
      </c>
      <c r="C144" s="30" t="s">
        <v>257</v>
      </c>
      <c r="D144" s="30" t="s">
        <v>404</v>
      </c>
    </row>
    <row r="145" spans="1:4" ht="16">
      <c r="A145" s="30" t="s">
        <v>405</v>
      </c>
      <c r="B145" s="30" t="s">
        <v>406</v>
      </c>
      <c r="C145" s="30" t="s">
        <v>141</v>
      </c>
      <c r="D145" s="30" t="s">
        <v>82</v>
      </c>
    </row>
    <row r="146" spans="1:4" ht="16">
      <c r="A146" s="30" t="s">
        <v>407</v>
      </c>
      <c r="B146" s="30" t="s">
        <v>408</v>
      </c>
      <c r="C146" s="30" t="s">
        <v>61</v>
      </c>
      <c r="D146" s="30" t="s">
        <v>232</v>
      </c>
    </row>
    <row r="147" spans="1:4" ht="16">
      <c r="A147" s="30" t="s">
        <v>409</v>
      </c>
      <c r="B147" s="30" t="s">
        <v>410</v>
      </c>
      <c r="C147" s="30" t="s">
        <v>61</v>
      </c>
      <c r="D147" s="30" t="s">
        <v>69</v>
      </c>
    </row>
    <row r="148" spans="1:4" ht="16">
      <c r="A148" s="30" t="s">
        <v>411</v>
      </c>
      <c r="B148" s="30" t="s">
        <v>412</v>
      </c>
      <c r="C148" s="30" t="s">
        <v>257</v>
      </c>
      <c r="D148" s="30" t="s">
        <v>232</v>
      </c>
    </row>
    <row r="149" spans="1:4" ht="16">
      <c r="A149" s="30" t="s">
        <v>413</v>
      </c>
      <c r="B149" s="30" t="s">
        <v>414</v>
      </c>
      <c r="C149" s="30" t="s">
        <v>61</v>
      </c>
      <c r="D149" s="30" t="s">
        <v>160</v>
      </c>
    </row>
    <row r="150" spans="1:4" ht="16">
      <c r="A150" s="30" t="s">
        <v>415</v>
      </c>
      <c r="B150" s="30" t="s">
        <v>416</v>
      </c>
      <c r="C150" s="30" t="s">
        <v>61</v>
      </c>
      <c r="D150" s="30" t="s">
        <v>152</v>
      </c>
    </row>
    <row r="151" spans="1:4" ht="16">
      <c r="A151" s="30" t="s">
        <v>417</v>
      </c>
      <c r="B151" s="30" t="s">
        <v>418</v>
      </c>
      <c r="C151" s="30" t="s">
        <v>124</v>
      </c>
      <c r="D151" s="30" t="s">
        <v>75</v>
      </c>
    </row>
    <row r="152" spans="1:4" ht="16">
      <c r="A152" s="30" t="s">
        <v>419</v>
      </c>
      <c r="B152" s="30" t="s">
        <v>420</v>
      </c>
      <c r="C152" s="30" t="s">
        <v>59</v>
      </c>
      <c r="D152" s="30" t="s">
        <v>82</v>
      </c>
    </row>
    <row r="153" spans="1:4" ht="16">
      <c r="A153" s="30" t="s">
        <v>421</v>
      </c>
      <c r="B153" s="30" t="s">
        <v>422</v>
      </c>
      <c r="C153" s="30" t="s">
        <v>257</v>
      </c>
      <c r="D153" s="30" t="s">
        <v>232</v>
      </c>
    </row>
    <row r="154" spans="1:4" ht="16">
      <c r="A154" s="30" t="s">
        <v>423</v>
      </c>
      <c r="B154" s="30" t="s">
        <v>424</v>
      </c>
      <c r="C154" s="30" t="s">
        <v>61</v>
      </c>
      <c r="D154" s="30" t="s">
        <v>346</v>
      </c>
    </row>
    <row r="155" spans="1:4" ht="16">
      <c r="A155" s="30" t="s">
        <v>425</v>
      </c>
      <c r="B155" s="30" t="s">
        <v>426</v>
      </c>
      <c r="C155" s="30" t="s">
        <v>61</v>
      </c>
      <c r="D155" s="30" t="s">
        <v>103</v>
      </c>
    </row>
    <row r="156" spans="1:4" ht="16">
      <c r="A156" s="30" t="s">
        <v>427</v>
      </c>
      <c r="B156" s="30" t="s">
        <v>428</v>
      </c>
      <c r="C156" s="30" t="s">
        <v>61</v>
      </c>
      <c r="D156" s="30" t="s">
        <v>69</v>
      </c>
    </row>
    <row r="157" spans="1:4" ht="16">
      <c r="A157" s="30" t="s">
        <v>429</v>
      </c>
      <c r="B157" s="30" t="s">
        <v>430</v>
      </c>
      <c r="C157" s="30" t="s">
        <v>59</v>
      </c>
      <c r="D157" s="30" t="s">
        <v>82</v>
      </c>
    </row>
    <row r="158" spans="1:4" ht="16">
      <c r="A158" s="30" t="s">
        <v>431</v>
      </c>
      <c r="B158" s="30" t="s">
        <v>432</v>
      </c>
      <c r="C158" s="30" t="s">
        <v>433</v>
      </c>
      <c r="D158" s="30" t="s">
        <v>305</v>
      </c>
    </row>
    <row r="159" spans="1:4" ht="16">
      <c r="A159" s="30" t="s">
        <v>434</v>
      </c>
      <c r="B159" s="30" t="s">
        <v>435</v>
      </c>
      <c r="C159" s="30" t="s">
        <v>61</v>
      </c>
      <c r="D159" s="30" t="s">
        <v>160</v>
      </c>
    </row>
    <row r="160" spans="1:4" ht="16">
      <c r="A160" s="30" t="s">
        <v>436</v>
      </c>
      <c r="B160" s="30" t="s">
        <v>437</v>
      </c>
      <c r="C160" s="30" t="s">
        <v>61</v>
      </c>
      <c r="D160" s="30" t="s">
        <v>165</v>
      </c>
    </row>
    <row r="161" spans="1:4" ht="16">
      <c r="A161" s="30" t="s">
        <v>438</v>
      </c>
      <c r="B161" s="30" t="s">
        <v>439</v>
      </c>
      <c r="C161" s="30" t="s">
        <v>61</v>
      </c>
      <c r="D161" s="30" t="s">
        <v>440</v>
      </c>
    </row>
    <row r="162" spans="1:4" ht="16">
      <c r="A162" s="30" t="s">
        <v>441</v>
      </c>
      <c r="B162" s="30" t="s">
        <v>442</v>
      </c>
      <c r="C162" s="30" t="s">
        <v>61</v>
      </c>
      <c r="D162" s="30" t="s">
        <v>103</v>
      </c>
    </row>
    <row r="163" spans="1:4" ht="16">
      <c r="A163" s="30" t="s">
        <v>443</v>
      </c>
      <c r="B163" s="30" t="s">
        <v>444</v>
      </c>
      <c r="C163" s="30" t="s">
        <v>85</v>
      </c>
      <c r="D163" s="30" t="s">
        <v>69</v>
      </c>
    </row>
    <row r="164" spans="1:4" ht="16">
      <c r="A164" s="30" t="s">
        <v>445</v>
      </c>
      <c r="B164" s="30" t="s">
        <v>446</v>
      </c>
      <c r="C164" s="30" t="s">
        <v>61</v>
      </c>
      <c r="D164" s="30" t="s">
        <v>232</v>
      </c>
    </row>
    <row r="165" spans="1:4" ht="16">
      <c r="A165" s="30" t="s">
        <v>447</v>
      </c>
      <c r="B165" s="30" t="s">
        <v>448</v>
      </c>
      <c r="C165" s="30" t="s">
        <v>449</v>
      </c>
      <c r="D165" s="30" t="s">
        <v>62</v>
      </c>
    </row>
    <row r="166" spans="1:4" ht="16">
      <c r="A166" s="30" t="s">
        <v>450</v>
      </c>
      <c r="B166" s="30" t="s">
        <v>451</v>
      </c>
      <c r="C166" s="30" t="s">
        <v>452</v>
      </c>
      <c r="D166" s="30" t="s">
        <v>322</v>
      </c>
    </row>
    <row r="167" spans="1:4" ht="16">
      <c r="A167" s="30" t="s">
        <v>453</v>
      </c>
      <c r="B167" s="30" t="s">
        <v>454</v>
      </c>
      <c r="C167" s="30" t="s">
        <v>59</v>
      </c>
      <c r="D167" s="30" t="s">
        <v>82</v>
      </c>
    </row>
    <row r="168" spans="1:4" ht="16">
      <c r="A168" s="30" t="s">
        <v>455</v>
      </c>
      <c r="B168" s="30" t="s">
        <v>456</v>
      </c>
      <c r="C168" s="30" t="s">
        <v>59</v>
      </c>
      <c r="D168" s="30" t="s">
        <v>82</v>
      </c>
    </row>
    <row r="169" spans="1:4" ht="16">
      <c r="A169" s="30" t="s">
        <v>455</v>
      </c>
      <c r="B169" s="30" t="s">
        <v>456</v>
      </c>
      <c r="C169" s="30" t="s">
        <v>61</v>
      </c>
      <c r="D169" s="30" t="s">
        <v>62</v>
      </c>
    </row>
    <row r="170" spans="1:4" ht="16">
      <c r="A170" s="30" t="s">
        <v>457</v>
      </c>
      <c r="B170" s="30" t="s">
        <v>458</v>
      </c>
      <c r="C170" s="30" t="s">
        <v>59</v>
      </c>
      <c r="D170" s="30" t="s">
        <v>82</v>
      </c>
    </row>
    <row r="171" spans="1:4" ht="16">
      <c r="A171" s="30" t="s">
        <v>459</v>
      </c>
      <c r="B171" s="30" t="s">
        <v>460</v>
      </c>
      <c r="C171" s="30" t="s">
        <v>61</v>
      </c>
      <c r="D171" s="30" t="s">
        <v>69</v>
      </c>
    </row>
    <row r="172" spans="1:4" ht="16">
      <c r="A172" s="30" t="s">
        <v>461</v>
      </c>
      <c r="B172" s="30" t="s">
        <v>462</v>
      </c>
      <c r="C172" s="30" t="s">
        <v>65</v>
      </c>
      <c r="D172" s="30" t="s">
        <v>66</v>
      </c>
    </row>
    <row r="173" spans="1:4" ht="16">
      <c r="A173" s="30" t="s">
        <v>463</v>
      </c>
      <c r="B173" s="30" t="s">
        <v>464</v>
      </c>
      <c r="C173" s="30" t="s">
        <v>389</v>
      </c>
      <c r="D173" s="30" t="s">
        <v>148</v>
      </c>
    </row>
    <row r="174" spans="1:4" ht="16">
      <c r="A174" s="30" t="s">
        <v>465</v>
      </c>
      <c r="B174" s="30" t="s">
        <v>466</v>
      </c>
      <c r="C174" s="30" t="s">
        <v>65</v>
      </c>
      <c r="D174" s="30" t="s">
        <v>95</v>
      </c>
    </row>
    <row r="175" spans="1:4" ht="16">
      <c r="A175" s="30" t="s">
        <v>467</v>
      </c>
      <c r="B175" s="30" t="s">
        <v>8</v>
      </c>
      <c r="C175" s="30" t="s">
        <v>468</v>
      </c>
      <c r="D175" s="30" t="s">
        <v>232</v>
      </c>
    </row>
    <row r="176" spans="1:4" ht="16">
      <c r="A176" s="30" t="s">
        <v>469</v>
      </c>
      <c r="B176" s="30" t="s">
        <v>470</v>
      </c>
      <c r="C176" s="30" t="s">
        <v>257</v>
      </c>
      <c r="D176" s="30" t="s">
        <v>160</v>
      </c>
    </row>
    <row r="177" spans="1:4" ht="16">
      <c r="A177" s="30" t="s">
        <v>471</v>
      </c>
      <c r="B177" s="30" t="s">
        <v>472</v>
      </c>
      <c r="C177" s="30" t="s">
        <v>257</v>
      </c>
      <c r="D177" s="30" t="s">
        <v>232</v>
      </c>
    </row>
    <row r="178" spans="1:4" ht="16">
      <c r="A178" s="30" t="s">
        <v>473</v>
      </c>
      <c r="B178" s="30" t="s">
        <v>474</v>
      </c>
      <c r="C178" s="30" t="s">
        <v>124</v>
      </c>
      <c r="D178" s="30" t="s">
        <v>210</v>
      </c>
    </row>
    <row r="179" spans="1:4" ht="16">
      <c r="A179" s="30" t="s">
        <v>475</v>
      </c>
      <c r="B179" s="30" t="s">
        <v>476</v>
      </c>
      <c r="C179" s="30" t="s">
        <v>59</v>
      </c>
      <c r="D179" s="30" t="s">
        <v>82</v>
      </c>
    </row>
    <row r="180" spans="1:4" ht="16">
      <c r="A180" s="30" t="s">
        <v>477</v>
      </c>
      <c r="B180" s="30" t="s">
        <v>478</v>
      </c>
      <c r="C180" s="30" t="s">
        <v>376</v>
      </c>
      <c r="D180" s="30" t="s">
        <v>177</v>
      </c>
    </row>
    <row r="181" spans="1:4" ht="16">
      <c r="A181" s="30" t="s">
        <v>479</v>
      </c>
      <c r="B181" s="30" t="s">
        <v>480</v>
      </c>
      <c r="C181" s="30" t="s">
        <v>65</v>
      </c>
      <c r="D181" s="30" t="s">
        <v>66</v>
      </c>
    </row>
    <row r="182" spans="1:4" ht="16">
      <c r="A182" s="30" t="s">
        <v>481</v>
      </c>
      <c r="B182" s="30" t="s">
        <v>482</v>
      </c>
      <c r="C182" s="30" t="s">
        <v>483</v>
      </c>
      <c r="D182" s="30" t="s">
        <v>300</v>
      </c>
    </row>
    <row r="183" spans="1:4" ht="16">
      <c r="A183" s="30" t="s">
        <v>484</v>
      </c>
      <c r="B183" s="30" t="s">
        <v>485</v>
      </c>
      <c r="C183" s="30" t="s">
        <v>486</v>
      </c>
      <c r="D183" s="30" t="s">
        <v>440</v>
      </c>
    </row>
    <row r="184" spans="1:4" ht="16">
      <c r="A184" s="30" t="s">
        <v>487</v>
      </c>
      <c r="B184" s="30" t="s">
        <v>488</v>
      </c>
      <c r="C184" s="30" t="s">
        <v>287</v>
      </c>
      <c r="D184" s="30" t="s">
        <v>82</v>
      </c>
    </row>
    <row r="185" spans="1:4" ht="16">
      <c r="A185" s="30" t="s">
        <v>489</v>
      </c>
      <c r="B185" s="30" t="s">
        <v>490</v>
      </c>
      <c r="C185" s="30" t="s">
        <v>61</v>
      </c>
      <c r="D185" s="30" t="s">
        <v>491</v>
      </c>
    </row>
    <row r="186" spans="1:4" ht="16">
      <c r="A186" s="30" t="s">
        <v>492</v>
      </c>
      <c r="B186" s="30" t="s">
        <v>493</v>
      </c>
      <c r="C186" s="30" t="s">
        <v>61</v>
      </c>
      <c r="D186" s="30" t="s">
        <v>89</v>
      </c>
    </row>
    <row r="187" spans="1:4" ht="16">
      <c r="A187" s="30" t="s">
        <v>494</v>
      </c>
      <c r="B187" s="30" t="s">
        <v>495</v>
      </c>
      <c r="C187" s="30" t="s">
        <v>61</v>
      </c>
      <c r="D187" s="30" t="s">
        <v>103</v>
      </c>
    </row>
    <row r="188" spans="1:4" ht="16">
      <c r="A188" s="30" t="s">
        <v>496</v>
      </c>
      <c r="B188" s="30" t="s">
        <v>497</v>
      </c>
      <c r="C188" s="30" t="s">
        <v>498</v>
      </c>
      <c r="D188" s="30" t="s">
        <v>232</v>
      </c>
    </row>
    <row r="189" spans="1:4" ht="16">
      <c r="A189" s="30" t="s">
        <v>499</v>
      </c>
      <c r="B189" s="30" t="s">
        <v>500</v>
      </c>
      <c r="C189" s="30" t="s">
        <v>59</v>
      </c>
      <c r="D189" s="30" t="s">
        <v>82</v>
      </c>
    </row>
    <row r="190" spans="1:4" ht="16">
      <c r="A190" s="30" t="s">
        <v>501</v>
      </c>
      <c r="B190" s="30" t="s">
        <v>502</v>
      </c>
      <c r="C190" s="30" t="s">
        <v>141</v>
      </c>
      <c r="D190" s="30" t="s">
        <v>82</v>
      </c>
    </row>
    <row r="191" spans="1:4" ht="16">
      <c r="A191" s="30" t="s">
        <v>503</v>
      </c>
      <c r="B191" s="30" t="s">
        <v>504</v>
      </c>
      <c r="C191" s="30" t="s">
        <v>141</v>
      </c>
      <c r="D191" s="30" t="s">
        <v>82</v>
      </c>
    </row>
    <row r="192" spans="1:4" ht="16">
      <c r="A192" s="30" t="s">
        <v>505</v>
      </c>
      <c r="B192" s="30" t="s">
        <v>506</v>
      </c>
      <c r="C192" s="30" t="s">
        <v>61</v>
      </c>
      <c r="D192" s="30" t="s">
        <v>232</v>
      </c>
    </row>
    <row r="193" spans="1:4" ht="16">
      <c r="A193" s="30" t="s">
        <v>507</v>
      </c>
      <c r="B193" s="30" t="s">
        <v>508</v>
      </c>
      <c r="C193" s="30" t="s">
        <v>81</v>
      </c>
      <c r="D193" s="30" t="s">
        <v>82</v>
      </c>
    </row>
    <row r="194" spans="1:4" ht="16">
      <c r="A194" s="30" t="s">
        <v>509</v>
      </c>
      <c r="B194" s="30" t="s">
        <v>510</v>
      </c>
      <c r="C194" s="30" t="s">
        <v>61</v>
      </c>
      <c r="D194" s="30" t="s">
        <v>322</v>
      </c>
    </row>
    <row r="195" spans="1:4" ht="16">
      <c r="A195" s="30" t="s">
        <v>511</v>
      </c>
      <c r="B195" s="30" t="s">
        <v>512</v>
      </c>
      <c r="C195" s="30" t="s">
        <v>513</v>
      </c>
      <c r="D195" s="30" t="s">
        <v>160</v>
      </c>
    </row>
    <row r="196" spans="1:4" ht="16">
      <c r="A196" s="30" t="s">
        <v>514</v>
      </c>
      <c r="B196" s="30" t="s">
        <v>515</v>
      </c>
      <c r="C196" s="30" t="s">
        <v>516</v>
      </c>
      <c r="D196" s="30" t="s">
        <v>177</v>
      </c>
    </row>
    <row r="197" spans="1:4" ht="16">
      <c r="A197" s="30" t="s">
        <v>517</v>
      </c>
      <c r="B197" s="30" t="s">
        <v>518</v>
      </c>
      <c r="C197" s="30" t="s">
        <v>61</v>
      </c>
      <c r="D197" s="30" t="s">
        <v>69</v>
      </c>
    </row>
    <row r="198" spans="1:4" ht="16">
      <c r="A198" s="30" t="s">
        <v>519</v>
      </c>
      <c r="B198" s="30" t="s">
        <v>520</v>
      </c>
      <c r="C198" s="30" t="s">
        <v>61</v>
      </c>
      <c r="D198" s="30" t="s">
        <v>160</v>
      </c>
    </row>
    <row r="199" spans="1:4" ht="16">
      <c r="A199" s="30" t="s">
        <v>521</v>
      </c>
      <c r="B199" s="30" t="s">
        <v>522</v>
      </c>
      <c r="C199" s="30" t="s">
        <v>59</v>
      </c>
      <c r="D199" s="30" t="s">
        <v>82</v>
      </c>
    </row>
    <row r="200" spans="1:4" ht="16">
      <c r="A200" s="30" t="s">
        <v>523</v>
      </c>
      <c r="B200" s="30" t="s">
        <v>524</v>
      </c>
      <c r="C200" s="30" t="s">
        <v>176</v>
      </c>
      <c r="D200" s="30" t="s">
        <v>171</v>
      </c>
    </row>
    <row r="201" spans="1:4" ht="16">
      <c r="A201" s="30" t="s">
        <v>525</v>
      </c>
      <c r="B201" s="30" t="s">
        <v>526</v>
      </c>
      <c r="C201" s="30" t="s">
        <v>61</v>
      </c>
      <c r="D201" s="30" t="s">
        <v>69</v>
      </c>
    </row>
    <row r="202" spans="1:4" ht="16">
      <c r="A202" s="30" t="s">
        <v>527</v>
      </c>
      <c r="B202" s="30" t="s">
        <v>528</v>
      </c>
      <c r="C202" s="30" t="s">
        <v>61</v>
      </c>
      <c r="D202" s="30" t="s">
        <v>232</v>
      </c>
    </row>
    <row r="203" spans="1:4" ht="16">
      <c r="A203" s="30" t="s">
        <v>527</v>
      </c>
      <c r="B203" s="30" t="s">
        <v>528</v>
      </c>
      <c r="C203" s="30" t="s">
        <v>61</v>
      </c>
      <c r="D203" s="30" t="s">
        <v>62</v>
      </c>
    </row>
    <row r="204" spans="1:4" ht="16">
      <c r="A204" s="30" t="s">
        <v>529</v>
      </c>
      <c r="B204" s="30" t="s">
        <v>530</v>
      </c>
      <c r="C204" s="30" t="s">
        <v>65</v>
      </c>
      <c r="D204" s="30" t="s">
        <v>78</v>
      </c>
    </row>
    <row r="205" spans="1:4" ht="16">
      <c r="A205" s="30" t="s">
        <v>531</v>
      </c>
      <c r="B205" s="30" t="s">
        <v>532</v>
      </c>
      <c r="C205" s="30" t="s">
        <v>61</v>
      </c>
      <c r="D205" s="30" t="s">
        <v>103</v>
      </c>
    </row>
    <row r="206" spans="1:4" ht="16">
      <c r="A206" s="30" t="s">
        <v>533</v>
      </c>
      <c r="B206" s="30" t="s">
        <v>534</v>
      </c>
      <c r="C206" s="30" t="s">
        <v>516</v>
      </c>
      <c r="D206" s="30" t="s">
        <v>171</v>
      </c>
    </row>
    <row r="207" spans="1:4" ht="16">
      <c r="A207" s="30" t="s">
        <v>535</v>
      </c>
      <c r="B207" s="30" t="s">
        <v>536</v>
      </c>
      <c r="C207" s="30" t="s">
        <v>257</v>
      </c>
      <c r="D207" s="30" t="s">
        <v>232</v>
      </c>
    </row>
    <row r="208" spans="1:4" ht="16">
      <c r="A208" s="30" t="s">
        <v>537</v>
      </c>
      <c r="B208" s="30" t="s">
        <v>538</v>
      </c>
      <c r="C208" s="30" t="s">
        <v>257</v>
      </c>
      <c r="D208" s="30" t="s">
        <v>160</v>
      </c>
    </row>
    <row r="209" spans="1:4" ht="16">
      <c r="A209" s="30" t="s">
        <v>539</v>
      </c>
      <c r="B209" s="30" t="s">
        <v>540</v>
      </c>
      <c r="C209" s="30" t="s">
        <v>61</v>
      </c>
      <c r="D209" s="30" t="s">
        <v>69</v>
      </c>
    </row>
    <row r="210" spans="1:4" ht="16">
      <c r="A210" s="30" t="s">
        <v>541</v>
      </c>
      <c r="B210" s="30" t="s">
        <v>542</v>
      </c>
      <c r="C210" s="30" t="s">
        <v>543</v>
      </c>
      <c r="D210" s="30" t="s">
        <v>544</v>
      </c>
    </row>
    <row r="211" spans="1:4" ht="16">
      <c r="A211" s="30" t="s">
        <v>545</v>
      </c>
      <c r="B211" s="30" t="s">
        <v>546</v>
      </c>
      <c r="C211" s="30" t="s">
        <v>452</v>
      </c>
      <c r="D211" s="30" t="s">
        <v>82</v>
      </c>
    </row>
    <row r="212" spans="1:4" ht="16">
      <c r="A212" s="30" t="s">
        <v>547</v>
      </c>
      <c r="B212" s="30" t="s">
        <v>548</v>
      </c>
      <c r="C212" s="30" t="s">
        <v>61</v>
      </c>
      <c r="D212" s="30" t="s">
        <v>341</v>
      </c>
    </row>
    <row r="213" spans="1:4" ht="16">
      <c r="A213" s="30" t="s">
        <v>549</v>
      </c>
      <c r="B213" s="30" t="s">
        <v>550</v>
      </c>
      <c r="C213" s="30" t="s">
        <v>252</v>
      </c>
      <c r="D213" s="30" t="s">
        <v>171</v>
      </c>
    </row>
    <row r="214" spans="1:4" ht="16">
      <c r="A214" s="30" t="s">
        <v>551</v>
      </c>
      <c r="B214" s="30" t="s">
        <v>552</v>
      </c>
      <c r="C214" s="30" t="s">
        <v>61</v>
      </c>
      <c r="D214" s="30" t="s">
        <v>260</v>
      </c>
    </row>
    <row r="215" spans="1:4" ht="16">
      <c r="A215" s="30" t="s">
        <v>553</v>
      </c>
      <c r="B215" s="30" t="s">
        <v>554</v>
      </c>
      <c r="C215" s="30" t="s">
        <v>433</v>
      </c>
      <c r="D215" s="30" t="s">
        <v>103</v>
      </c>
    </row>
    <row r="216" spans="1:4" ht="16">
      <c r="A216" s="30" t="s">
        <v>555</v>
      </c>
      <c r="B216" s="30" t="s">
        <v>556</v>
      </c>
      <c r="C216" s="30" t="s">
        <v>61</v>
      </c>
      <c r="D216" s="30" t="s">
        <v>557</v>
      </c>
    </row>
    <row r="217" spans="1:4" ht="16">
      <c r="A217" s="30" t="s">
        <v>558</v>
      </c>
      <c r="B217" s="30" t="s">
        <v>559</v>
      </c>
      <c r="C217" s="30" t="s">
        <v>61</v>
      </c>
      <c r="D217" s="30" t="s">
        <v>78</v>
      </c>
    </row>
    <row r="218" spans="1:4" ht="16">
      <c r="A218" s="30" t="s">
        <v>560</v>
      </c>
      <c r="B218" s="30" t="s">
        <v>561</v>
      </c>
      <c r="C218" s="30" t="s">
        <v>61</v>
      </c>
      <c r="D218" s="30" t="s">
        <v>562</v>
      </c>
    </row>
    <row r="219" spans="1:4" ht="16">
      <c r="A219" s="30" t="s">
        <v>563</v>
      </c>
      <c r="B219" s="30" t="s">
        <v>564</v>
      </c>
      <c r="C219" s="30" t="s">
        <v>61</v>
      </c>
      <c r="D219" s="30" t="s">
        <v>103</v>
      </c>
    </row>
    <row r="220" spans="1:4" ht="16">
      <c r="A220" s="30" t="s">
        <v>565</v>
      </c>
      <c r="B220" s="30" t="s">
        <v>566</v>
      </c>
      <c r="C220" s="30" t="s">
        <v>257</v>
      </c>
      <c r="D220" s="30" t="s">
        <v>232</v>
      </c>
    </row>
    <row r="221" spans="1:4" ht="16">
      <c r="A221" s="30" t="s">
        <v>567</v>
      </c>
      <c r="B221" s="30" t="s">
        <v>568</v>
      </c>
      <c r="C221" s="30" t="s">
        <v>141</v>
      </c>
      <c r="D221" s="30" t="s">
        <v>82</v>
      </c>
    </row>
    <row r="222" spans="1:4" ht="16">
      <c r="A222" s="30" t="s">
        <v>569</v>
      </c>
      <c r="B222" s="30" t="s">
        <v>570</v>
      </c>
      <c r="C222" s="30" t="s">
        <v>59</v>
      </c>
      <c r="D222" s="30" t="s">
        <v>82</v>
      </c>
    </row>
    <row r="223" spans="1:4" ht="16">
      <c r="A223" s="30" t="s">
        <v>571</v>
      </c>
      <c r="B223" s="30" t="s">
        <v>572</v>
      </c>
      <c r="C223" s="30" t="s">
        <v>141</v>
      </c>
      <c r="D223" s="30" t="s">
        <v>82</v>
      </c>
    </row>
    <row r="224" spans="1:4" ht="16">
      <c r="A224" s="30" t="s">
        <v>573</v>
      </c>
      <c r="B224" s="30" t="s">
        <v>574</v>
      </c>
      <c r="C224" s="30" t="s">
        <v>433</v>
      </c>
      <c r="D224" s="30" t="s">
        <v>575</v>
      </c>
    </row>
    <row r="225" spans="1:4" ht="16">
      <c r="A225" s="30" t="s">
        <v>576</v>
      </c>
      <c r="B225" s="30" t="s">
        <v>577</v>
      </c>
      <c r="C225" s="30" t="s">
        <v>141</v>
      </c>
      <c r="D225" s="30" t="s">
        <v>82</v>
      </c>
    </row>
    <row r="226" spans="1:4" ht="16">
      <c r="A226" s="30" t="s">
        <v>578</v>
      </c>
      <c r="B226" s="30" t="s">
        <v>579</v>
      </c>
      <c r="C226" s="30" t="s">
        <v>61</v>
      </c>
      <c r="D226" s="30" t="s">
        <v>232</v>
      </c>
    </row>
    <row r="227" spans="1:4" ht="16">
      <c r="A227" s="30" t="s">
        <v>580</v>
      </c>
      <c r="B227" s="30" t="s">
        <v>581</v>
      </c>
      <c r="C227" s="30" t="s">
        <v>582</v>
      </c>
      <c r="D227" s="30" t="s">
        <v>69</v>
      </c>
    </row>
    <row r="228" spans="1:4" ht="16">
      <c r="A228" s="30" t="s">
        <v>583</v>
      </c>
      <c r="B228" s="30" t="s">
        <v>584</v>
      </c>
      <c r="C228" s="30" t="s">
        <v>452</v>
      </c>
      <c r="D228" s="30" t="s">
        <v>160</v>
      </c>
    </row>
    <row r="229" spans="1:4" ht="16">
      <c r="A229" s="30" t="s">
        <v>585</v>
      </c>
      <c r="B229" s="30" t="s">
        <v>586</v>
      </c>
      <c r="C229" s="30" t="s">
        <v>257</v>
      </c>
      <c r="D229" s="30" t="s">
        <v>232</v>
      </c>
    </row>
    <row r="230" spans="1:4" ht="16">
      <c r="A230" s="30" t="s">
        <v>587</v>
      </c>
      <c r="B230" s="30" t="s">
        <v>588</v>
      </c>
      <c r="C230" s="30" t="s">
        <v>61</v>
      </c>
      <c r="D230" s="30" t="s">
        <v>280</v>
      </c>
    </row>
    <row r="231" spans="1:4" ht="16">
      <c r="A231" s="30" t="s">
        <v>589</v>
      </c>
      <c r="B231" s="30" t="s">
        <v>590</v>
      </c>
      <c r="C231" s="30" t="s">
        <v>65</v>
      </c>
      <c r="D231" s="30" t="s">
        <v>66</v>
      </c>
    </row>
    <row r="232" spans="1:4" ht="16">
      <c r="A232" s="30" t="s">
        <v>591</v>
      </c>
      <c r="B232" s="30" t="s">
        <v>592</v>
      </c>
      <c r="C232" s="30" t="s">
        <v>257</v>
      </c>
      <c r="D232" s="30" t="s">
        <v>232</v>
      </c>
    </row>
    <row r="233" spans="1:4" ht="16">
      <c r="A233" s="30" t="s">
        <v>593</v>
      </c>
      <c r="B233" s="30" t="s">
        <v>594</v>
      </c>
      <c r="C233" s="30" t="s">
        <v>61</v>
      </c>
      <c r="D233" s="30" t="s">
        <v>595</v>
      </c>
    </row>
    <row r="234" spans="1:4" ht="16">
      <c r="A234" s="30" t="s">
        <v>596</v>
      </c>
      <c r="B234" s="30" t="s">
        <v>597</v>
      </c>
      <c r="C234" s="30" t="s">
        <v>61</v>
      </c>
      <c r="D234" s="30" t="s">
        <v>69</v>
      </c>
    </row>
    <row r="235" spans="1:4" ht="16">
      <c r="A235" s="30" t="s">
        <v>598</v>
      </c>
      <c r="B235" s="30" t="s">
        <v>599</v>
      </c>
      <c r="C235" s="30" t="s">
        <v>61</v>
      </c>
      <c r="D235" s="30" t="s">
        <v>103</v>
      </c>
    </row>
    <row r="236" spans="1:4" ht="16">
      <c r="A236" s="30" t="s">
        <v>600</v>
      </c>
      <c r="B236" s="30" t="s">
        <v>601</v>
      </c>
      <c r="C236" s="30" t="s">
        <v>61</v>
      </c>
      <c r="D236" s="30" t="s">
        <v>69</v>
      </c>
    </row>
    <row r="237" spans="1:4" ht="16">
      <c r="A237" s="30" t="s">
        <v>602</v>
      </c>
      <c r="B237" s="30" t="s">
        <v>603</v>
      </c>
      <c r="C237" s="30" t="s">
        <v>604</v>
      </c>
      <c r="D237" s="30" t="s">
        <v>605</v>
      </c>
    </row>
    <row r="238" spans="1:4" ht="16">
      <c r="A238" s="30" t="s">
        <v>606</v>
      </c>
      <c r="B238" s="30" t="s">
        <v>607</v>
      </c>
      <c r="C238" s="30" t="s">
        <v>608</v>
      </c>
      <c r="D238" s="30" t="s">
        <v>82</v>
      </c>
    </row>
    <row r="239" spans="1:4" ht="16">
      <c r="A239" s="30" t="s">
        <v>609</v>
      </c>
      <c r="B239" s="30" t="s">
        <v>610</v>
      </c>
      <c r="C239" s="30" t="s">
        <v>65</v>
      </c>
      <c r="D239" s="30" t="s">
        <v>66</v>
      </c>
    </row>
    <row r="240" spans="1:4" ht="16">
      <c r="A240" s="30" t="s">
        <v>611</v>
      </c>
      <c r="B240" s="30" t="s">
        <v>612</v>
      </c>
      <c r="C240" s="30" t="s">
        <v>59</v>
      </c>
      <c r="D240" s="30" t="s">
        <v>82</v>
      </c>
    </row>
    <row r="241" spans="1:4" ht="16">
      <c r="A241" s="30" t="s">
        <v>613</v>
      </c>
      <c r="B241" s="30" t="s">
        <v>614</v>
      </c>
      <c r="C241" s="30" t="s">
        <v>61</v>
      </c>
      <c r="D241" s="30" t="s">
        <v>62</v>
      </c>
    </row>
    <row r="242" spans="1:4" ht="16">
      <c r="A242" s="30" t="s">
        <v>615</v>
      </c>
      <c r="B242" s="30" t="s">
        <v>616</v>
      </c>
      <c r="C242" s="30" t="s">
        <v>59</v>
      </c>
      <c r="D242" s="30" t="s">
        <v>82</v>
      </c>
    </row>
    <row r="243" spans="1:4" ht="16">
      <c r="A243" s="30" t="s">
        <v>617</v>
      </c>
      <c r="B243" s="30" t="s">
        <v>618</v>
      </c>
      <c r="C243" s="30" t="s">
        <v>619</v>
      </c>
      <c r="D243" s="30" t="s">
        <v>75</v>
      </c>
    </row>
    <row r="244" spans="1:4" ht="16">
      <c r="A244" s="30" t="s">
        <v>620</v>
      </c>
      <c r="B244" s="30" t="s">
        <v>621</v>
      </c>
      <c r="C244" s="30" t="s">
        <v>622</v>
      </c>
      <c r="D244" s="30" t="s">
        <v>305</v>
      </c>
    </row>
    <row r="245" spans="1:4" ht="16">
      <c r="A245" s="30" t="s">
        <v>623</v>
      </c>
      <c r="B245" s="30" t="s">
        <v>624</v>
      </c>
      <c r="C245" s="30" t="s">
        <v>61</v>
      </c>
      <c r="D245" s="30" t="s">
        <v>152</v>
      </c>
    </row>
    <row r="246" spans="1:4" ht="16">
      <c r="A246" s="30" t="s">
        <v>625</v>
      </c>
      <c r="B246" s="30" t="s">
        <v>626</v>
      </c>
      <c r="C246" s="30" t="s">
        <v>65</v>
      </c>
      <c r="D246" s="30" t="s">
        <v>69</v>
      </c>
    </row>
    <row r="247" spans="1:4" ht="16">
      <c r="A247" s="30" t="s">
        <v>627</v>
      </c>
      <c r="B247" s="30" t="s">
        <v>628</v>
      </c>
      <c r="C247" s="30" t="s">
        <v>61</v>
      </c>
      <c r="D247" s="30" t="s">
        <v>131</v>
      </c>
    </row>
    <row r="248" spans="1:4" ht="16">
      <c r="A248" s="30" t="s">
        <v>629</v>
      </c>
      <c r="B248" s="30" t="s">
        <v>630</v>
      </c>
      <c r="C248" s="30" t="s">
        <v>61</v>
      </c>
      <c r="D248" s="30" t="s">
        <v>357</v>
      </c>
    </row>
    <row r="249" spans="1:4" ht="16">
      <c r="A249" s="30" t="s">
        <v>631</v>
      </c>
      <c r="B249" s="30" t="s">
        <v>632</v>
      </c>
      <c r="C249" s="30" t="s">
        <v>134</v>
      </c>
      <c r="D249" s="30" t="s">
        <v>82</v>
      </c>
    </row>
    <row r="250" spans="1:4" ht="16">
      <c r="A250" s="30" t="s">
        <v>633</v>
      </c>
      <c r="B250" s="30" t="s">
        <v>634</v>
      </c>
      <c r="C250" s="30" t="s">
        <v>124</v>
      </c>
      <c r="D250" s="30" t="s">
        <v>75</v>
      </c>
    </row>
    <row r="251" spans="1:4" ht="16">
      <c r="A251" s="30" t="s">
        <v>635</v>
      </c>
      <c r="B251" s="30" t="s">
        <v>636</v>
      </c>
      <c r="C251" s="30" t="s">
        <v>61</v>
      </c>
      <c r="D251" s="30" t="s">
        <v>103</v>
      </c>
    </row>
    <row r="252" spans="1:4" ht="16">
      <c r="A252" s="30" t="s">
        <v>637</v>
      </c>
      <c r="B252" s="30" t="s">
        <v>638</v>
      </c>
      <c r="C252" s="30" t="s">
        <v>59</v>
      </c>
      <c r="D252" s="30" t="s">
        <v>82</v>
      </c>
    </row>
    <row r="253" spans="1:4" ht="16">
      <c r="A253" s="30" t="s">
        <v>639</v>
      </c>
      <c r="B253" s="30" t="s">
        <v>640</v>
      </c>
      <c r="C253" s="30" t="s">
        <v>61</v>
      </c>
      <c r="D253" s="30" t="s">
        <v>160</v>
      </c>
    </row>
    <row r="254" spans="1:4" ht="16">
      <c r="A254" s="30" t="s">
        <v>641</v>
      </c>
      <c r="B254" s="30" t="s">
        <v>642</v>
      </c>
      <c r="C254" s="30" t="s">
        <v>643</v>
      </c>
      <c r="D254" s="30" t="s">
        <v>177</v>
      </c>
    </row>
    <row r="255" spans="1:4" ht="16">
      <c r="A255" s="30" t="s">
        <v>644</v>
      </c>
      <c r="B255" s="30" t="s">
        <v>645</v>
      </c>
      <c r="C255" s="30" t="s">
        <v>141</v>
      </c>
      <c r="D255" s="30" t="s">
        <v>82</v>
      </c>
    </row>
    <row r="256" spans="1:4" ht="16">
      <c r="A256" s="30" t="s">
        <v>646</v>
      </c>
      <c r="B256" s="30" t="s">
        <v>647</v>
      </c>
      <c r="C256" s="30" t="s">
        <v>176</v>
      </c>
      <c r="D256" s="30" t="s">
        <v>648</v>
      </c>
    </row>
    <row r="257" spans="1:4" ht="16">
      <c r="A257" s="30" t="s">
        <v>649</v>
      </c>
      <c r="B257" s="30" t="s">
        <v>650</v>
      </c>
      <c r="C257" s="30" t="s">
        <v>651</v>
      </c>
      <c r="D257" s="30" t="s">
        <v>232</v>
      </c>
    </row>
    <row r="258" spans="1:4" ht="16">
      <c r="A258" s="30" t="s">
        <v>652</v>
      </c>
      <c r="B258" s="30" t="s">
        <v>653</v>
      </c>
      <c r="C258" s="30" t="s">
        <v>61</v>
      </c>
      <c r="D258" s="30" t="s">
        <v>562</v>
      </c>
    </row>
    <row r="259" spans="1:4" ht="16">
      <c r="A259" s="30" t="s">
        <v>654</v>
      </c>
      <c r="B259" s="30" t="s">
        <v>655</v>
      </c>
      <c r="C259" s="30" t="s">
        <v>134</v>
      </c>
      <c r="D259" s="30" t="s">
        <v>171</v>
      </c>
    </row>
    <row r="260" spans="1:4" ht="16">
      <c r="A260" s="30" t="s">
        <v>656</v>
      </c>
      <c r="B260" s="30" t="s">
        <v>657</v>
      </c>
      <c r="C260" s="30" t="s">
        <v>61</v>
      </c>
      <c r="D260" s="30" t="s">
        <v>152</v>
      </c>
    </row>
    <row r="261" spans="1:4" ht="16">
      <c r="A261" s="30" t="s">
        <v>658</v>
      </c>
      <c r="B261" s="30" t="s">
        <v>659</v>
      </c>
      <c r="C261" s="30" t="s">
        <v>61</v>
      </c>
      <c r="D261" s="30" t="s">
        <v>103</v>
      </c>
    </row>
    <row r="262" spans="1:4" ht="16">
      <c r="A262" s="30" t="s">
        <v>660</v>
      </c>
      <c r="B262" s="30" t="s">
        <v>661</v>
      </c>
      <c r="C262" s="30" t="s">
        <v>124</v>
      </c>
      <c r="D262" s="30" t="s">
        <v>75</v>
      </c>
    </row>
    <row r="263" spans="1:4" ht="16">
      <c r="A263" s="30" t="s">
        <v>662</v>
      </c>
      <c r="B263" s="30" t="s">
        <v>663</v>
      </c>
      <c r="C263" s="30" t="s">
        <v>61</v>
      </c>
      <c r="D263" s="30" t="s">
        <v>160</v>
      </c>
    </row>
    <row r="264" spans="1:4" ht="16">
      <c r="A264" s="30" t="s">
        <v>664</v>
      </c>
      <c r="B264" s="30" t="s">
        <v>665</v>
      </c>
      <c r="C264" s="30" t="s">
        <v>61</v>
      </c>
      <c r="D264" s="30" t="s">
        <v>78</v>
      </c>
    </row>
    <row r="265" spans="1:4" ht="16">
      <c r="A265" s="30" t="s">
        <v>666</v>
      </c>
      <c r="B265" s="30" t="s">
        <v>667</v>
      </c>
      <c r="C265" s="30" t="s">
        <v>59</v>
      </c>
      <c r="D265" s="30" t="s">
        <v>82</v>
      </c>
    </row>
    <row r="266" spans="1:4" ht="16">
      <c r="A266" s="30" t="s">
        <v>668</v>
      </c>
      <c r="B266" s="30" t="s">
        <v>15</v>
      </c>
      <c r="C266" s="30" t="s">
        <v>468</v>
      </c>
      <c r="D266" s="30" t="s">
        <v>605</v>
      </c>
    </row>
    <row r="267" spans="1:4" ht="16">
      <c r="A267" s="30" t="s">
        <v>669</v>
      </c>
      <c r="B267" s="30" t="s">
        <v>670</v>
      </c>
      <c r="C267" s="30" t="s">
        <v>61</v>
      </c>
      <c r="D267" s="30" t="s">
        <v>103</v>
      </c>
    </row>
    <row r="268" spans="1:4" ht="16">
      <c r="A268" s="30" t="s">
        <v>671</v>
      </c>
      <c r="B268" s="30" t="s">
        <v>672</v>
      </c>
      <c r="C268" s="30" t="s">
        <v>85</v>
      </c>
      <c r="D268" s="30" t="s">
        <v>305</v>
      </c>
    </row>
    <row r="269" spans="1:4" ht="16">
      <c r="A269" s="30" t="s">
        <v>673</v>
      </c>
      <c r="B269" s="30" t="s">
        <v>674</v>
      </c>
      <c r="C269" s="30" t="s">
        <v>141</v>
      </c>
      <c r="D269" s="30" t="s">
        <v>82</v>
      </c>
    </row>
    <row r="270" spans="1:4" ht="16">
      <c r="A270" s="30" t="s">
        <v>675</v>
      </c>
      <c r="B270" s="30" t="s">
        <v>676</v>
      </c>
      <c r="C270" s="30" t="s">
        <v>677</v>
      </c>
      <c r="D270" s="30" t="s">
        <v>160</v>
      </c>
    </row>
    <row r="271" spans="1:4" ht="16">
      <c r="A271" s="30" t="s">
        <v>678</v>
      </c>
      <c r="B271" s="30" t="s">
        <v>679</v>
      </c>
      <c r="C271" s="30" t="s">
        <v>61</v>
      </c>
      <c r="D271" s="30" t="s">
        <v>294</v>
      </c>
    </row>
    <row r="272" spans="1:4" ht="16">
      <c r="A272" s="30" t="s">
        <v>680</v>
      </c>
      <c r="B272" s="30" t="s">
        <v>681</v>
      </c>
      <c r="C272" s="30" t="s">
        <v>81</v>
      </c>
      <c r="D272" s="30" t="s">
        <v>82</v>
      </c>
    </row>
    <row r="273" spans="1:4" ht="16">
      <c r="A273" s="30" t="s">
        <v>682</v>
      </c>
      <c r="B273" s="30" t="s">
        <v>683</v>
      </c>
      <c r="C273" s="30" t="s">
        <v>61</v>
      </c>
      <c r="D273" s="30" t="s">
        <v>232</v>
      </c>
    </row>
    <row r="274" spans="1:4" ht="16">
      <c r="A274" s="30" t="s">
        <v>684</v>
      </c>
      <c r="B274" s="30" t="s">
        <v>685</v>
      </c>
      <c r="C274" s="30" t="s">
        <v>61</v>
      </c>
      <c r="D274" s="30" t="s">
        <v>686</v>
      </c>
    </row>
    <row r="275" spans="1:4" ht="16">
      <c r="A275" s="30" t="s">
        <v>687</v>
      </c>
      <c r="B275" s="30" t="s">
        <v>688</v>
      </c>
      <c r="C275" s="30" t="s">
        <v>124</v>
      </c>
      <c r="D275" s="30" t="s">
        <v>69</v>
      </c>
    </row>
    <row r="276" spans="1:4" ht="16">
      <c r="A276" s="30" t="s">
        <v>689</v>
      </c>
      <c r="B276" s="30" t="s">
        <v>690</v>
      </c>
      <c r="C276" s="30" t="s">
        <v>85</v>
      </c>
      <c r="D276" s="30" t="s">
        <v>69</v>
      </c>
    </row>
    <row r="277" spans="1:4" ht="16">
      <c r="A277" s="30" t="s">
        <v>691</v>
      </c>
      <c r="B277" s="30" t="s">
        <v>692</v>
      </c>
      <c r="C277" s="30" t="s">
        <v>61</v>
      </c>
      <c r="D277" s="30" t="s">
        <v>160</v>
      </c>
    </row>
    <row r="278" spans="1:4" ht="16">
      <c r="A278" s="30" t="s">
        <v>693</v>
      </c>
      <c r="B278" s="30" t="s">
        <v>694</v>
      </c>
      <c r="C278" s="30" t="s">
        <v>61</v>
      </c>
      <c r="D278" s="30" t="s">
        <v>160</v>
      </c>
    </row>
    <row r="279" spans="1:4" ht="16">
      <c r="A279" s="30" t="s">
        <v>695</v>
      </c>
      <c r="B279" s="30" t="s">
        <v>696</v>
      </c>
      <c r="C279" s="30" t="s">
        <v>61</v>
      </c>
      <c r="D279" s="30" t="s">
        <v>103</v>
      </c>
    </row>
    <row r="280" spans="1:4" ht="16">
      <c r="A280" s="30" t="s">
        <v>697</v>
      </c>
      <c r="B280" s="30" t="s">
        <v>698</v>
      </c>
      <c r="C280" s="30" t="s">
        <v>61</v>
      </c>
      <c r="D280" s="30" t="s">
        <v>346</v>
      </c>
    </row>
    <row r="281" spans="1:4" ht="16">
      <c r="A281" s="30" t="s">
        <v>699</v>
      </c>
      <c r="B281" s="30" t="s">
        <v>700</v>
      </c>
      <c r="C281" s="30" t="s">
        <v>604</v>
      </c>
      <c r="D281" s="30" t="s">
        <v>701</v>
      </c>
    </row>
    <row r="282" spans="1:4" ht="16">
      <c r="A282" s="30" t="s">
        <v>702</v>
      </c>
      <c r="B282" s="30" t="s">
        <v>703</v>
      </c>
      <c r="C282" s="30" t="s">
        <v>61</v>
      </c>
      <c r="D282" s="30" t="s">
        <v>280</v>
      </c>
    </row>
    <row r="283" spans="1:4" ht="16">
      <c r="A283" s="30" t="s">
        <v>704</v>
      </c>
      <c r="B283" s="30" t="s">
        <v>705</v>
      </c>
      <c r="C283" s="30" t="s">
        <v>376</v>
      </c>
      <c r="D283" s="30" t="s">
        <v>177</v>
      </c>
    </row>
    <row r="284" spans="1:4" ht="16">
      <c r="A284" s="30" t="s">
        <v>706</v>
      </c>
      <c r="B284" s="30" t="s">
        <v>707</v>
      </c>
      <c r="C284" s="30" t="s">
        <v>59</v>
      </c>
      <c r="D284" s="30" t="s">
        <v>82</v>
      </c>
    </row>
    <row r="285" spans="1:4" ht="16">
      <c r="A285" s="30" t="s">
        <v>708</v>
      </c>
      <c r="B285" s="30" t="s">
        <v>709</v>
      </c>
      <c r="C285" s="30" t="s">
        <v>176</v>
      </c>
      <c r="D285" s="30" t="s">
        <v>160</v>
      </c>
    </row>
    <row r="286" spans="1:4" ht="16">
      <c r="A286" s="30" t="s">
        <v>710</v>
      </c>
      <c r="B286" s="30" t="s">
        <v>711</v>
      </c>
      <c r="C286" s="30" t="s">
        <v>61</v>
      </c>
      <c r="D286" s="30" t="s">
        <v>160</v>
      </c>
    </row>
    <row r="287" spans="1:4" ht="16">
      <c r="A287" s="30" t="s">
        <v>712</v>
      </c>
      <c r="B287" s="30" t="s">
        <v>713</v>
      </c>
      <c r="C287" s="30" t="s">
        <v>65</v>
      </c>
      <c r="D287" s="30" t="s">
        <v>69</v>
      </c>
    </row>
    <row r="288" spans="1:4" ht="16">
      <c r="A288" s="30" t="s">
        <v>714</v>
      </c>
      <c r="B288" s="30" t="s">
        <v>715</v>
      </c>
      <c r="C288" s="30" t="s">
        <v>59</v>
      </c>
      <c r="D288" s="30" t="s">
        <v>82</v>
      </c>
    </row>
    <row r="289" spans="1:4" ht="16">
      <c r="A289" s="30" t="s">
        <v>716</v>
      </c>
      <c r="B289" s="30" t="s">
        <v>717</v>
      </c>
      <c r="C289" s="30" t="s">
        <v>61</v>
      </c>
      <c r="D289" s="30" t="s">
        <v>232</v>
      </c>
    </row>
    <row r="290" spans="1:4" ht="16">
      <c r="A290" s="30" t="s">
        <v>718</v>
      </c>
      <c r="B290" s="30" t="s">
        <v>719</v>
      </c>
      <c r="C290" s="30" t="s">
        <v>720</v>
      </c>
      <c r="D290" s="30" t="s">
        <v>300</v>
      </c>
    </row>
    <row r="291" spans="1:4" ht="16">
      <c r="A291" s="30" t="s">
        <v>721</v>
      </c>
      <c r="B291" s="30" t="s">
        <v>722</v>
      </c>
      <c r="C291" s="30" t="s">
        <v>61</v>
      </c>
      <c r="D291" s="30" t="s">
        <v>294</v>
      </c>
    </row>
    <row r="292" spans="1:4" ht="16">
      <c r="A292" s="30" t="s">
        <v>723</v>
      </c>
      <c r="B292" s="30" t="s">
        <v>724</v>
      </c>
      <c r="C292" s="30" t="s">
        <v>257</v>
      </c>
      <c r="D292" s="30" t="s">
        <v>232</v>
      </c>
    </row>
    <row r="293" spans="1:4" ht="16">
      <c r="A293" s="30" t="s">
        <v>725</v>
      </c>
      <c r="B293" s="30" t="s">
        <v>726</v>
      </c>
      <c r="C293" s="30" t="s">
        <v>59</v>
      </c>
      <c r="D293" s="30" t="s">
        <v>82</v>
      </c>
    </row>
    <row r="294" spans="1:4" ht="16">
      <c r="A294" s="30" t="s">
        <v>725</v>
      </c>
      <c r="B294" s="30" t="s">
        <v>726</v>
      </c>
      <c r="C294" s="30" t="s">
        <v>61</v>
      </c>
      <c r="D294" s="30" t="s">
        <v>62</v>
      </c>
    </row>
    <row r="295" spans="1:4" ht="16">
      <c r="A295" s="30" t="s">
        <v>727</v>
      </c>
      <c r="B295" s="30" t="s">
        <v>728</v>
      </c>
      <c r="C295" s="30" t="s">
        <v>124</v>
      </c>
      <c r="D295" s="30" t="s">
        <v>75</v>
      </c>
    </row>
    <row r="296" spans="1:4" ht="16">
      <c r="A296" s="30" t="s">
        <v>729</v>
      </c>
      <c r="B296" s="30" t="s">
        <v>730</v>
      </c>
      <c r="C296" s="30" t="s">
        <v>59</v>
      </c>
      <c r="D296" s="30" t="s">
        <v>82</v>
      </c>
    </row>
    <row r="297" spans="1:4" ht="16">
      <c r="A297" s="30" t="s">
        <v>731</v>
      </c>
      <c r="B297" s="30" t="s">
        <v>732</v>
      </c>
      <c r="C297" s="30" t="s">
        <v>65</v>
      </c>
      <c r="D297" s="30" t="s">
        <v>66</v>
      </c>
    </row>
    <row r="298" spans="1:4" ht="16">
      <c r="A298" s="30" t="s">
        <v>733</v>
      </c>
      <c r="B298" s="30" t="s">
        <v>734</v>
      </c>
      <c r="C298" s="30" t="s">
        <v>59</v>
      </c>
      <c r="D298" s="30" t="s">
        <v>82</v>
      </c>
    </row>
    <row r="299" spans="1:4" ht="16">
      <c r="A299" s="30" t="s">
        <v>735</v>
      </c>
      <c r="B299" s="30" t="s">
        <v>736</v>
      </c>
      <c r="C299" s="30" t="s">
        <v>134</v>
      </c>
      <c r="D299" s="30" t="s">
        <v>92</v>
      </c>
    </row>
    <row r="300" spans="1:4" ht="16">
      <c r="A300" s="30" t="s">
        <v>737</v>
      </c>
      <c r="B300" s="30" t="s">
        <v>738</v>
      </c>
      <c r="C300" s="30" t="s">
        <v>61</v>
      </c>
      <c r="D300" s="30" t="s">
        <v>160</v>
      </c>
    </row>
    <row r="301" spans="1:4" ht="16">
      <c r="A301" s="30" t="s">
        <v>739</v>
      </c>
      <c r="B301" s="30" t="s">
        <v>740</v>
      </c>
      <c r="C301" s="30" t="s">
        <v>61</v>
      </c>
      <c r="D301" s="30" t="s">
        <v>210</v>
      </c>
    </row>
    <row r="302" spans="1:4" ht="16">
      <c r="A302" s="30" t="s">
        <v>741</v>
      </c>
      <c r="B302" s="30" t="s">
        <v>742</v>
      </c>
      <c r="C302" s="30" t="s">
        <v>59</v>
      </c>
      <c r="D302" s="30" t="s">
        <v>82</v>
      </c>
    </row>
    <row r="303" spans="1:4" ht="16">
      <c r="A303" s="30" t="s">
        <v>743</v>
      </c>
      <c r="B303" s="30" t="s">
        <v>744</v>
      </c>
      <c r="C303" s="30" t="s">
        <v>59</v>
      </c>
      <c r="D303" s="30" t="s">
        <v>82</v>
      </c>
    </row>
    <row r="304" spans="1:4" ht="16">
      <c r="A304" s="30" t="s">
        <v>745</v>
      </c>
      <c r="B304" s="30" t="s">
        <v>746</v>
      </c>
      <c r="C304" s="30" t="s">
        <v>215</v>
      </c>
      <c r="D304" s="30" t="s">
        <v>78</v>
      </c>
    </row>
    <row r="305" spans="1:4" ht="16">
      <c r="A305" s="30" t="s">
        <v>747</v>
      </c>
      <c r="B305" s="30" t="s">
        <v>748</v>
      </c>
      <c r="C305" s="30" t="s">
        <v>61</v>
      </c>
      <c r="D305" s="30" t="s">
        <v>103</v>
      </c>
    </row>
    <row r="306" spans="1:4" ht="16">
      <c r="A306" s="30" t="s">
        <v>749</v>
      </c>
      <c r="B306" s="30" t="s">
        <v>750</v>
      </c>
      <c r="C306" s="30" t="s">
        <v>65</v>
      </c>
      <c r="D306" s="30" t="s">
        <v>562</v>
      </c>
    </row>
    <row r="307" spans="1:4" ht="16">
      <c r="A307" s="30" t="s">
        <v>751</v>
      </c>
      <c r="B307" s="30" t="s">
        <v>752</v>
      </c>
      <c r="C307" s="30" t="s">
        <v>176</v>
      </c>
      <c r="D307" s="30" t="s">
        <v>171</v>
      </c>
    </row>
    <row r="308" spans="1:4" ht="16">
      <c r="A308" s="30" t="s">
        <v>753</v>
      </c>
      <c r="B308" s="30" t="s">
        <v>754</v>
      </c>
      <c r="C308" s="30" t="s">
        <v>61</v>
      </c>
      <c r="D308" s="30" t="s">
        <v>232</v>
      </c>
    </row>
    <row r="309" spans="1:4" ht="16">
      <c r="A309" s="30" t="s">
        <v>755</v>
      </c>
      <c r="B309" s="30" t="s">
        <v>756</v>
      </c>
      <c r="C309" s="30" t="s">
        <v>257</v>
      </c>
      <c r="D309" s="30" t="s">
        <v>232</v>
      </c>
    </row>
    <row r="310" spans="1:4" ht="16">
      <c r="A310" s="30" t="s">
        <v>757</v>
      </c>
      <c r="B310" s="30" t="s">
        <v>758</v>
      </c>
      <c r="C310" s="30" t="s">
        <v>61</v>
      </c>
      <c r="D310" s="30" t="s">
        <v>160</v>
      </c>
    </row>
    <row r="311" spans="1:4" ht="16">
      <c r="A311" s="30" t="s">
        <v>759</v>
      </c>
      <c r="B311" s="30" t="s">
        <v>760</v>
      </c>
      <c r="C311" s="30" t="s">
        <v>61</v>
      </c>
      <c r="D311" s="30" t="s">
        <v>761</v>
      </c>
    </row>
    <row r="312" spans="1:4" ht="16">
      <c r="A312" s="30" t="s">
        <v>762</v>
      </c>
      <c r="B312" s="30" t="s">
        <v>763</v>
      </c>
      <c r="C312" s="30" t="s">
        <v>81</v>
      </c>
      <c r="D312" s="30" t="s">
        <v>82</v>
      </c>
    </row>
    <row r="313" spans="1:4" ht="16">
      <c r="A313" s="30" t="s">
        <v>764</v>
      </c>
      <c r="B313" s="30" t="s">
        <v>765</v>
      </c>
      <c r="C313" s="30" t="s">
        <v>61</v>
      </c>
      <c r="D313" s="30" t="s">
        <v>766</v>
      </c>
    </row>
    <row r="314" spans="1:4" ht="16">
      <c r="A314" s="30" t="s">
        <v>767</v>
      </c>
      <c r="B314" s="30" t="s">
        <v>768</v>
      </c>
      <c r="C314" s="30" t="s">
        <v>59</v>
      </c>
      <c r="D314" s="30" t="s">
        <v>82</v>
      </c>
    </row>
    <row r="315" spans="1:4" ht="16">
      <c r="A315" s="30" t="s">
        <v>769</v>
      </c>
      <c r="B315" s="30" t="s">
        <v>770</v>
      </c>
      <c r="C315" s="30" t="s">
        <v>65</v>
      </c>
      <c r="D315" s="30" t="s">
        <v>232</v>
      </c>
    </row>
    <row r="316" spans="1:4" ht="16">
      <c r="A316" s="30" t="s">
        <v>771</v>
      </c>
      <c r="B316" s="30" t="s">
        <v>772</v>
      </c>
      <c r="C316" s="30" t="s">
        <v>100</v>
      </c>
      <c r="D316" s="30" t="s">
        <v>75</v>
      </c>
    </row>
    <row r="317" spans="1:4" ht="16">
      <c r="A317" s="30" t="s">
        <v>773</v>
      </c>
      <c r="B317" s="30" t="s">
        <v>774</v>
      </c>
      <c r="C317" s="30" t="s">
        <v>775</v>
      </c>
      <c r="D317" s="30" t="s">
        <v>135</v>
      </c>
    </row>
    <row r="318" spans="1:4" ht="16">
      <c r="A318" s="30" t="s">
        <v>776</v>
      </c>
      <c r="B318" s="30" t="s">
        <v>777</v>
      </c>
      <c r="C318" s="30" t="s">
        <v>619</v>
      </c>
      <c r="D318" s="30" t="s">
        <v>294</v>
      </c>
    </row>
    <row r="319" spans="1:4" ht="16">
      <c r="A319" s="30" t="s">
        <v>778</v>
      </c>
      <c r="B319" s="30" t="s">
        <v>779</v>
      </c>
      <c r="C319" s="30" t="s">
        <v>59</v>
      </c>
      <c r="D319" s="30" t="s">
        <v>82</v>
      </c>
    </row>
    <row r="320" spans="1:4" ht="16">
      <c r="A320" s="30" t="s">
        <v>780</v>
      </c>
      <c r="B320" s="30" t="s">
        <v>781</v>
      </c>
      <c r="C320" s="30" t="s">
        <v>61</v>
      </c>
      <c r="D320" s="30" t="s">
        <v>103</v>
      </c>
    </row>
    <row r="321" spans="1:4" ht="16">
      <c r="A321" s="30" t="s">
        <v>782</v>
      </c>
      <c r="B321" s="30" t="s">
        <v>783</v>
      </c>
      <c r="C321" s="30" t="s">
        <v>176</v>
      </c>
      <c r="D321" s="30" t="s">
        <v>82</v>
      </c>
    </row>
    <row r="322" spans="1:4" ht="16">
      <c r="A322" s="30" t="s">
        <v>784</v>
      </c>
      <c r="B322" s="30" t="s">
        <v>785</v>
      </c>
      <c r="C322" s="30" t="s">
        <v>141</v>
      </c>
      <c r="D322" s="30" t="s">
        <v>82</v>
      </c>
    </row>
    <row r="323" spans="1:4" ht="16">
      <c r="A323" s="30" t="s">
        <v>786</v>
      </c>
      <c r="B323" s="30" t="s">
        <v>787</v>
      </c>
      <c r="C323" s="30" t="s">
        <v>61</v>
      </c>
      <c r="D323" s="30" t="s">
        <v>152</v>
      </c>
    </row>
    <row r="324" spans="1:4" ht="16">
      <c r="A324" s="30" t="s">
        <v>788</v>
      </c>
      <c r="B324" s="30" t="s">
        <v>789</v>
      </c>
      <c r="C324" s="30" t="s">
        <v>257</v>
      </c>
      <c r="D324" s="30" t="s">
        <v>232</v>
      </c>
    </row>
    <row r="325" spans="1:4" ht="16">
      <c r="A325" s="30" t="s">
        <v>790</v>
      </c>
      <c r="B325" s="30" t="s">
        <v>791</v>
      </c>
      <c r="C325" s="30" t="s">
        <v>389</v>
      </c>
      <c r="D325" s="30" t="s">
        <v>792</v>
      </c>
    </row>
    <row r="326" spans="1:4" ht="16">
      <c r="A326" s="30" t="s">
        <v>793</v>
      </c>
      <c r="B326" s="30" t="s">
        <v>794</v>
      </c>
      <c r="C326" s="30" t="s">
        <v>124</v>
      </c>
      <c r="D326" s="30" t="s">
        <v>210</v>
      </c>
    </row>
    <row r="327" spans="1:4" ht="16">
      <c r="A327" s="30" t="s">
        <v>795</v>
      </c>
      <c r="B327" s="30" t="s">
        <v>796</v>
      </c>
      <c r="C327" s="30" t="s">
        <v>65</v>
      </c>
      <c r="D327" s="30" t="s">
        <v>66</v>
      </c>
    </row>
    <row r="328" spans="1:4" ht="16">
      <c r="A328" s="30" t="s">
        <v>797</v>
      </c>
      <c r="B328" s="30" t="s">
        <v>798</v>
      </c>
      <c r="C328" s="30" t="s">
        <v>799</v>
      </c>
      <c r="D328" s="30" t="s">
        <v>82</v>
      </c>
    </row>
    <row r="329" spans="1:4" ht="16">
      <c r="A329" s="30" t="s">
        <v>797</v>
      </c>
      <c r="B329" s="30" t="s">
        <v>798</v>
      </c>
      <c r="C329" s="30" t="s">
        <v>799</v>
      </c>
      <c r="D329" s="30" t="s">
        <v>800</v>
      </c>
    </row>
    <row r="330" spans="1:4" ht="16">
      <c r="A330" s="30" t="s">
        <v>801</v>
      </c>
      <c r="B330" s="30" t="s">
        <v>802</v>
      </c>
      <c r="C330" s="30" t="s">
        <v>61</v>
      </c>
      <c r="D330" s="30" t="s">
        <v>210</v>
      </c>
    </row>
    <row r="331" spans="1:4" ht="16">
      <c r="A331" s="30" t="s">
        <v>803</v>
      </c>
      <c r="B331" s="30" t="s">
        <v>804</v>
      </c>
      <c r="C331" s="30" t="s">
        <v>61</v>
      </c>
      <c r="D331" s="30" t="s">
        <v>160</v>
      </c>
    </row>
    <row r="332" spans="1:4" ht="16">
      <c r="A332" s="30" t="s">
        <v>805</v>
      </c>
      <c r="B332" s="30" t="s">
        <v>806</v>
      </c>
      <c r="C332" s="30" t="s">
        <v>61</v>
      </c>
      <c r="D332" s="30" t="s">
        <v>232</v>
      </c>
    </row>
    <row r="333" spans="1:4" ht="16">
      <c r="A333" s="30" t="s">
        <v>807</v>
      </c>
      <c r="B333" s="30" t="s">
        <v>808</v>
      </c>
      <c r="C333" s="30" t="s">
        <v>61</v>
      </c>
      <c r="D333" s="30" t="s">
        <v>103</v>
      </c>
    </row>
    <row r="334" spans="1:4" ht="16">
      <c r="A334" s="30" t="s">
        <v>809</v>
      </c>
      <c r="B334" s="30" t="s">
        <v>810</v>
      </c>
      <c r="C334" s="30" t="s">
        <v>59</v>
      </c>
      <c r="D334" s="30" t="s">
        <v>82</v>
      </c>
    </row>
    <row r="335" spans="1:4" ht="16">
      <c r="A335" s="30" t="s">
        <v>811</v>
      </c>
      <c r="B335" s="30" t="s">
        <v>812</v>
      </c>
      <c r="C335" s="30" t="s">
        <v>813</v>
      </c>
      <c r="D335" s="30" t="s">
        <v>814</v>
      </c>
    </row>
    <row r="336" spans="1:4" ht="16">
      <c r="A336" s="30" t="s">
        <v>815</v>
      </c>
      <c r="B336" s="30" t="s">
        <v>816</v>
      </c>
      <c r="C336" s="30" t="s">
        <v>100</v>
      </c>
      <c r="D336" s="30" t="s">
        <v>75</v>
      </c>
    </row>
    <row r="337" spans="1:4" ht="16">
      <c r="A337" s="30" t="s">
        <v>817</v>
      </c>
      <c r="B337" s="30" t="s">
        <v>818</v>
      </c>
      <c r="C337" s="30" t="s">
        <v>61</v>
      </c>
      <c r="D337" s="30" t="s">
        <v>210</v>
      </c>
    </row>
    <row r="338" spans="1:4" ht="16">
      <c r="A338" s="30" t="s">
        <v>819</v>
      </c>
      <c r="B338" s="30" t="s">
        <v>820</v>
      </c>
      <c r="C338" s="30" t="s">
        <v>61</v>
      </c>
      <c r="D338" s="30" t="s">
        <v>103</v>
      </c>
    </row>
    <row r="339" spans="1:4" ht="16">
      <c r="A339" s="30" t="s">
        <v>821</v>
      </c>
      <c r="B339" s="30" t="s">
        <v>822</v>
      </c>
      <c r="C339" s="30" t="s">
        <v>65</v>
      </c>
      <c r="D339" s="30" t="s">
        <v>165</v>
      </c>
    </row>
    <row r="340" spans="1:4" ht="16">
      <c r="A340" s="30" t="s">
        <v>823</v>
      </c>
      <c r="B340" s="30" t="s">
        <v>824</v>
      </c>
      <c r="C340" s="30" t="s">
        <v>61</v>
      </c>
      <c r="D340" s="30" t="s">
        <v>62</v>
      </c>
    </row>
    <row r="341" spans="1:4" ht="16">
      <c r="A341" s="30" t="s">
        <v>825</v>
      </c>
      <c r="B341" s="30" t="s">
        <v>826</v>
      </c>
      <c r="C341" s="30" t="s">
        <v>827</v>
      </c>
      <c r="D341" s="30" t="s">
        <v>792</v>
      </c>
    </row>
    <row r="342" spans="1:4" ht="16">
      <c r="A342" s="30" t="s">
        <v>828</v>
      </c>
      <c r="B342" s="30" t="s">
        <v>829</v>
      </c>
      <c r="C342" s="30" t="s">
        <v>61</v>
      </c>
      <c r="D342" s="30" t="s">
        <v>148</v>
      </c>
    </row>
    <row r="343" spans="1:4" ht="16">
      <c r="A343" s="30" t="s">
        <v>830</v>
      </c>
      <c r="B343" s="30" t="s">
        <v>831</v>
      </c>
      <c r="C343" s="30" t="s">
        <v>61</v>
      </c>
      <c r="D343" s="30" t="s">
        <v>761</v>
      </c>
    </row>
    <row r="344" spans="1:4" ht="16">
      <c r="A344" s="30" t="s">
        <v>832</v>
      </c>
      <c r="B344" s="30" t="s">
        <v>833</v>
      </c>
      <c r="C344" s="30" t="s">
        <v>141</v>
      </c>
      <c r="D344" s="30" t="s">
        <v>82</v>
      </c>
    </row>
    <row r="345" spans="1:4" ht="16">
      <c r="A345" s="30" t="s">
        <v>834</v>
      </c>
      <c r="B345" s="30" t="s">
        <v>835</v>
      </c>
      <c r="C345" s="30" t="s">
        <v>61</v>
      </c>
      <c r="D345" s="30" t="s">
        <v>62</v>
      </c>
    </row>
    <row r="346" spans="1:4" ht="16">
      <c r="A346" s="30" t="s">
        <v>836</v>
      </c>
      <c r="B346" s="30" t="s">
        <v>837</v>
      </c>
      <c r="C346" s="30" t="s">
        <v>433</v>
      </c>
      <c r="D346" s="30" t="s">
        <v>575</v>
      </c>
    </row>
    <row r="347" spans="1:4" ht="16">
      <c r="A347" s="30" t="s">
        <v>838</v>
      </c>
      <c r="B347" s="30" t="s">
        <v>839</v>
      </c>
      <c r="C347" s="30" t="s">
        <v>61</v>
      </c>
      <c r="D347" s="30" t="s">
        <v>840</v>
      </c>
    </row>
    <row r="348" spans="1:4" ht="16">
      <c r="A348" s="30" t="s">
        <v>841</v>
      </c>
      <c r="B348" s="30" t="s">
        <v>842</v>
      </c>
      <c r="C348" s="30" t="s">
        <v>257</v>
      </c>
      <c r="D348" s="30" t="s">
        <v>157</v>
      </c>
    </row>
    <row r="349" spans="1:4" ht="16">
      <c r="A349" s="30" t="s">
        <v>843</v>
      </c>
      <c r="B349" s="30" t="s">
        <v>844</v>
      </c>
      <c r="C349" s="30" t="s">
        <v>59</v>
      </c>
      <c r="D349" s="30" t="s">
        <v>82</v>
      </c>
    </row>
    <row r="350" spans="1:4" ht="16">
      <c r="A350" s="30" t="s">
        <v>845</v>
      </c>
      <c r="B350" s="30" t="s">
        <v>846</v>
      </c>
      <c r="C350" s="30" t="s">
        <v>847</v>
      </c>
      <c r="D350" s="30" t="s">
        <v>848</v>
      </c>
    </row>
    <row r="351" spans="1:4" ht="16">
      <c r="A351" s="30" t="s">
        <v>849</v>
      </c>
      <c r="B351" s="30" t="s">
        <v>850</v>
      </c>
      <c r="C351" s="30" t="s">
        <v>85</v>
      </c>
      <c r="D351" s="30" t="s">
        <v>82</v>
      </c>
    </row>
    <row r="352" spans="1:4" ht="16">
      <c r="A352" s="30" t="s">
        <v>851</v>
      </c>
      <c r="B352" s="30" t="s">
        <v>852</v>
      </c>
      <c r="C352" s="30" t="s">
        <v>65</v>
      </c>
      <c r="D352" s="30" t="s">
        <v>280</v>
      </c>
    </row>
    <row r="353" spans="1:4" ht="16">
      <c r="A353" s="30" t="s">
        <v>853</v>
      </c>
      <c r="B353" s="30" t="s">
        <v>854</v>
      </c>
      <c r="C353" s="30" t="s">
        <v>452</v>
      </c>
      <c r="D353" s="30" t="s">
        <v>66</v>
      </c>
    </row>
    <row r="354" spans="1:4" ht="16">
      <c r="A354" s="30" t="s">
        <v>855</v>
      </c>
      <c r="B354" s="30" t="s">
        <v>856</v>
      </c>
      <c r="C354" s="30" t="s">
        <v>59</v>
      </c>
      <c r="D354" s="30" t="s">
        <v>82</v>
      </c>
    </row>
    <row r="355" spans="1:4" ht="16">
      <c r="A355" s="30" t="s">
        <v>857</v>
      </c>
      <c r="B355" s="30" t="s">
        <v>858</v>
      </c>
      <c r="C355" s="30" t="s">
        <v>257</v>
      </c>
      <c r="D355" s="30" t="s">
        <v>232</v>
      </c>
    </row>
    <row r="356" spans="1:4" ht="16">
      <c r="A356" s="30" t="s">
        <v>859</v>
      </c>
      <c r="B356" s="30" t="s">
        <v>860</v>
      </c>
      <c r="C356" s="30" t="s">
        <v>287</v>
      </c>
      <c r="D356" s="30" t="s">
        <v>82</v>
      </c>
    </row>
    <row r="357" spans="1:4" ht="16">
      <c r="A357" s="30" t="s">
        <v>861</v>
      </c>
      <c r="B357" s="30" t="s">
        <v>862</v>
      </c>
      <c r="C357" s="30" t="s">
        <v>543</v>
      </c>
      <c r="D357" s="30" t="s">
        <v>544</v>
      </c>
    </row>
    <row r="358" spans="1:4" ht="16">
      <c r="A358" s="30" t="s">
        <v>863</v>
      </c>
      <c r="B358" s="30" t="s">
        <v>864</v>
      </c>
      <c r="C358" s="30" t="s">
        <v>61</v>
      </c>
      <c r="D358" s="30" t="s">
        <v>89</v>
      </c>
    </row>
    <row r="359" spans="1:4" ht="16">
      <c r="A359" s="30" t="s">
        <v>865</v>
      </c>
      <c r="B359" s="30" t="s">
        <v>866</v>
      </c>
      <c r="C359" s="30" t="s">
        <v>151</v>
      </c>
      <c r="D359" s="30" t="s">
        <v>840</v>
      </c>
    </row>
    <row r="360" spans="1:4" ht="16">
      <c r="A360" s="30" t="s">
        <v>867</v>
      </c>
      <c r="B360" s="30" t="s">
        <v>868</v>
      </c>
      <c r="C360" s="30" t="s">
        <v>231</v>
      </c>
      <c r="D360" s="30" t="s">
        <v>210</v>
      </c>
    </row>
    <row r="361" spans="1:4" ht="16">
      <c r="A361" s="30" t="s">
        <v>869</v>
      </c>
      <c r="B361" s="30" t="s">
        <v>870</v>
      </c>
      <c r="C361" s="30" t="s">
        <v>176</v>
      </c>
      <c r="D361" s="30" t="s">
        <v>171</v>
      </c>
    </row>
    <row r="362" spans="1:4" ht="16">
      <c r="A362" s="30" t="s">
        <v>871</v>
      </c>
      <c r="B362" s="30" t="s">
        <v>872</v>
      </c>
      <c r="C362" s="30" t="s">
        <v>873</v>
      </c>
      <c r="D362" s="30" t="s">
        <v>440</v>
      </c>
    </row>
    <row r="363" spans="1:4" ht="16">
      <c r="A363" s="30" t="s">
        <v>874</v>
      </c>
      <c r="B363" s="30" t="s">
        <v>875</v>
      </c>
      <c r="C363" s="30" t="s">
        <v>61</v>
      </c>
      <c r="D363" s="30" t="s">
        <v>595</v>
      </c>
    </row>
    <row r="364" spans="1:4" ht="16">
      <c r="A364" s="30" t="s">
        <v>876</v>
      </c>
      <c r="B364" s="30" t="s">
        <v>877</v>
      </c>
      <c r="C364" s="30" t="s">
        <v>878</v>
      </c>
      <c r="D364" s="30" t="s">
        <v>879</v>
      </c>
    </row>
    <row r="365" spans="1:4" ht="16">
      <c r="A365" s="30" t="s">
        <v>880</v>
      </c>
      <c r="B365" s="30" t="s">
        <v>881</v>
      </c>
      <c r="C365" s="30" t="s">
        <v>452</v>
      </c>
      <c r="D365" s="30" t="s">
        <v>882</v>
      </c>
    </row>
    <row r="366" spans="1:4" ht="16">
      <c r="A366" s="30" t="s">
        <v>883</v>
      </c>
      <c r="B366" s="30" t="s">
        <v>884</v>
      </c>
      <c r="C366" s="30" t="s">
        <v>257</v>
      </c>
      <c r="D366" s="30" t="s">
        <v>160</v>
      </c>
    </row>
    <row r="367" spans="1:4" ht="16">
      <c r="A367" s="30" t="s">
        <v>885</v>
      </c>
      <c r="B367" s="30" t="s">
        <v>886</v>
      </c>
      <c r="C367" s="30" t="s">
        <v>65</v>
      </c>
      <c r="D367" s="30" t="s">
        <v>887</v>
      </c>
    </row>
    <row r="368" spans="1:4" ht="16">
      <c r="A368" s="30" t="s">
        <v>888</v>
      </c>
      <c r="B368" s="30" t="s">
        <v>889</v>
      </c>
      <c r="C368" s="30" t="s">
        <v>141</v>
      </c>
      <c r="D368" s="30" t="s">
        <v>82</v>
      </c>
    </row>
    <row r="369" spans="1:4" ht="16">
      <c r="A369" s="30" t="s">
        <v>890</v>
      </c>
      <c r="B369" s="30" t="s">
        <v>891</v>
      </c>
      <c r="C369" s="30" t="s">
        <v>59</v>
      </c>
      <c r="D369" s="30" t="s">
        <v>82</v>
      </c>
    </row>
    <row r="370" spans="1:4" ht="16">
      <c r="A370" s="30" t="s">
        <v>890</v>
      </c>
      <c r="B370" s="30" t="s">
        <v>891</v>
      </c>
      <c r="C370" s="30" t="s">
        <v>61</v>
      </c>
      <c r="D370" s="30" t="s">
        <v>62</v>
      </c>
    </row>
    <row r="371" spans="1:4" ht="16">
      <c r="A371" s="30" t="s">
        <v>892</v>
      </c>
      <c r="B371" s="30" t="s">
        <v>893</v>
      </c>
      <c r="C371" s="30" t="s">
        <v>65</v>
      </c>
      <c r="D371" s="30" t="s">
        <v>66</v>
      </c>
    </row>
    <row r="372" spans="1:4" ht="16">
      <c r="A372" s="30" t="s">
        <v>894</v>
      </c>
      <c r="B372" s="30" t="s">
        <v>895</v>
      </c>
      <c r="C372" s="30" t="s">
        <v>61</v>
      </c>
      <c r="D372" s="30" t="s">
        <v>896</v>
      </c>
    </row>
    <row r="373" spans="1:4" ht="16">
      <c r="A373" s="30" t="s">
        <v>897</v>
      </c>
      <c r="B373" s="30" t="s">
        <v>898</v>
      </c>
      <c r="C373" s="30" t="s">
        <v>61</v>
      </c>
      <c r="D373" s="30" t="s">
        <v>232</v>
      </c>
    </row>
    <row r="374" spans="1:4" ht="16">
      <c r="A374" s="30" t="s">
        <v>899</v>
      </c>
      <c r="B374" s="30" t="s">
        <v>900</v>
      </c>
      <c r="C374" s="30" t="s">
        <v>124</v>
      </c>
      <c r="D374" s="30" t="s">
        <v>75</v>
      </c>
    </row>
    <row r="375" spans="1:4" ht="16">
      <c r="A375" s="30" t="s">
        <v>901</v>
      </c>
      <c r="B375" s="30" t="s">
        <v>902</v>
      </c>
      <c r="C375" s="30" t="s">
        <v>59</v>
      </c>
      <c r="D375" s="30" t="s">
        <v>82</v>
      </c>
    </row>
    <row r="376" spans="1:4" ht="16">
      <c r="A376" s="30" t="s">
        <v>903</v>
      </c>
      <c r="B376" s="30" t="s">
        <v>904</v>
      </c>
      <c r="C376" s="30" t="s">
        <v>59</v>
      </c>
      <c r="D376" s="30" t="s">
        <v>82</v>
      </c>
    </row>
    <row r="377" spans="1:4" ht="16">
      <c r="A377" s="30" t="s">
        <v>905</v>
      </c>
      <c r="B377" s="30" t="s">
        <v>906</v>
      </c>
      <c r="C377" s="30" t="s">
        <v>215</v>
      </c>
      <c r="D377" s="30" t="s">
        <v>103</v>
      </c>
    </row>
    <row r="378" spans="1:4" ht="16">
      <c r="A378" s="30" t="s">
        <v>907</v>
      </c>
      <c r="B378" s="30" t="s">
        <v>908</v>
      </c>
      <c r="C378" s="30" t="s">
        <v>59</v>
      </c>
      <c r="D378" s="30" t="s">
        <v>60</v>
      </c>
    </row>
    <row r="379" spans="1:4" ht="16">
      <c r="A379" s="30" t="s">
        <v>907</v>
      </c>
      <c r="B379" s="30" t="s">
        <v>908</v>
      </c>
      <c r="C379" s="30" t="s">
        <v>61</v>
      </c>
      <c r="D379" s="30" t="s">
        <v>62</v>
      </c>
    </row>
    <row r="380" spans="1:4" ht="16">
      <c r="A380" s="30" t="s">
        <v>909</v>
      </c>
      <c r="B380" s="30" t="s">
        <v>910</v>
      </c>
      <c r="C380" s="30" t="s">
        <v>911</v>
      </c>
      <c r="D380" s="30" t="s">
        <v>912</v>
      </c>
    </row>
    <row r="381" spans="1:4" ht="16">
      <c r="A381" s="30" t="s">
        <v>913</v>
      </c>
      <c r="B381" s="30" t="s">
        <v>914</v>
      </c>
      <c r="C381" s="30" t="s">
        <v>452</v>
      </c>
      <c r="D381" s="30" t="s">
        <v>165</v>
      </c>
    </row>
    <row r="382" spans="1:4" ht="16">
      <c r="A382" s="30" t="s">
        <v>915</v>
      </c>
      <c r="B382" s="30" t="s">
        <v>916</v>
      </c>
      <c r="C382" s="30" t="s">
        <v>257</v>
      </c>
      <c r="D382" s="30" t="s">
        <v>232</v>
      </c>
    </row>
    <row r="383" spans="1:4" ht="16">
      <c r="A383" s="30" t="s">
        <v>917</v>
      </c>
      <c r="B383" s="30" t="s">
        <v>918</v>
      </c>
      <c r="C383" s="30" t="s">
        <v>61</v>
      </c>
      <c r="D383" s="30" t="s">
        <v>232</v>
      </c>
    </row>
    <row r="384" spans="1:4" ht="16">
      <c r="A384" s="30" t="s">
        <v>919</v>
      </c>
      <c r="B384" s="30" t="s">
        <v>920</v>
      </c>
      <c r="C384" s="30" t="s">
        <v>257</v>
      </c>
      <c r="D384" s="30" t="s">
        <v>232</v>
      </c>
    </row>
    <row r="385" spans="1:4" ht="16">
      <c r="A385" s="30" t="s">
        <v>921</v>
      </c>
      <c r="B385" s="30" t="s">
        <v>922</v>
      </c>
      <c r="C385" s="30" t="s">
        <v>61</v>
      </c>
      <c r="D385" s="30" t="s">
        <v>157</v>
      </c>
    </row>
    <row r="386" spans="1:4" ht="16">
      <c r="A386" s="30" t="s">
        <v>923</v>
      </c>
      <c r="B386" s="30" t="s">
        <v>924</v>
      </c>
      <c r="C386" s="30" t="s">
        <v>59</v>
      </c>
      <c r="D386" s="30" t="s">
        <v>82</v>
      </c>
    </row>
    <row r="387" spans="1:4" ht="16">
      <c r="A387" s="30" t="s">
        <v>925</v>
      </c>
      <c r="B387" s="30" t="s">
        <v>926</v>
      </c>
      <c r="C387" s="30" t="s">
        <v>61</v>
      </c>
      <c r="D387" s="30" t="s">
        <v>62</v>
      </c>
    </row>
    <row r="388" spans="1:4" ht="16">
      <c r="A388" s="30" t="s">
        <v>927</v>
      </c>
      <c r="B388" s="30" t="s">
        <v>928</v>
      </c>
      <c r="C388" s="30" t="s">
        <v>138</v>
      </c>
      <c r="D388" s="30" t="s">
        <v>62</v>
      </c>
    </row>
    <row r="389" spans="1:4" ht="16">
      <c r="A389" s="30" t="s">
        <v>929</v>
      </c>
      <c r="B389" s="30" t="s">
        <v>930</v>
      </c>
      <c r="C389" s="30" t="s">
        <v>61</v>
      </c>
      <c r="D389" s="30" t="s">
        <v>931</v>
      </c>
    </row>
    <row r="390" spans="1:4" ht="16">
      <c r="A390" s="30" t="s">
        <v>932</v>
      </c>
      <c r="B390" s="30" t="s">
        <v>933</v>
      </c>
      <c r="C390" s="30" t="s">
        <v>141</v>
      </c>
      <c r="D390" s="30" t="s">
        <v>82</v>
      </c>
    </row>
    <row r="391" spans="1:4" ht="16">
      <c r="A391" s="30" t="s">
        <v>934</v>
      </c>
      <c r="B391" s="30" t="s">
        <v>935</v>
      </c>
      <c r="C391" s="30" t="s">
        <v>936</v>
      </c>
      <c r="D391" s="30" t="s">
        <v>814</v>
      </c>
    </row>
    <row r="392" spans="1:4" ht="16">
      <c r="A392" s="30" t="s">
        <v>937</v>
      </c>
      <c r="B392" s="30" t="s">
        <v>938</v>
      </c>
      <c r="C392" s="30" t="s">
        <v>604</v>
      </c>
      <c r="D392" s="30" t="s">
        <v>605</v>
      </c>
    </row>
    <row r="393" spans="1:4" ht="16">
      <c r="A393" s="30" t="s">
        <v>939</v>
      </c>
      <c r="B393" s="30" t="s">
        <v>940</v>
      </c>
      <c r="C393" s="30" t="s">
        <v>941</v>
      </c>
      <c r="D393" s="30" t="s">
        <v>135</v>
      </c>
    </row>
    <row r="394" spans="1:4" ht="16">
      <c r="A394" s="30" t="s">
        <v>942</v>
      </c>
      <c r="B394" s="30" t="s">
        <v>943</v>
      </c>
      <c r="C394" s="30" t="s">
        <v>138</v>
      </c>
      <c r="D394" s="30" t="s">
        <v>171</v>
      </c>
    </row>
    <row r="395" spans="1:4" ht="16">
      <c r="A395" s="30" t="s">
        <v>944</v>
      </c>
      <c r="B395" s="30" t="s">
        <v>945</v>
      </c>
      <c r="C395" s="30" t="s">
        <v>61</v>
      </c>
      <c r="D395" s="30" t="s">
        <v>232</v>
      </c>
    </row>
    <row r="396" spans="1:4" ht="16">
      <c r="A396" s="30" t="s">
        <v>946</v>
      </c>
      <c r="B396" s="30" t="s">
        <v>947</v>
      </c>
      <c r="C396" s="30" t="s">
        <v>61</v>
      </c>
      <c r="D396" s="30" t="s">
        <v>89</v>
      </c>
    </row>
    <row r="397" spans="1:4" ht="16">
      <c r="A397" s="30" t="s">
        <v>948</v>
      </c>
      <c r="B397" s="30" t="s">
        <v>949</v>
      </c>
      <c r="C397" s="30" t="s">
        <v>61</v>
      </c>
      <c r="D397" s="30" t="s">
        <v>103</v>
      </c>
    </row>
    <row r="398" spans="1:4" ht="16">
      <c r="A398" s="30" t="s">
        <v>950</v>
      </c>
      <c r="B398" s="30" t="s">
        <v>951</v>
      </c>
      <c r="C398" s="30" t="s">
        <v>61</v>
      </c>
      <c r="D398" s="30" t="s">
        <v>232</v>
      </c>
    </row>
    <row r="399" spans="1:4" ht="16">
      <c r="A399" s="30" t="s">
        <v>952</v>
      </c>
      <c r="B399" s="30" t="s">
        <v>953</v>
      </c>
      <c r="C399" s="30" t="s">
        <v>59</v>
      </c>
      <c r="D399" s="30" t="s">
        <v>82</v>
      </c>
    </row>
    <row r="400" spans="1:4" ht="16">
      <c r="A400" s="30" t="s">
        <v>954</v>
      </c>
      <c r="B400" s="30" t="s">
        <v>955</v>
      </c>
      <c r="C400" s="30" t="s">
        <v>433</v>
      </c>
      <c r="D400" s="30" t="s">
        <v>305</v>
      </c>
    </row>
    <row r="401" spans="1:4" ht="16">
      <c r="A401" s="30" t="s">
        <v>956</v>
      </c>
      <c r="B401" s="30" t="s">
        <v>957</v>
      </c>
      <c r="C401" s="30" t="s">
        <v>65</v>
      </c>
      <c r="D401" s="30" t="s">
        <v>66</v>
      </c>
    </row>
    <row r="402" spans="1:4" ht="16">
      <c r="A402" s="30" t="s">
        <v>958</v>
      </c>
      <c r="B402" s="30" t="s">
        <v>959</v>
      </c>
      <c r="C402" s="30" t="s">
        <v>100</v>
      </c>
      <c r="D402" s="30" t="s">
        <v>75</v>
      </c>
    </row>
    <row r="403" spans="1:4" ht="16">
      <c r="A403" s="30" t="s">
        <v>960</v>
      </c>
      <c r="B403" s="30" t="s">
        <v>961</v>
      </c>
      <c r="C403" s="30" t="s">
        <v>257</v>
      </c>
      <c r="D403" s="30" t="s">
        <v>232</v>
      </c>
    </row>
    <row r="404" spans="1:4" ht="16">
      <c r="A404" s="30" t="s">
        <v>962</v>
      </c>
      <c r="B404" s="30" t="s">
        <v>963</v>
      </c>
      <c r="C404" s="30" t="s">
        <v>257</v>
      </c>
      <c r="D404" s="30" t="s">
        <v>232</v>
      </c>
    </row>
    <row r="405" spans="1:4" ht="16">
      <c r="A405" s="30" t="s">
        <v>964</v>
      </c>
      <c r="B405" s="30" t="s">
        <v>965</v>
      </c>
      <c r="C405" s="30" t="s">
        <v>65</v>
      </c>
      <c r="D405" s="30" t="s">
        <v>966</v>
      </c>
    </row>
    <row r="406" spans="1:4" ht="16">
      <c r="A406" s="30" t="s">
        <v>967</v>
      </c>
      <c r="B406" s="30" t="s">
        <v>968</v>
      </c>
      <c r="C406" s="30" t="s">
        <v>65</v>
      </c>
      <c r="D406" s="30" t="s">
        <v>66</v>
      </c>
    </row>
    <row r="407" spans="1:4" ht="16">
      <c r="A407" s="30" t="s">
        <v>969</v>
      </c>
      <c r="B407" s="30" t="s">
        <v>970</v>
      </c>
      <c r="C407" s="30" t="s">
        <v>61</v>
      </c>
      <c r="D407" s="30" t="s">
        <v>92</v>
      </c>
    </row>
    <row r="408" spans="1:4" ht="16">
      <c r="A408" s="30" t="s">
        <v>971</v>
      </c>
      <c r="B408" s="30" t="s">
        <v>972</v>
      </c>
      <c r="C408" s="30" t="s">
        <v>61</v>
      </c>
      <c r="D408" s="30" t="s">
        <v>160</v>
      </c>
    </row>
    <row r="409" spans="1:4" ht="16">
      <c r="A409" s="30" t="s">
        <v>973</v>
      </c>
      <c r="B409" s="30" t="s">
        <v>974</v>
      </c>
      <c r="C409" s="30" t="s">
        <v>975</v>
      </c>
      <c r="D409" s="30" t="s">
        <v>300</v>
      </c>
    </row>
    <row r="410" spans="1:4" ht="16">
      <c r="A410" s="30" t="s">
        <v>976</v>
      </c>
      <c r="B410" s="30" t="s">
        <v>977</v>
      </c>
      <c r="C410" s="30" t="s">
        <v>978</v>
      </c>
      <c r="D410" s="30" t="s">
        <v>879</v>
      </c>
    </row>
    <row r="411" spans="1:4" ht="16">
      <c r="A411" s="30" t="s">
        <v>979</v>
      </c>
      <c r="B411" s="30" t="s">
        <v>980</v>
      </c>
      <c r="C411" s="30" t="s">
        <v>61</v>
      </c>
      <c r="D411" s="30" t="s">
        <v>148</v>
      </c>
    </row>
    <row r="412" spans="1:4" ht="16">
      <c r="A412" s="30" t="s">
        <v>981</v>
      </c>
      <c r="B412" s="30" t="s">
        <v>982</v>
      </c>
      <c r="C412" s="30" t="s">
        <v>65</v>
      </c>
      <c r="D412" s="30" t="s">
        <v>66</v>
      </c>
    </row>
    <row r="413" spans="1:4" ht="16">
      <c r="A413" s="30" t="s">
        <v>983</v>
      </c>
      <c r="B413" s="30" t="s">
        <v>984</v>
      </c>
      <c r="C413" s="30" t="s">
        <v>543</v>
      </c>
      <c r="D413" s="30" t="s">
        <v>544</v>
      </c>
    </row>
    <row r="414" spans="1:4" ht="16">
      <c r="A414" s="30" t="s">
        <v>985</v>
      </c>
      <c r="B414" s="30" t="s">
        <v>986</v>
      </c>
      <c r="C414" s="30" t="s">
        <v>987</v>
      </c>
      <c r="D414" s="30" t="s">
        <v>82</v>
      </c>
    </row>
    <row r="415" spans="1:4" ht="16">
      <c r="A415" s="30" t="s">
        <v>988</v>
      </c>
      <c r="B415" s="30" t="s">
        <v>989</v>
      </c>
      <c r="C415" s="30" t="s">
        <v>61</v>
      </c>
      <c r="D415" s="30" t="s">
        <v>103</v>
      </c>
    </row>
    <row r="416" spans="1:4" ht="16">
      <c r="A416" s="30" t="s">
        <v>990</v>
      </c>
      <c r="B416" s="30" t="s">
        <v>991</v>
      </c>
      <c r="C416" s="30" t="s">
        <v>257</v>
      </c>
      <c r="D416" s="30" t="s">
        <v>232</v>
      </c>
    </row>
    <row r="417" spans="1:4" ht="16">
      <c r="A417" s="30" t="s">
        <v>992</v>
      </c>
      <c r="B417" s="30" t="s">
        <v>993</v>
      </c>
      <c r="C417" s="30" t="s">
        <v>65</v>
      </c>
      <c r="D417" s="30" t="s">
        <v>994</v>
      </c>
    </row>
    <row r="418" spans="1:4" ht="16">
      <c r="A418" s="30" t="s">
        <v>995</v>
      </c>
      <c r="B418" s="30" t="s">
        <v>996</v>
      </c>
      <c r="C418" s="30" t="s">
        <v>61</v>
      </c>
      <c r="D418" s="30" t="s">
        <v>180</v>
      </c>
    </row>
    <row r="419" spans="1:4" ht="16">
      <c r="A419" s="30" t="s">
        <v>997</v>
      </c>
      <c r="B419" s="30" t="s">
        <v>998</v>
      </c>
      <c r="C419" s="30" t="s">
        <v>61</v>
      </c>
      <c r="D419" s="30" t="s">
        <v>562</v>
      </c>
    </row>
    <row r="420" spans="1:4" ht="16">
      <c r="A420" s="30" t="s">
        <v>999</v>
      </c>
      <c r="B420" s="30" t="s">
        <v>1000</v>
      </c>
      <c r="C420" s="30" t="s">
        <v>65</v>
      </c>
      <c r="D420" s="30" t="s">
        <v>160</v>
      </c>
    </row>
    <row r="421" spans="1:4" ht="16">
      <c r="A421" s="30" t="s">
        <v>1001</v>
      </c>
      <c r="B421" s="30" t="s">
        <v>1002</v>
      </c>
      <c r="C421" s="30" t="s">
        <v>59</v>
      </c>
      <c r="D421" s="30" t="s">
        <v>82</v>
      </c>
    </row>
    <row r="422" spans="1:4" ht="16">
      <c r="A422" s="30" t="s">
        <v>1003</v>
      </c>
      <c r="B422" s="30" t="s">
        <v>1004</v>
      </c>
      <c r="C422" s="30" t="s">
        <v>124</v>
      </c>
      <c r="D422" s="30" t="s">
        <v>69</v>
      </c>
    </row>
    <row r="423" spans="1:4" ht="16">
      <c r="A423" s="30" t="s">
        <v>1005</v>
      </c>
      <c r="B423" s="30" t="s">
        <v>1006</v>
      </c>
      <c r="C423" s="30" t="s">
        <v>257</v>
      </c>
      <c r="D423" s="30" t="s">
        <v>232</v>
      </c>
    </row>
    <row r="424" spans="1:4" ht="16">
      <c r="A424" s="30" t="s">
        <v>1007</v>
      </c>
      <c r="B424" s="30" t="s">
        <v>1008</v>
      </c>
      <c r="C424" s="30" t="s">
        <v>61</v>
      </c>
      <c r="D424" s="30" t="s">
        <v>232</v>
      </c>
    </row>
    <row r="425" spans="1:4" ht="16">
      <c r="A425" s="30" t="s">
        <v>1009</v>
      </c>
      <c r="B425" s="30" t="s">
        <v>1010</v>
      </c>
      <c r="C425" s="30" t="s">
        <v>81</v>
      </c>
      <c r="D425" s="30" t="s">
        <v>82</v>
      </c>
    </row>
    <row r="426" spans="1:4" ht="16">
      <c r="A426" s="30" t="s">
        <v>1011</v>
      </c>
      <c r="B426" s="30" t="s">
        <v>1012</v>
      </c>
      <c r="C426" s="30" t="s">
        <v>65</v>
      </c>
      <c r="D426" s="30" t="s">
        <v>66</v>
      </c>
    </row>
    <row r="427" spans="1:4" ht="16">
      <c r="A427" s="30" t="s">
        <v>1013</v>
      </c>
      <c r="B427" s="30" t="s">
        <v>1014</v>
      </c>
      <c r="C427" s="30" t="s">
        <v>61</v>
      </c>
      <c r="D427" s="30" t="s">
        <v>69</v>
      </c>
    </row>
    <row r="428" spans="1:4" ht="16">
      <c r="A428" s="30" t="s">
        <v>1015</v>
      </c>
      <c r="B428" s="30" t="s">
        <v>1016</v>
      </c>
      <c r="C428" s="30" t="s">
        <v>1017</v>
      </c>
      <c r="D428" s="30" t="s">
        <v>605</v>
      </c>
    </row>
    <row r="429" spans="1:4" ht="16">
      <c r="A429" s="30" t="s">
        <v>1018</v>
      </c>
      <c r="B429" s="30" t="s">
        <v>1019</v>
      </c>
      <c r="C429" s="30" t="s">
        <v>61</v>
      </c>
      <c r="D429" s="30" t="s">
        <v>761</v>
      </c>
    </row>
    <row r="430" spans="1:4" ht="16">
      <c r="A430" s="30" t="s">
        <v>1020</v>
      </c>
      <c r="B430" s="30" t="s">
        <v>1021</v>
      </c>
      <c r="C430" s="30" t="s">
        <v>978</v>
      </c>
      <c r="D430" s="30" t="s">
        <v>879</v>
      </c>
    </row>
    <row r="431" spans="1:4" ht="16">
      <c r="A431" s="30" t="s">
        <v>1022</v>
      </c>
      <c r="B431" s="30" t="s">
        <v>1023</v>
      </c>
      <c r="C431" s="30" t="s">
        <v>257</v>
      </c>
      <c r="D431" s="30" t="s">
        <v>232</v>
      </c>
    </row>
    <row r="432" spans="1:4" ht="16">
      <c r="A432" s="30" t="s">
        <v>1024</v>
      </c>
      <c r="B432" s="30" t="s">
        <v>1025</v>
      </c>
      <c r="C432" s="30" t="s">
        <v>59</v>
      </c>
      <c r="D432" s="30" t="s">
        <v>82</v>
      </c>
    </row>
    <row r="433" spans="1:4" ht="16">
      <c r="A433" s="30" t="s">
        <v>1026</v>
      </c>
      <c r="B433" s="30" t="s">
        <v>1027</v>
      </c>
      <c r="C433" s="30" t="s">
        <v>176</v>
      </c>
      <c r="D433" s="30" t="s">
        <v>103</v>
      </c>
    </row>
    <row r="434" spans="1:4" ht="16">
      <c r="A434" s="30" t="s">
        <v>1028</v>
      </c>
      <c r="B434" s="30" t="s">
        <v>1029</v>
      </c>
      <c r="C434" s="30" t="s">
        <v>61</v>
      </c>
      <c r="D434" s="30" t="s">
        <v>72</v>
      </c>
    </row>
    <row r="435" spans="1:4" ht="16">
      <c r="A435" s="30" t="s">
        <v>1030</v>
      </c>
      <c r="B435" s="30" t="s">
        <v>1031</v>
      </c>
      <c r="C435" s="30" t="s">
        <v>61</v>
      </c>
      <c r="D435" s="30" t="s">
        <v>157</v>
      </c>
    </row>
    <row r="436" spans="1:4" ht="16">
      <c r="A436" s="30" t="s">
        <v>1032</v>
      </c>
      <c r="B436" s="30" t="s">
        <v>1033</v>
      </c>
      <c r="C436" s="30" t="s">
        <v>61</v>
      </c>
      <c r="D436" s="30" t="s">
        <v>1034</v>
      </c>
    </row>
    <row r="437" spans="1:4" ht="16">
      <c r="A437" s="30" t="s">
        <v>1035</v>
      </c>
      <c r="B437" s="30" t="s">
        <v>1036</v>
      </c>
      <c r="C437" s="30" t="s">
        <v>61</v>
      </c>
      <c r="D437" s="30" t="s">
        <v>69</v>
      </c>
    </row>
    <row r="438" spans="1:4" ht="16">
      <c r="A438" s="30" t="s">
        <v>1037</v>
      </c>
      <c r="B438" s="30" t="s">
        <v>1038</v>
      </c>
      <c r="C438" s="30" t="s">
        <v>61</v>
      </c>
      <c r="D438" s="30" t="s">
        <v>128</v>
      </c>
    </row>
    <row r="439" spans="1:4" ht="16">
      <c r="A439" s="30" t="s">
        <v>1039</v>
      </c>
      <c r="B439" s="30" t="s">
        <v>1040</v>
      </c>
      <c r="C439" s="30" t="s">
        <v>61</v>
      </c>
      <c r="D439" s="30" t="s">
        <v>232</v>
      </c>
    </row>
    <row r="440" spans="1:4" ht="16">
      <c r="A440" s="30" t="s">
        <v>1041</v>
      </c>
      <c r="B440" s="30" t="s">
        <v>1042</v>
      </c>
      <c r="C440" s="30" t="s">
        <v>61</v>
      </c>
      <c r="D440" s="30" t="s">
        <v>761</v>
      </c>
    </row>
    <row r="441" spans="1:4" ht="16">
      <c r="A441" s="30" t="s">
        <v>1043</v>
      </c>
      <c r="B441" s="30" t="s">
        <v>1044</v>
      </c>
      <c r="C441" s="30" t="s">
        <v>61</v>
      </c>
      <c r="D441" s="30" t="s">
        <v>294</v>
      </c>
    </row>
    <row r="442" spans="1:4" ht="16">
      <c r="A442" s="30" t="s">
        <v>1045</v>
      </c>
      <c r="B442" s="30" t="s">
        <v>1046</v>
      </c>
      <c r="C442" s="30" t="s">
        <v>151</v>
      </c>
      <c r="D442" s="30" t="s">
        <v>152</v>
      </c>
    </row>
    <row r="443" spans="1:4" ht="16">
      <c r="A443" s="30" t="s">
        <v>1047</v>
      </c>
      <c r="B443" s="30" t="s">
        <v>1048</v>
      </c>
      <c r="C443" s="30" t="s">
        <v>452</v>
      </c>
      <c r="D443" s="30" t="s">
        <v>82</v>
      </c>
    </row>
    <row r="444" spans="1:4" ht="16">
      <c r="A444" s="30" t="s">
        <v>1049</v>
      </c>
      <c r="B444" s="30" t="s">
        <v>1050</v>
      </c>
      <c r="C444" s="30" t="s">
        <v>59</v>
      </c>
      <c r="D444" s="30" t="s">
        <v>82</v>
      </c>
    </row>
    <row r="445" spans="1:4" ht="16">
      <c r="A445" s="30" t="s">
        <v>1051</v>
      </c>
      <c r="B445" s="30" t="s">
        <v>1052</v>
      </c>
      <c r="C445" s="30" t="s">
        <v>61</v>
      </c>
      <c r="D445" s="30" t="s">
        <v>62</v>
      </c>
    </row>
    <row r="446" spans="1:4" ht="16">
      <c r="A446" s="30" t="s">
        <v>1053</v>
      </c>
      <c r="B446" s="30" t="s">
        <v>1054</v>
      </c>
      <c r="C446" s="30" t="s">
        <v>61</v>
      </c>
      <c r="D446" s="30" t="s">
        <v>62</v>
      </c>
    </row>
    <row r="447" spans="1:4" ht="16">
      <c r="A447" s="30" t="s">
        <v>1055</v>
      </c>
      <c r="B447" s="30" t="s">
        <v>1056</v>
      </c>
      <c r="C447" s="30" t="s">
        <v>176</v>
      </c>
      <c r="D447" s="30" t="s">
        <v>82</v>
      </c>
    </row>
    <row r="448" spans="1:4" ht="16">
      <c r="A448" s="30" t="s">
        <v>1057</v>
      </c>
      <c r="B448" s="30" t="s">
        <v>1058</v>
      </c>
      <c r="C448" s="30" t="s">
        <v>61</v>
      </c>
      <c r="D448" s="30" t="s">
        <v>761</v>
      </c>
    </row>
    <row r="449" spans="1:4" ht="16">
      <c r="A449" s="30" t="s">
        <v>1059</v>
      </c>
      <c r="B449" s="30" t="s">
        <v>1060</v>
      </c>
      <c r="C449" s="30" t="s">
        <v>1061</v>
      </c>
      <c r="D449" s="30" t="s">
        <v>848</v>
      </c>
    </row>
    <row r="450" spans="1:4" ht="16">
      <c r="A450" s="30" t="s">
        <v>1062</v>
      </c>
      <c r="B450" s="30" t="s">
        <v>1063</v>
      </c>
      <c r="C450" s="30" t="s">
        <v>61</v>
      </c>
      <c r="D450" s="30" t="s">
        <v>160</v>
      </c>
    </row>
    <row r="451" spans="1:4" ht="16">
      <c r="A451" s="30" t="s">
        <v>1064</v>
      </c>
      <c r="B451" s="30" t="s">
        <v>1065</v>
      </c>
      <c r="C451" s="30" t="s">
        <v>59</v>
      </c>
      <c r="D451" s="30" t="s">
        <v>82</v>
      </c>
    </row>
    <row r="452" spans="1:4" ht="16">
      <c r="A452" s="30" t="s">
        <v>1066</v>
      </c>
      <c r="B452" s="30" t="s">
        <v>1067</v>
      </c>
      <c r="C452" s="30" t="s">
        <v>141</v>
      </c>
      <c r="D452" s="30" t="s">
        <v>82</v>
      </c>
    </row>
    <row r="453" spans="1:4" ht="16">
      <c r="A453" s="30" t="s">
        <v>1068</v>
      </c>
      <c r="B453" s="30" t="s">
        <v>1069</v>
      </c>
      <c r="C453" s="30" t="s">
        <v>61</v>
      </c>
      <c r="D453" s="30" t="s">
        <v>103</v>
      </c>
    </row>
    <row r="454" spans="1:4" ht="16">
      <c r="A454" s="30" t="s">
        <v>1070</v>
      </c>
      <c r="B454" s="30" t="s">
        <v>1071</v>
      </c>
      <c r="C454" s="30" t="s">
        <v>61</v>
      </c>
      <c r="D454" s="30" t="s">
        <v>346</v>
      </c>
    </row>
    <row r="455" spans="1:4" ht="16">
      <c r="A455" s="30" t="s">
        <v>1072</v>
      </c>
      <c r="B455" s="30" t="s">
        <v>1073</v>
      </c>
      <c r="C455" s="30" t="s">
        <v>61</v>
      </c>
      <c r="D455" s="30" t="s">
        <v>103</v>
      </c>
    </row>
    <row r="456" spans="1:4" ht="16">
      <c r="A456" s="30" t="s">
        <v>1074</v>
      </c>
      <c r="B456" s="30" t="s">
        <v>1075</v>
      </c>
      <c r="C456" s="30" t="s">
        <v>61</v>
      </c>
      <c r="D456" s="30" t="s">
        <v>103</v>
      </c>
    </row>
    <row r="457" spans="1:4" ht="16">
      <c r="A457" s="30" t="s">
        <v>1076</v>
      </c>
      <c r="B457" s="30" t="s">
        <v>1077</v>
      </c>
      <c r="C457" s="30" t="s">
        <v>257</v>
      </c>
      <c r="D457" s="30" t="s">
        <v>160</v>
      </c>
    </row>
    <row r="458" spans="1:4" ht="16">
      <c r="A458" s="30" t="s">
        <v>1078</v>
      </c>
      <c r="B458" s="30" t="s">
        <v>1079</v>
      </c>
      <c r="C458" s="30" t="s">
        <v>61</v>
      </c>
      <c r="D458" s="30" t="s">
        <v>103</v>
      </c>
    </row>
    <row r="459" spans="1:4" ht="16">
      <c r="A459" s="30" t="s">
        <v>1080</v>
      </c>
      <c r="B459" s="30" t="s">
        <v>1081</v>
      </c>
      <c r="C459" s="30" t="s">
        <v>61</v>
      </c>
      <c r="D459" s="30" t="s">
        <v>160</v>
      </c>
    </row>
    <row r="460" spans="1:4" ht="16">
      <c r="A460" s="30" t="s">
        <v>1082</v>
      </c>
      <c r="B460" s="30" t="s">
        <v>1083</v>
      </c>
      <c r="C460" s="30" t="s">
        <v>61</v>
      </c>
      <c r="D460" s="30" t="s">
        <v>260</v>
      </c>
    </row>
    <row r="461" spans="1:4" ht="16">
      <c r="A461" s="30" t="s">
        <v>1084</v>
      </c>
      <c r="B461" s="30" t="s">
        <v>1085</v>
      </c>
      <c r="C461" s="30" t="s">
        <v>61</v>
      </c>
      <c r="D461" s="30" t="s">
        <v>103</v>
      </c>
    </row>
    <row r="462" spans="1:4" ht="16">
      <c r="A462" s="30" t="s">
        <v>1086</v>
      </c>
      <c r="B462" s="30" t="s">
        <v>1087</v>
      </c>
      <c r="C462" s="30" t="s">
        <v>257</v>
      </c>
      <c r="D462" s="30" t="s">
        <v>232</v>
      </c>
    </row>
    <row r="463" spans="1:4" ht="16">
      <c r="A463" s="30" t="s">
        <v>1088</v>
      </c>
      <c r="B463" s="30" t="s">
        <v>1089</v>
      </c>
      <c r="C463" s="30" t="s">
        <v>59</v>
      </c>
      <c r="D463" s="30" t="s">
        <v>82</v>
      </c>
    </row>
    <row r="464" spans="1:4" ht="16">
      <c r="A464" s="30" t="s">
        <v>1090</v>
      </c>
      <c r="B464" s="30" t="s">
        <v>1091</v>
      </c>
      <c r="C464" s="30" t="s">
        <v>61</v>
      </c>
      <c r="D464" s="30" t="s">
        <v>62</v>
      </c>
    </row>
    <row r="465" spans="1:4" ht="16">
      <c r="A465" s="30" t="s">
        <v>1092</v>
      </c>
      <c r="B465" s="30" t="s">
        <v>1093</v>
      </c>
      <c r="C465" s="30" t="s">
        <v>59</v>
      </c>
      <c r="D465" s="30" t="s">
        <v>82</v>
      </c>
    </row>
    <row r="466" spans="1:4" ht="16">
      <c r="A466" s="30" t="s">
        <v>1094</v>
      </c>
      <c r="B466" s="30" t="s">
        <v>1095</v>
      </c>
      <c r="C466" s="30" t="s">
        <v>59</v>
      </c>
      <c r="D466" s="30" t="s">
        <v>82</v>
      </c>
    </row>
    <row r="467" spans="1:4" ht="16">
      <c r="A467" s="30" t="s">
        <v>1096</v>
      </c>
      <c r="B467" s="30" t="s">
        <v>1097</v>
      </c>
      <c r="C467" s="30" t="s">
        <v>141</v>
      </c>
      <c r="D467" s="30" t="s">
        <v>82</v>
      </c>
    </row>
    <row r="468" spans="1:4" ht="16">
      <c r="A468" s="30" t="s">
        <v>1098</v>
      </c>
      <c r="B468" s="30" t="s">
        <v>1099</v>
      </c>
      <c r="C468" s="30" t="s">
        <v>65</v>
      </c>
      <c r="D468" s="30" t="s">
        <v>69</v>
      </c>
    </row>
    <row r="469" spans="1:4" ht="16">
      <c r="A469" s="30" t="s">
        <v>1100</v>
      </c>
      <c r="B469" s="30" t="s">
        <v>1101</v>
      </c>
      <c r="C469" s="30" t="s">
        <v>65</v>
      </c>
      <c r="D469" s="30" t="s">
        <v>66</v>
      </c>
    </row>
    <row r="470" spans="1:4" ht="16">
      <c r="A470" s="30" t="s">
        <v>1102</v>
      </c>
      <c r="B470" s="30" t="s">
        <v>1103</v>
      </c>
      <c r="C470" s="30" t="s">
        <v>65</v>
      </c>
      <c r="D470" s="30" t="s">
        <v>66</v>
      </c>
    </row>
    <row r="471" spans="1:4" ht="16">
      <c r="A471" s="30" t="s">
        <v>1104</v>
      </c>
      <c r="B471" s="30" t="s">
        <v>1105</v>
      </c>
      <c r="C471" s="30" t="s">
        <v>141</v>
      </c>
      <c r="D471" s="30" t="s">
        <v>82</v>
      </c>
    </row>
    <row r="472" spans="1:4" ht="16">
      <c r="A472" s="30" t="s">
        <v>1106</v>
      </c>
      <c r="B472" s="30" t="s">
        <v>1107</v>
      </c>
      <c r="C472" s="30" t="s">
        <v>59</v>
      </c>
      <c r="D472" s="30" t="s">
        <v>82</v>
      </c>
    </row>
    <row r="473" spans="1:4" ht="16">
      <c r="A473" s="30" t="s">
        <v>1108</v>
      </c>
      <c r="B473" s="30" t="s">
        <v>1109</v>
      </c>
      <c r="C473" s="30" t="s">
        <v>61</v>
      </c>
      <c r="D473" s="30" t="s">
        <v>1110</v>
      </c>
    </row>
    <row r="474" spans="1:4" ht="16">
      <c r="A474" s="30" t="s">
        <v>1111</v>
      </c>
      <c r="B474" s="30" t="s">
        <v>1112</v>
      </c>
      <c r="C474" s="30" t="s">
        <v>61</v>
      </c>
      <c r="D474" s="30" t="s">
        <v>160</v>
      </c>
    </row>
    <row r="475" spans="1:4" ht="16">
      <c r="A475" s="30" t="s">
        <v>1113</v>
      </c>
      <c r="B475" s="30" t="s">
        <v>1114</v>
      </c>
      <c r="C475" s="30" t="s">
        <v>257</v>
      </c>
      <c r="D475" s="30" t="s">
        <v>232</v>
      </c>
    </row>
    <row r="476" spans="1:4" ht="16">
      <c r="A476" s="30" t="s">
        <v>1115</v>
      </c>
      <c r="B476" s="30" t="s">
        <v>1116</v>
      </c>
      <c r="C476" s="30" t="s">
        <v>376</v>
      </c>
      <c r="D476" s="30" t="s">
        <v>82</v>
      </c>
    </row>
    <row r="477" spans="1:4" ht="16">
      <c r="A477" s="30" t="s">
        <v>1117</v>
      </c>
      <c r="B477" s="30" t="s">
        <v>1118</v>
      </c>
      <c r="C477" s="30" t="s">
        <v>1119</v>
      </c>
      <c r="D477" s="30" t="s">
        <v>160</v>
      </c>
    </row>
    <row r="478" spans="1:4" ht="16">
      <c r="A478" s="30" t="s">
        <v>1120</v>
      </c>
      <c r="B478" s="30" t="s">
        <v>1121</v>
      </c>
      <c r="C478" s="30" t="s">
        <v>61</v>
      </c>
      <c r="D478" s="30" t="s">
        <v>103</v>
      </c>
    </row>
    <row r="479" spans="1:4" ht="16">
      <c r="A479" s="30" t="s">
        <v>1122</v>
      </c>
      <c r="B479" s="30" t="s">
        <v>1123</v>
      </c>
      <c r="C479" s="30" t="s">
        <v>257</v>
      </c>
      <c r="D479" s="30" t="s">
        <v>232</v>
      </c>
    </row>
    <row r="480" spans="1:4" ht="16">
      <c r="A480" s="30" t="s">
        <v>1124</v>
      </c>
      <c r="B480" s="30" t="s">
        <v>1125</v>
      </c>
      <c r="C480" s="30" t="s">
        <v>61</v>
      </c>
      <c r="D480" s="30" t="s">
        <v>103</v>
      </c>
    </row>
    <row r="481" spans="1:4" ht="16">
      <c r="A481" s="30" t="s">
        <v>1126</v>
      </c>
      <c r="B481" s="30" t="s">
        <v>1127</v>
      </c>
      <c r="C481" s="30" t="s">
        <v>1128</v>
      </c>
      <c r="D481" s="30" t="s">
        <v>300</v>
      </c>
    </row>
    <row r="482" spans="1:4" ht="16">
      <c r="A482" s="30" t="s">
        <v>1129</v>
      </c>
      <c r="B482" s="30" t="s">
        <v>1130</v>
      </c>
      <c r="C482" s="30" t="s">
        <v>65</v>
      </c>
      <c r="D482" s="30" t="s">
        <v>66</v>
      </c>
    </row>
    <row r="483" spans="1:4" ht="16">
      <c r="A483" s="30" t="s">
        <v>1131</v>
      </c>
      <c r="B483" s="30" t="s">
        <v>1132</v>
      </c>
      <c r="C483" s="30" t="s">
        <v>1133</v>
      </c>
      <c r="D483" s="30" t="s">
        <v>82</v>
      </c>
    </row>
    <row r="484" spans="1:4" ht="16">
      <c r="A484" s="30" t="s">
        <v>1134</v>
      </c>
      <c r="B484" s="30" t="s">
        <v>1135</v>
      </c>
      <c r="C484" s="30" t="s">
        <v>61</v>
      </c>
      <c r="D484" s="30" t="s">
        <v>232</v>
      </c>
    </row>
    <row r="485" spans="1:4" ht="16">
      <c r="A485" s="30" t="s">
        <v>1136</v>
      </c>
      <c r="B485" s="30" t="s">
        <v>1137</v>
      </c>
      <c r="C485" s="30" t="s">
        <v>141</v>
      </c>
      <c r="D485" s="30" t="s">
        <v>82</v>
      </c>
    </row>
    <row r="486" spans="1:4" ht="16">
      <c r="A486" s="30" t="s">
        <v>1138</v>
      </c>
      <c r="B486" s="30" t="s">
        <v>1139</v>
      </c>
      <c r="C486" s="30" t="s">
        <v>61</v>
      </c>
      <c r="D486" s="30" t="s">
        <v>62</v>
      </c>
    </row>
    <row r="487" spans="1:4" ht="16">
      <c r="A487" s="30" t="s">
        <v>1140</v>
      </c>
      <c r="B487" s="30" t="s">
        <v>1141</v>
      </c>
      <c r="C487" s="30" t="s">
        <v>61</v>
      </c>
      <c r="D487" s="30" t="s">
        <v>69</v>
      </c>
    </row>
    <row r="488" spans="1:4" ht="16">
      <c r="A488" s="30" t="s">
        <v>1142</v>
      </c>
      <c r="B488" s="30" t="s">
        <v>1143</v>
      </c>
      <c r="C488" s="30" t="s">
        <v>543</v>
      </c>
      <c r="D488" s="30" t="s">
        <v>544</v>
      </c>
    </row>
    <row r="489" spans="1:4" ht="16">
      <c r="A489" s="30" t="s">
        <v>1144</v>
      </c>
      <c r="B489" s="30" t="s">
        <v>1145</v>
      </c>
      <c r="C489" s="30" t="s">
        <v>141</v>
      </c>
      <c r="D489" s="30" t="s">
        <v>82</v>
      </c>
    </row>
    <row r="490" spans="1:4" ht="16">
      <c r="A490" s="30" t="s">
        <v>1146</v>
      </c>
      <c r="B490" s="30" t="s">
        <v>1147</v>
      </c>
      <c r="C490" s="30" t="s">
        <v>141</v>
      </c>
      <c r="D490" s="30" t="s">
        <v>82</v>
      </c>
    </row>
    <row r="491" spans="1:4" ht="16">
      <c r="A491" s="30" t="s">
        <v>1148</v>
      </c>
      <c r="B491" s="30" t="s">
        <v>1149</v>
      </c>
      <c r="C491" s="30" t="s">
        <v>61</v>
      </c>
      <c r="D491" s="30" t="s">
        <v>62</v>
      </c>
    </row>
    <row r="492" spans="1:4" ht="16">
      <c r="A492" s="30" t="s">
        <v>1150</v>
      </c>
      <c r="B492" s="30" t="s">
        <v>1151</v>
      </c>
      <c r="C492" s="30" t="s">
        <v>61</v>
      </c>
      <c r="D492" s="30" t="s">
        <v>103</v>
      </c>
    </row>
    <row r="493" spans="1:4" ht="16">
      <c r="A493" s="30" t="s">
        <v>1152</v>
      </c>
      <c r="B493" s="30" t="s">
        <v>1153</v>
      </c>
      <c r="C493" s="30" t="s">
        <v>59</v>
      </c>
      <c r="D493" s="30" t="s">
        <v>82</v>
      </c>
    </row>
    <row r="494" spans="1:4" ht="16">
      <c r="A494" s="30" t="s">
        <v>1154</v>
      </c>
      <c r="B494" s="30" t="s">
        <v>1155</v>
      </c>
      <c r="C494" s="30" t="s">
        <v>61</v>
      </c>
      <c r="D494" s="30" t="s">
        <v>152</v>
      </c>
    </row>
    <row r="495" spans="1:4" ht="16">
      <c r="A495" s="30" t="s">
        <v>1156</v>
      </c>
      <c r="B495" s="30" t="s">
        <v>1157</v>
      </c>
      <c r="C495" s="30" t="s">
        <v>61</v>
      </c>
      <c r="D495" s="30" t="s">
        <v>69</v>
      </c>
    </row>
    <row r="496" spans="1:4" ht="16">
      <c r="A496" s="30" t="s">
        <v>1158</v>
      </c>
      <c r="B496" s="30" t="s">
        <v>1159</v>
      </c>
      <c r="C496" s="30" t="s">
        <v>231</v>
      </c>
      <c r="D496" s="30" t="s">
        <v>86</v>
      </c>
    </row>
    <row r="497" spans="1:4" ht="16">
      <c r="A497" s="30" t="s">
        <v>1160</v>
      </c>
      <c r="B497" s="30" t="s">
        <v>1161</v>
      </c>
      <c r="C497" s="30" t="s">
        <v>65</v>
      </c>
      <c r="D497" s="30" t="s">
        <v>66</v>
      </c>
    </row>
    <row r="498" spans="1:4" ht="16">
      <c r="A498" s="30" t="s">
        <v>1162</v>
      </c>
      <c r="B498" s="30" t="s">
        <v>1163</v>
      </c>
      <c r="C498" s="30" t="s">
        <v>59</v>
      </c>
      <c r="D498" s="30" t="s">
        <v>82</v>
      </c>
    </row>
    <row r="499" spans="1:4" ht="16">
      <c r="A499" s="30" t="s">
        <v>1164</v>
      </c>
      <c r="B499" s="30" t="s">
        <v>1165</v>
      </c>
      <c r="C499" s="30" t="s">
        <v>65</v>
      </c>
      <c r="D499" s="30" t="s">
        <v>66</v>
      </c>
    </row>
    <row r="500" spans="1:4" ht="16">
      <c r="A500" s="30" t="s">
        <v>1166</v>
      </c>
      <c r="B500" s="30" t="s">
        <v>1167</v>
      </c>
      <c r="C500" s="30" t="s">
        <v>141</v>
      </c>
      <c r="D500" s="30" t="s">
        <v>82</v>
      </c>
    </row>
    <row r="501" spans="1:4" ht="16">
      <c r="A501" s="30" t="s">
        <v>1168</v>
      </c>
      <c r="B501" s="30" t="s">
        <v>1169</v>
      </c>
      <c r="C501" s="30" t="s">
        <v>59</v>
      </c>
      <c r="D501" s="30" t="s">
        <v>82</v>
      </c>
    </row>
    <row r="502" spans="1:4" ht="16">
      <c r="A502" s="30" t="s">
        <v>1170</v>
      </c>
      <c r="B502" s="30" t="s">
        <v>1171</v>
      </c>
      <c r="C502" s="30" t="s">
        <v>61</v>
      </c>
      <c r="D502" s="30" t="s">
        <v>232</v>
      </c>
    </row>
    <row r="503" spans="1:4" ht="16">
      <c r="A503" s="30" t="s">
        <v>1172</v>
      </c>
      <c r="B503" s="30" t="s">
        <v>1173</v>
      </c>
      <c r="C503" s="30" t="s">
        <v>61</v>
      </c>
      <c r="D503" s="30" t="s">
        <v>232</v>
      </c>
    </row>
    <row r="504" spans="1:4" ht="16">
      <c r="A504" s="30" t="s">
        <v>1172</v>
      </c>
      <c r="B504" s="30" t="s">
        <v>1173</v>
      </c>
      <c r="C504" s="30" t="s">
        <v>61</v>
      </c>
      <c r="D504" s="30" t="s">
        <v>62</v>
      </c>
    </row>
    <row r="505" spans="1:4" ht="16">
      <c r="A505" s="30" t="s">
        <v>1174</v>
      </c>
      <c r="B505" s="30" t="s">
        <v>1175</v>
      </c>
      <c r="C505" s="30" t="s">
        <v>59</v>
      </c>
      <c r="D505" s="30" t="s">
        <v>82</v>
      </c>
    </row>
    <row r="506" spans="1:4" ht="16">
      <c r="A506" s="30" t="s">
        <v>1176</v>
      </c>
      <c r="B506" s="30" t="s">
        <v>1177</v>
      </c>
      <c r="C506" s="30" t="s">
        <v>452</v>
      </c>
      <c r="D506" s="30" t="s">
        <v>82</v>
      </c>
    </row>
    <row r="507" spans="1:4" ht="16">
      <c r="A507" s="30" t="s">
        <v>1178</v>
      </c>
      <c r="B507" s="30" t="s">
        <v>1179</v>
      </c>
      <c r="C507" s="30" t="s">
        <v>1180</v>
      </c>
      <c r="D507" s="30" t="s">
        <v>75</v>
      </c>
    </row>
    <row r="508" spans="1:4" ht="16">
      <c r="A508" s="30" t="s">
        <v>1181</v>
      </c>
      <c r="B508" s="30" t="s">
        <v>1182</v>
      </c>
      <c r="C508" s="30" t="s">
        <v>59</v>
      </c>
      <c r="D508" s="30" t="s">
        <v>82</v>
      </c>
    </row>
    <row r="509" spans="1:4" ht="16">
      <c r="A509" s="30" t="s">
        <v>1183</v>
      </c>
      <c r="B509" s="30" t="s">
        <v>1184</v>
      </c>
      <c r="C509" s="30" t="s">
        <v>59</v>
      </c>
      <c r="D509" s="30" t="s">
        <v>82</v>
      </c>
    </row>
    <row r="510" spans="1:4" ht="16">
      <c r="A510" s="30" t="s">
        <v>1185</v>
      </c>
      <c r="B510" s="30" t="s">
        <v>1186</v>
      </c>
      <c r="C510" s="30" t="s">
        <v>61</v>
      </c>
      <c r="D510" s="30" t="s">
        <v>346</v>
      </c>
    </row>
    <row r="511" spans="1:4" ht="16">
      <c r="A511" s="30" t="s">
        <v>1187</v>
      </c>
      <c r="B511" s="30" t="s">
        <v>1188</v>
      </c>
      <c r="C511" s="30" t="s">
        <v>61</v>
      </c>
      <c r="D511" s="30" t="s">
        <v>103</v>
      </c>
    </row>
    <row r="512" spans="1:4" ht="16">
      <c r="A512" s="30" t="s">
        <v>1189</v>
      </c>
      <c r="B512" s="30" t="s">
        <v>1190</v>
      </c>
      <c r="C512" s="30" t="s">
        <v>61</v>
      </c>
      <c r="D512" s="30" t="s">
        <v>75</v>
      </c>
    </row>
    <row r="513" spans="1:4" ht="16">
      <c r="A513" s="30" t="s">
        <v>1189</v>
      </c>
      <c r="B513" s="30" t="s">
        <v>1190</v>
      </c>
      <c r="C513" s="30" t="s">
        <v>61</v>
      </c>
      <c r="D513" s="30" t="s">
        <v>210</v>
      </c>
    </row>
    <row r="514" spans="1:4" ht="16">
      <c r="A514" s="30" t="s">
        <v>1191</v>
      </c>
      <c r="B514" s="30" t="s">
        <v>1192</v>
      </c>
      <c r="C514" s="30" t="s">
        <v>452</v>
      </c>
      <c r="D514" s="30" t="s">
        <v>82</v>
      </c>
    </row>
    <row r="515" spans="1:4" ht="16">
      <c r="A515" s="30" t="s">
        <v>1193</v>
      </c>
      <c r="B515" s="30" t="s">
        <v>1194</v>
      </c>
      <c r="C515" s="30" t="s">
        <v>1195</v>
      </c>
      <c r="D515" s="30" t="s">
        <v>210</v>
      </c>
    </row>
    <row r="516" spans="1:4" ht="16">
      <c r="A516" s="30" t="s">
        <v>1196</v>
      </c>
      <c r="B516" s="30" t="s">
        <v>1197</v>
      </c>
      <c r="C516" s="30" t="s">
        <v>65</v>
      </c>
      <c r="D516" s="30" t="s">
        <v>66</v>
      </c>
    </row>
    <row r="517" spans="1:4" ht="16">
      <c r="A517" s="30" t="s">
        <v>1198</v>
      </c>
      <c r="B517" s="30" t="s">
        <v>1199</v>
      </c>
      <c r="C517" s="30" t="s">
        <v>61</v>
      </c>
      <c r="D517" s="30" t="s">
        <v>210</v>
      </c>
    </row>
    <row r="518" spans="1:4" ht="16">
      <c r="A518" s="30" t="s">
        <v>1200</v>
      </c>
      <c r="B518" s="30" t="s">
        <v>1201</v>
      </c>
      <c r="C518" s="30" t="s">
        <v>59</v>
      </c>
      <c r="D518" s="30" t="s">
        <v>82</v>
      </c>
    </row>
    <row r="519" spans="1:4" ht="16">
      <c r="A519" s="30" t="s">
        <v>1200</v>
      </c>
      <c r="B519" s="30" t="s">
        <v>1201</v>
      </c>
      <c r="C519" s="30" t="s">
        <v>61</v>
      </c>
      <c r="D519" s="30" t="s">
        <v>62</v>
      </c>
    </row>
    <row r="520" spans="1:4" ht="16">
      <c r="A520" s="30" t="s">
        <v>1202</v>
      </c>
      <c r="B520" s="30" t="s">
        <v>1203</v>
      </c>
      <c r="C520" s="30" t="s">
        <v>65</v>
      </c>
      <c r="D520" s="30" t="s">
        <v>66</v>
      </c>
    </row>
    <row r="521" spans="1:4" ht="16">
      <c r="A521" s="30" t="s">
        <v>1204</v>
      </c>
      <c r="B521" s="30" t="s">
        <v>1205</v>
      </c>
      <c r="C521" s="30" t="s">
        <v>61</v>
      </c>
      <c r="D521" s="30" t="s">
        <v>78</v>
      </c>
    </row>
    <row r="522" spans="1:4" ht="16">
      <c r="A522" s="30" t="s">
        <v>1206</v>
      </c>
      <c r="B522" s="30" t="s">
        <v>1207</v>
      </c>
      <c r="C522" s="30" t="s">
        <v>257</v>
      </c>
      <c r="D522" s="30" t="s">
        <v>232</v>
      </c>
    </row>
    <row r="523" spans="1:4" ht="16">
      <c r="A523" s="30" t="s">
        <v>1208</v>
      </c>
      <c r="B523" s="30" t="s">
        <v>1209</v>
      </c>
      <c r="C523" s="30" t="s">
        <v>61</v>
      </c>
      <c r="D523" s="30" t="s">
        <v>210</v>
      </c>
    </row>
    <row r="524" spans="1:4" ht="16">
      <c r="A524" s="30" t="s">
        <v>1210</v>
      </c>
      <c r="B524" s="30" t="s">
        <v>1211</v>
      </c>
      <c r="C524" s="30" t="s">
        <v>124</v>
      </c>
      <c r="D524" s="30" t="s">
        <v>210</v>
      </c>
    </row>
    <row r="525" spans="1:4" ht="16">
      <c r="A525" s="30" t="s">
        <v>1212</v>
      </c>
      <c r="B525" s="30" t="s">
        <v>1213</v>
      </c>
      <c r="C525" s="30" t="s">
        <v>85</v>
      </c>
      <c r="D525" s="30" t="s">
        <v>86</v>
      </c>
    </row>
    <row r="526" spans="1:4" ht="16">
      <c r="A526" s="30" t="s">
        <v>1214</v>
      </c>
      <c r="B526" s="30" t="s">
        <v>1215</v>
      </c>
      <c r="C526" s="30" t="s">
        <v>61</v>
      </c>
      <c r="D526" s="30" t="s">
        <v>69</v>
      </c>
    </row>
    <row r="527" spans="1:4" ht="16">
      <c r="A527" s="30" t="s">
        <v>1216</v>
      </c>
      <c r="B527" s="30" t="s">
        <v>1217</v>
      </c>
      <c r="C527" s="30" t="s">
        <v>61</v>
      </c>
      <c r="D527" s="30" t="s">
        <v>210</v>
      </c>
    </row>
    <row r="528" spans="1:4" ht="16">
      <c r="A528" s="30" t="s">
        <v>1218</v>
      </c>
      <c r="B528" s="30" t="s">
        <v>1219</v>
      </c>
      <c r="C528" s="30" t="s">
        <v>257</v>
      </c>
      <c r="D528" s="30" t="s">
        <v>232</v>
      </c>
    </row>
    <row r="529" spans="1:4" ht="16">
      <c r="A529" s="30" t="s">
        <v>1220</v>
      </c>
      <c r="B529" s="30" t="s">
        <v>1221</v>
      </c>
      <c r="C529" s="30" t="s">
        <v>61</v>
      </c>
      <c r="D529" s="30" t="s">
        <v>160</v>
      </c>
    </row>
    <row r="530" spans="1:4" ht="16">
      <c r="A530" s="30" t="s">
        <v>1222</v>
      </c>
      <c r="B530" s="30" t="s">
        <v>1223</v>
      </c>
      <c r="C530" s="30" t="s">
        <v>61</v>
      </c>
      <c r="D530" s="30" t="s">
        <v>260</v>
      </c>
    </row>
    <row r="531" spans="1:4" ht="16">
      <c r="A531" s="30" t="s">
        <v>1224</v>
      </c>
      <c r="B531" s="30" t="s">
        <v>1225</v>
      </c>
      <c r="C531" s="30" t="s">
        <v>85</v>
      </c>
      <c r="D531" s="30" t="s">
        <v>82</v>
      </c>
    </row>
    <row r="532" spans="1:4" ht="16">
      <c r="A532" s="30" t="s">
        <v>1226</v>
      </c>
      <c r="B532" s="30" t="s">
        <v>1227</v>
      </c>
      <c r="C532" s="30" t="s">
        <v>124</v>
      </c>
      <c r="D532" s="30" t="s">
        <v>210</v>
      </c>
    </row>
    <row r="533" spans="1:4" ht="16">
      <c r="A533" s="30" t="s">
        <v>1228</v>
      </c>
      <c r="B533" s="30" t="s">
        <v>1229</v>
      </c>
      <c r="C533" s="30" t="s">
        <v>257</v>
      </c>
      <c r="D533" s="30" t="s">
        <v>232</v>
      </c>
    </row>
    <row r="534" spans="1:4" ht="16">
      <c r="A534" s="30" t="s">
        <v>1230</v>
      </c>
      <c r="B534" s="30" t="s">
        <v>1231</v>
      </c>
      <c r="C534" s="30" t="s">
        <v>61</v>
      </c>
      <c r="D534" s="30" t="s">
        <v>232</v>
      </c>
    </row>
    <row r="535" spans="1:4" ht="16">
      <c r="A535" s="30" t="s">
        <v>1232</v>
      </c>
      <c r="B535" s="30" t="s">
        <v>1233</v>
      </c>
      <c r="C535" s="30" t="s">
        <v>61</v>
      </c>
      <c r="D535" s="30" t="s">
        <v>595</v>
      </c>
    </row>
    <row r="536" spans="1:4" ht="16">
      <c r="A536" s="30" t="s">
        <v>1234</v>
      </c>
      <c r="B536" s="30" t="s">
        <v>1235</v>
      </c>
      <c r="C536" s="30" t="s">
        <v>61</v>
      </c>
      <c r="D536" s="30" t="s">
        <v>148</v>
      </c>
    </row>
    <row r="537" spans="1:4" ht="16">
      <c r="A537" s="30" t="s">
        <v>1236</v>
      </c>
      <c r="B537" s="30" t="s">
        <v>1237</v>
      </c>
      <c r="C537" s="30" t="s">
        <v>257</v>
      </c>
      <c r="D537" s="30" t="s">
        <v>232</v>
      </c>
    </row>
    <row r="538" spans="1:4" ht="16">
      <c r="A538" s="30" t="s">
        <v>1238</v>
      </c>
      <c r="B538" s="30" t="s">
        <v>1239</v>
      </c>
      <c r="C538" s="30" t="s">
        <v>452</v>
      </c>
      <c r="D538" s="30" t="s">
        <v>792</v>
      </c>
    </row>
    <row r="539" spans="1:4" ht="16">
      <c r="A539" s="30" t="s">
        <v>1240</v>
      </c>
      <c r="B539" s="30" t="s">
        <v>1241</v>
      </c>
      <c r="C539" s="30" t="s">
        <v>65</v>
      </c>
      <c r="D539" s="30" t="s">
        <v>66</v>
      </c>
    </row>
    <row r="540" spans="1:4" ht="16">
      <c r="A540" s="30" t="s">
        <v>1242</v>
      </c>
      <c r="B540" s="30" t="s">
        <v>1243</v>
      </c>
      <c r="C540" s="30" t="s">
        <v>59</v>
      </c>
      <c r="D540" s="30" t="s">
        <v>82</v>
      </c>
    </row>
    <row r="541" spans="1:4" ht="16">
      <c r="A541" s="30" t="s">
        <v>1244</v>
      </c>
      <c r="B541" s="30" t="s">
        <v>1245</v>
      </c>
      <c r="C541" s="30" t="s">
        <v>141</v>
      </c>
      <c r="D541" s="30" t="s">
        <v>82</v>
      </c>
    </row>
    <row r="542" spans="1:4" ht="16">
      <c r="A542" s="30" t="s">
        <v>1246</v>
      </c>
      <c r="B542" s="30" t="s">
        <v>1247</v>
      </c>
      <c r="C542" s="30" t="s">
        <v>452</v>
      </c>
      <c r="D542" s="30" t="s">
        <v>882</v>
      </c>
    </row>
    <row r="543" spans="1:4" ht="16">
      <c r="A543" s="30" t="s">
        <v>1248</v>
      </c>
      <c r="B543" s="30" t="s">
        <v>1249</v>
      </c>
      <c r="C543" s="30" t="s">
        <v>141</v>
      </c>
      <c r="D543" s="30" t="s">
        <v>82</v>
      </c>
    </row>
    <row r="544" spans="1:4" ht="16">
      <c r="A544" s="30" t="s">
        <v>1250</v>
      </c>
      <c r="B544" s="30" t="s">
        <v>1251</v>
      </c>
      <c r="C544" s="30" t="s">
        <v>61</v>
      </c>
      <c r="D544" s="30" t="s">
        <v>89</v>
      </c>
    </row>
    <row r="545" spans="1:4" ht="16">
      <c r="A545" s="30" t="s">
        <v>1252</v>
      </c>
      <c r="B545" s="30" t="s">
        <v>1253</v>
      </c>
      <c r="C545" s="30" t="s">
        <v>61</v>
      </c>
      <c r="D545" s="30" t="s">
        <v>160</v>
      </c>
    </row>
    <row r="546" spans="1:4" ht="16">
      <c r="A546" s="30" t="s">
        <v>1254</v>
      </c>
      <c r="B546" s="30" t="s">
        <v>1255</v>
      </c>
      <c r="C546" s="30" t="s">
        <v>124</v>
      </c>
      <c r="D546" s="30" t="s">
        <v>210</v>
      </c>
    </row>
    <row r="547" spans="1:4" ht="16">
      <c r="A547" s="30" t="s">
        <v>1256</v>
      </c>
      <c r="B547" s="30" t="s">
        <v>1257</v>
      </c>
      <c r="C547" s="30" t="s">
        <v>61</v>
      </c>
      <c r="D547" s="30" t="s">
        <v>322</v>
      </c>
    </row>
    <row r="548" spans="1:4" ht="16">
      <c r="A548" s="30" t="s">
        <v>1258</v>
      </c>
      <c r="B548" s="30" t="s">
        <v>1259</v>
      </c>
      <c r="C548" s="30" t="s">
        <v>1260</v>
      </c>
      <c r="D548" s="30" t="s">
        <v>62</v>
      </c>
    </row>
    <row r="549" spans="1:4" ht="16">
      <c r="A549" s="30" t="s">
        <v>1261</v>
      </c>
      <c r="B549" s="30" t="s">
        <v>1262</v>
      </c>
      <c r="C549" s="30" t="s">
        <v>61</v>
      </c>
      <c r="D549" s="30" t="s">
        <v>171</v>
      </c>
    </row>
    <row r="550" spans="1:4" ht="16">
      <c r="A550" s="30" t="s">
        <v>1263</v>
      </c>
      <c r="B550" s="30" t="s">
        <v>1264</v>
      </c>
      <c r="C550" s="30" t="s">
        <v>287</v>
      </c>
      <c r="D550" s="30" t="s">
        <v>82</v>
      </c>
    </row>
    <row r="551" spans="1:4" ht="16">
      <c r="A551" s="30" t="s">
        <v>1265</v>
      </c>
      <c r="B551" s="30" t="s">
        <v>1266</v>
      </c>
      <c r="C551" s="30" t="s">
        <v>61</v>
      </c>
      <c r="D551" s="30" t="s">
        <v>92</v>
      </c>
    </row>
    <row r="552" spans="1:4" ht="16">
      <c r="A552" s="30" t="s">
        <v>1267</v>
      </c>
      <c r="B552" s="30" t="s">
        <v>1268</v>
      </c>
      <c r="C552" s="30" t="s">
        <v>141</v>
      </c>
      <c r="D552" s="30" t="s">
        <v>82</v>
      </c>
    </row>
    <row r="553" spans="1:4" ht="16">
      <c r="A553" s="30" t="s">
        <v>1269</v>
      </c>
      <c r="B553" s="30" t="s">
        <v>1270</v>
      </c>
      <c r="C553" s="30" t="s">
        <v>141</v>
      </c>
      <c r="D553" s="30" t="s">
        <v>82</v>
      </c>
    </row>
    <row r="554" spans="1:4" ht="16">
      <c r="A554" s="30" t="s">
        <v>1271</v>
      </c>
      <c r="B554" s="30" t="s">
        <v>1272</v>
      </c>
      <c r="C554" s="30" t="s">
        <v>61</v>
      </c>
      <c r="D554" s="30" t="s">
        <v>160</v>
      </c>
    </row>
    <row r="555" spans="1:4" ht="16">
      <c r="A555" s="30" t="s">
        <v>1273</v>
      </c>
      <c r="B555" s="30" t="s">
        <v>1274</v>
      </c>
      <c r="C555" s="30" t="s">
        <v>257</v>
      </c>
      <c r="D555" s="30" t="s">
        <v>232</v>
      </c>
    </row>
    <row r="556" spans="1:4" ht="16">
      <c r="A556" s="30" t="s">
        <v>1275</v>
      </c>
      <c r="B556" s="30" t="s">
        <v>1276</v>
      </c>
      <c r="C556" s="30" t="s">
        <v>176</v>
      </c>
      <c r="D556" s="30" t="s">
        <v>171</v>
      </c>
    </row>
    <row r="557" spans="1:4" ht="16">
      <c r="A557" s="30" t="s">
        <v>1277</v>
      </c>
      <c r="B557" s="30" t="s">
        <v>1278</v>
      </c>
      <c r="C557" s="30" t="s">
        <v>61</v>
      </c>
      <c r="D557" s="30" t="s">
        <v>69</v>
      </c>
    </row>
    <row r="558" spans="1:4" ht="16">
      <c r="A558" s="30" t="s">
        <v>1279</v>
      </c>
      <c r="B558" s="30" t="s">
        <v>1280</v>
      </c>
      <c r="C558" s="30" t="s">
        <v>452</v>
      </c>
      <c r="D558" s="30" t="s">
        <v>814</v>
      </c>
    </row>
    <row r="559" spans="1:4" ht="16">
      <c r="A559" s="30" t="s">
        <v>1281</v>
      </c>
      <c r="B559" s="30" t="s">
        <v>1282</v>
      </c>
      <c r="C559" s="30" t="s">
        <v>85</v>
      </c>
      <c r="D559" s="30" t="s">
        <v>260</v>
      </c>
    </row>
    <row r="560" spans="1:4" ht="16">
      <c r="A560" s="30" t="s">
        <v>1283</v>
      </c>
      <c r="B560" s="30" t="s">
        <v>1284</v>
      </c>
      <c r="C560" s="30" t="s">
        <v>1285</v>
      </c>
      <c r="D560" s="30" t="s">
        <v>177</v>
      </c>
    </row>
    <row r="561" spans="1:4" ht="16">
      <c r="A561" s="30" t="s">
        <v>1286</v>
      </c>
      <c r="B561" s="30" t="s">
        <v>1287</v>
      </c>
      <c r="C561" s="30" t="s">
        <v>215</v>
      </c>
      <c r="D561" s="30" t="s">
        <v>92</v>
      </c>
    </row>
    <row r="562" spans="1:4" ht="16">
      <c r="A562" s="30" t="s">
        <v>1286</v>
      </c>
      <c r="B562" s="30" t="s">
        <v>1287</v>
      </c>
      <c r="C562" s="30" t="s">
        <v>59</v>
      </c>
      <c r="D562" s="30" t="s">
        <v>82</v>
      </c>
    </row>
    <row r="563" spans="1:4" ht="16">
      <c r="A563" s="30" t="s">
        <v>1288</v>
      </c>
      <c r="B563" s="30" t="s">
        <v>1289</v>
      </c>
      <c r="C563" s="30" t="s">
        <v>65</v>
      </c>
      <c r="D563" s="30" t="s">
        <v>66</v>
      </c>
    </row>
    <row r="564" spans="1:4" ht="16">
      <c r="A564" s="30" t="s">
        <v>1290</v>
      </c>
      <c r="B564" s="30" t="s">
        <v>1291</v>
      </c>
      <c r="C564" s="30" t="s">
        <v>61</v>
      </c>
      <c r="D564" s="30" t="s">
        <v>1110</v>
      </c>
    </row>
    <row r="565" spans="1:4" ht="16">
      <c r="A565" s="30" t="s">
        <v>1292</v>
      </c>
      <c r="B565" s="30" t="s">
        <v>1293</v>
      </c>
      <c r="C565" s="30" t="s">
        <v>61</v>
      </c>
      <c r="D565" s="30" t="s">
        <v>103</v>
      </c>
    </row>
    <row r="566" spans="1:4" ht="16">
      <c r="A566" s="30" t="s">
        <v>1294</v>
      </c>
      <c r="B566" s="30" t="s">
        <v>1295</v>
      </c>
      <c r="C566" s="30" t="s">
        <v>61</v>
      </c>
      <c r="D566" s="30" t="s">
        <v>62</v>
      </c>
    </row>
    <row r="567" spans="1:4" ht="16">
      <c r="A567" s="30" t="s">
        <v>1296</v>
      </c>
      <c r="B567" s="30" t="s">
        <v>1297</v>
      </c>
      <c r="C567" s="30" t="s">
        <v>619</v>
      </c>
      <c r="D567" s="30" t="s">
        <v>210</v>
      </c>
    </row>
    <row r="568" spans="1:4" ht="16">
      <c r="A568" s="30" t="s">
        <v>1298</v>
      </c>
      <c r="B568" s="30" t="s">
        <v>1299</v>
      </c>
      <c r="C568" s="30" t="s">
        <v>176</v>
      </c>
      <c r="D568" s="30" t="s">
        <v>69</v>
      </c>
    </row>
    <row r="569" spans="1:4" ht="16">
      <c r="A569" s="30" t="s">
        <v>1300</v>
      </c>
      <c r="B569" s="30" t="s">
        <v>1301</v>
      </c>
      <c r="C569" s="30" t="s">
        <v>61</v>
      </c>
      <c r="D569" s="30" t="s">
        <v>148</v>
      </c>
    </row>
    <row r="570" spans="1:4" ht="16">
      <c r="A570" s="30" t="s">
        <v>1302</v>
      </c>
      <c r="B570" s="30" t="s">
        <v>1303</v>
      </c>
      <c r="C570" s="30" t="s">
        <v>61</v>
      </c>
      <c r="D570" s="30" t="s">
        <v>78</v>
      </c>
    </row>
    <row r="571" spans="1:4" ht="16">
      <c r="A571" s="30" t="s">
        <v>1304</v>
      </c>
      <c r="B571" s="30" t="s">
        <v>1305</v>
      </c>
      <c r="C571" s="30" t="s">
        <v>61</v>
      </c>
      <c r="D571" s="30" t="s">
        <v>62</v>
      </c>
    </row>
    <row r="572" spans="1:4" ht="16">
      <c r="A572" s="30" t="s">
        <v>1306</v>
      </c>
      <c r="B572" s="30" t="s">
        <v>1307</v>
      </c>
      <c r="C572" s="30" t="s">
        <v>124</v>
      </c>
      <c r="D572" s="30" t="s">
        <v>75</v>
      </c>
    </row>
    <row r="573" spans="1:4" ht="16">
      <c r="A573" s="30" t="s">
        <v>1308</v>
      </c>
      <c r="B573" s="30" t="s">
        <v>1309</v>
      </c>
      <c r="C573" s="30" t="s">
        <v>141</v>
      </c>
      <c r="D573" s="30" t="s">
        <v>82</v>
      </c>
    </row>
    <row r="574" spans="1:4" ht="16">
      <c r="A574" s="30" t="s">
        <v>1310</v>
      </c>
      <c r="B574" s="30" t="s">
        <v>1311</v>
      </c>
      <c r="C574" s="30" t="s">
        <v>608</v>
      </c>
      <c r="D574" s="30" t="s">
        <v>82</v>
      </c>
    </row>
    <row r="575" spans="1:4" ht="16">
      <c r="A575" s="30" t="s">
        <v>1312</v>
      </c>
      <c r="B575" s="30" t="s">
        <v>1313</v>
      </c>
      <c r="C575" s="30" t="s">
        <v>124</v>
      </c>
      <c r="D575" s="30" t="s">
        <v>75</v>
      </c>
    </row>
    <row r="576" spans="1:4" ht="16">
      <c r="A576" s="30" t="s">
        <v>1314</v>
      </c>
      <c r="B576" s="30" t="s">
        <v>1315</v>
      </c>
      <c r="C576" s="30" t="s">
        <v>124</v>
      </c>
      <c r="D576" s="30" t="s">
        <v>86</v>
      </c>
    </row>
    <row r="577" spans="1:4" ht="16">
      <c r="A577" s="30" t="s">
        <v>1316</v>
      </c>
      <c r="B577" s="30" t="s">
        <v>1317</v>
      </c>
      <c r="C577" s="30" t="s">
        <v>61</v>
      </c>
      <c r="D577" s="30" t="s">
        <v>896</v>
      </c>
    </row>
    <row r="578" spans="1:4" ht="16">
      <c r="A578" s="30" t="s">
        <v>1318</v>
      </c>
      <c r="B578" s="30" t="s">
        <v>1319</v>
      </c>
      <c r="C578" s="30" t="s">
        <v>257</v>
      </c>
      <c r="D578" s="30" t="s">
        <v>69</v>
      </c>
    </row>
    <row r="579" spans="1:4" ht="16">
      <c r="A579" s="30" t="s">
        <v>1320</v>
      </c>
      <c r="B579" s="30" t="s">
        <v>1321</v>
      </c>
      <c r="C579" s="30" t="s">
        <v>608</v>
      </c>
      <c r="D579" s="30" t="s">
        <v>82</v>
      </c>
    </row>
    <row r="580" spans="1:4" ht="16">
      <c r="A580" s="30" t="s">
        <v>1322</v>
      </c>
      <c r="B580" s="30" t="s">
        <v>1323</v>
      </c>
      <c r="C580" s="30" t="s">
        <v>1324</v>
      </c>
      <c r="D580" s="30" t="s">
        <v>62</v>
      </c>
    </row>
    <row r="581" spans="1:4" ht="16">
      <c r="A581" s="30" t="s">
        <v>1325</v>
      </c>
      <c r="B581" s="30" t="s">
        <v>1326</v>
      </c>
      <c r="C581" s="30" t="s">
        <v>452</v>
      </c>
      <c r="D581" s="30" t="s">
        <v>232</v>
      </c>
    </row>
    <row r="582" spans="1:4" ht="16">
      <c r="A582" s="30" t="s">
        <v>1327</v>
      </c>
      <c r="B582" s="30" t="s">
        <v>1328</v>
      </c>
      <c r="C582" s="30" t="s">
        <v>61</v>
      </c>
      <c r="D582" s="30" t="s">
        <v>103</v>
      </c>
    </row>
    <row r="583" spans="1:4" ht="16">
      <c r="A583" s="30" t="s">
        <v>1329</v>
      </c>
      <c r="B583" s="30" t="s">
        <v>1330</v>
      </c>
      <c r="C583" s="30" t="s">
        <v>61</v>
      </c>
      <c r="D583" s="30" t="s">
        <v>232</v>
      </c>
    </row>
    <row r="584" spans="1:4" ht="16">
      <c r="A584" s="30" t="s">
        <v>1331</v>
      </c>
      <c r="B584" s="30" t="s">
        <v>1332</v>
      </c>
      <c r="C584" s="30" t="s">
        <v>61</v>
      </c>
      <c r="D584" s="30" t="s">
        <v>69</v>
      </c>
    </row>
    <row r="585" spans="1:4" ht="16">
      <c r="A585" s="30" t="s">
        <v>1333</v>
      </c>
      <c r="B585" s="30" t="s">
        <v>1334</v>
      </c>
      <c r="C585" s="30" t="s">
        <v>257</v>
      </c>
      <c r="D585" s="30" t="s">
        <v>69</v>
      </c>
    </row>
    <row r="586" spans="1:4" ht="16">
      <c r="A586" s="30" t="s">
        <v>1335</v>
      </c>
      <c r="B586" s="30" t="s">
        <v>1336</v>
      </c>
      <c r="C586" s="30" t="s">
        <v>134</v>
      </c>
      <c r="D586" s="30" t="s">
        <v>69</v>
      </c>
    </row>
    <row r="587" spans="1:4" ht="16">
      <c r="A587" s="30" t="s">
        <v>1337</v>
      </c>
      <c r="B587" s="30" t="s">
        <v>1338</v>
      </c>
      <c r="C587" s="30" t="s">
        <v>65</v>
      </c>
      <c r="D587" s="30" t="s">
        <v>69</v>
      </c>
    </row>
    <row r="588" spans="1:4" ht="16">
      <c r="A588" s="30" t="s">
        <v>1339</v>
      </c>
      <c r="B588" s="30" t="s">
        <v>1340</v>
      </c>
      <c r="C588" s="30" t="s">
        <v>59</v>
      </c>
      <c r="D588" s="30" t="s">
        <v>82</v>
      </c>
    </row>
    <row r="589" spans="1:4" ht="16">
      <c r="A589" s="30" t="s">
        <v>1341</v>
      </c>
      <c r="B589" s="30" t="s">
        <v>1342</v>
      </c>
      <c r="C589" s="30" t="s">
        <v>81</v>
      </c>
      <c r="D589" s="30" t="s">
        <v>82</v>
      </c>
    </row>
    <row r="590" spans="1:4" ht="16">
      <c r="A590" s="30" t="s">
        <v>1343</v>
      </c>
      <c r="B590" s="30" t="s">
        <v>1344</v>
      </c>
      <c r="C590" s="30" t="s">
        <v>61</v>
      </c>
      <c r="D590" s="30" t="s">
        <v>1345</v>
      </c>
    </row>
    <row r="591" spans="1:4" ht="16">
      <c r="A591" s="30" t="s">
        <v>1346</v>
      </c>
      <c r="B591" s="30" t="s">
        <v>1347</v>
      </c>
      <c r="C591" s="30" t="s">
        <v>65</v>
      </c>
      <c r="D591" s="30" t="s">
        <v>69</v>
      </c>
    </row>
    <row r="592" spans="1:4" ht="16">
      <c r="A592" s="30" t="s">
        <v>1348</v>
      </c>
      <c r="B592" s="30" t="s">
        <v>1349</v>
      </c>
      <c r="C592" s="30" t="s">
        <v>59</v>
      </c>
      <c r="D592" s="30" t="s">
        <v>82</v>
      </c>
    </row>
    <row r="593" spans="1:4" ht="16">
      <c r="A593" s="30" t="s">
        <v>1350</v>
      </c>
      <c r="B593" s="30" t="s">
        <v>1351</v>
      </c>
      <c r="C593" s="30" t="s">
        <v>61</v>
      </c>
      <c r="D593" s="30" t="s">
        <v>1352</v>
      </c>
    </row>
    <row r="594" spans="1:4" ht="16">
      <c r="A594" s="30" t="s">
        <v>1353</v>
      </c>
      <c r="B594" s="30" t="s">
        <v>1354</v>
      </c>
      <c r="C594" s="30" t="s">
        <v>61</v>
      </c>
      <c r="D594" s="30" t="s">
        <v>131</v>
      </c>
    </row>
    <row r="595" spans="1:4" ht="16">
      <c r="A595" s="30" t="s">
        <v>1355</v>
      </c>
      <c r="B595" s="30" t="s">
        <v>1356</v>
      </c>
      <c r="C595" s="30" t="s">
        <v>100</v>
      </c>
      <c r="D595" s="30" t="s">
        <v>75</v>
      </c>
    </row>
    <row r="596" spans="1:4" ht="16">
      <c r="A596" s="30" t="s">
        <v>1357</v>
      </c>
      <c r="B596" s="30" t="s">
        <v>1358</v>
      </c>
      <c r="C596" s="30" t="s">
        <v>65</v>
      </c>
      <c r="D596" s="30" t="s">
        <v>66</v>
      </c>
    </row>
    <row r="597" spans="1:4" ht="16">
      <c r="A597" s="30" t="s">
        <v>1359</v>
      </c>
      <c r="B597" s="30" t="s">
        <v>1360</v>
      </c>
      <c r="C597" s="30" t="s">
        <v>61</v>
      </c>
      <c r="D597" s="30" t="s">
        <v>103</v>
      </c>
    </row>
    <row r="598" spans="1:4" ht="16">
      <c r="A598" s="30" t="s">
        <v>1361</v>
      </c>
      <c r="B598" s="30" t="s">
        <v>1362</v>
      </c>
      <c r="C598" s="30" t="s">
        <v>61</v>
      </c>
      <c r="D598" s="30" t="s">
        <v>103</v>
      </c>
    </row>
    <row r="599" spans="1:4" ht="16">
      <c r="A599" s="30" t="s">
        <v>1363</v>
      </c>
      <c r="B599" s="30" t="s">
        <v>1364</v>
      </c>
      <c r="C599" s="30" t="s">
        <v>61</v>
      </c>
      <c r="D599" s="30" t="s">
        <v>1365</v>
      </c>
    </row>
    <row r="600" spans="1:4" ht="16">
      <c r="A600" s="30" t="s">
        <v>1366</v>
      </c>
      <c r="B600" s="30" t="s">
        <v>1367</v>
      </c>
      <c r="C600" s="30" t="s">
        <v>134</v>
      </c>
      <c r="D600" s="30" t="s">
        <v>82</v>
      </c>
    </row>
    <row r="601" spans="1:4" ht="16">
      <c r="A601" s="30" t="s">
        <v>1368</v>
      </c>
      <c r="B601" s="30" t="s">
        <v>1369</v>
      </c>
      <c r="C601" s="30" t="s">
        <v>141</v>
      </c>
      <c r="D601" s="30" t="s">
        <v>82</v>
      </c>
    </row>
    <row r="602" spans="1:4" ht="16">
      <c r="A602" s="30" t="s">
        <v>1370</v>
      </c>
      <c r="B602" s="30" t="s">
        <v>1371</v>
      </c>
      <c r="C602" s="30" t="s">
        <v>257</v>
      </c>
      <c r="D602" s="30" t="s">
        <v>232</v>
      </c>
    </row>
    <row r="603" spans="1:4" ht="16">
      <c r="A603" s="30" t="s">
        <v>1372</v>
      </c>
      <c r="B603" s="30" t="s">
        <v>1373</v>
      </c>
      <c r="C603" s="30" t="s">
        <v>65</v>
      </c>
      <c r="D603" s="30" t="s">
        <v>66</v>
      </c>
    </row>
    <row r="604" spans="1:4" ht="16">
      <c r="A604" s="30" t="s">
        <v>1374</v>
      </c>
      <c r="B604" s="30" t="s">
        <v>1375</v>
      </c>
      <c r="C604" s="30" t="s">
        <v>452</v>
      </c>
      <c r="D604" s="30" t="s">
        <v>69</v>
      </c>
    </row>
    <row r="605" spans="1:4" ht="16">
      <c r="A605" s="30" t="s">
        <v>1376</v>
      </c>
      <c r="B605" s="30" t="s">
        <v>1377</v>
      </c>
      <c r="C605" s="30" t="s">
        <v>65</v>
      </c>
      <c r="D605" s="30" t="s">
        <v>66</v>
      </c>
    </row>
    <row r="606" spans="1:4" ht="16">
      <c r="A606" s="30" t="s">
        <v>1378</v>
      </c>
      <c r="B606" s="30" t="s">
        <v>1379</v>
      </c>
      <c r="C606" s="30" t="s">
        <v>1380</v>
      </c>
      <c r="D606" s="30" t="s">
        <v>848</v>
      </c>
    </row>
    <row r="607" spans="1:4" ht="16">
      <c r="A607" s="30" t="s">
        <v>1381</v>
      </c>
      <c r="B607" s="30" t="s">
        <v>1382</v>
      </c>
      <c r="C607" s="30" t="s">
        <v>61</v>
      </c>
      <c r="D607" s="30" t="s">
        <v>404</v>
      </c>
    </row>
    <row r="608" spans="1:4" ht="16">
      <c r="A608" s="30" t="s">
        <v>1383</v>
      </c>
      <c r="B608" s="30" t="s">
        <v>1384</v>
      </c>
      <c r="C608" s="30" t="s">
        <v>61</v>
      </c>
      <c r="D608" s="30" t="s">
        <v>260</v>
      </c>
    </row>
    <row r="609" spans="1:4" ht="16">
      <c r="A609" s="30" t="s">
        <v>1385</v>
      </c>
      <c r="B609" s="30" t="s">
        <v>1386</v>
      </c>
      <c r="C609" s="30" t="s">
        <v>376</v>
      </c>
      <c r="D609" s="30" t="s">
        <v>171</v>
      </c>
    </row>
    <row r="610" spans="1:4" ht="16">
      <c r="A610" s="30" t="s">
        <v>1387</v>
      </c>
      <c r="B610" s="30" t="s">
        <v>1388</v>
      </c>
      <c r="C610" s="30" t="s">
        <v>61</v>
      </c>
      <c r="D610" s="30" t="s">
        <v>86</v>
      </c>
    </row>
    <row r="611" spans="1:4" ht="16">
      <c r="A611" s="30" t="s">
        <v>1389</v>
      </c>
      <c r="B611" s="30" t="s">
        <v>1390</v>
      </c>
      <c r="C611" s="30" t="s">
        <v>847</v>
      </c>
      <c r="D611" s="30" t="s">
        <v>848</v>
      </c>
    </row>
    <row r="612" spans="1:4" ht="16">
      <c r="A612" s="30" t="s">
        <v>1391</v>
      </c>
      <c r="B612" s="30" t="s">
        <v>1392</v>
      </c>
      <c r="C612" s="30" t="s">
        <v>61</v>
      </c>
      <c r="D612" s="30" t="s">
        <v>840</v>
      </c>
    </row>
    <row r="613" spans="1:4" ht="16">
      <c r="A613" s="30" t="s">
        <v>1393</v>
      </c>
      <c r="B613" s="30" t="s">
        <v>1394</v>
      </c>
      <c r="C613" s="30" t="s">
        <v>65</v>
      </c>
      <c r="D613" s="30" t="s">
        <v>1395</v>
      </c>
    </row>
    <row r="614" spans="1:4" ht="16">
      <c r="A614" s="30" t="s">
        <v>1396</v>
      </c>
      <c r="B614" s="30" t="s">
        <v>1397</v>
      </c>
      <c r="C614" s="30" t="s">
        <v>61</v>
      </c>
      <c r="D614" s="30" t="s">
        <v>232</v>
      </c>
    </row>
    <row r="615" spans="1:4" ht="16">
      <c r="A615" s="30" t="s">
        <v>1398</v>
      </c>
      <c r="B615" s="30" t="s">
        <v>1399</v>
      </c>
      <c r="C615" s="30" t="s">
        <v>65</v>
      </c>
      <c r="D615" s="30" t="s">
        <v>69</v>
      </c>
    </row>
    <row r="616" spans="1:4" ht="16">
      <c r="A616" s="30" t="s">
        <v>1400</v>
      </c>
      <c r="B616" s="30" t="s">
        <v>1401</v>
      </c>
      <c r="C616" s="30" t="s">
        <v>61</v>
      </c>
      <c r="D616" s="30" t="s">
        <v>232</v>
      </c>
    </row>
    <row r="617" spans="1:4" ht="16">
      <c r="A617" s="30" t="s">
        <v>1402</v>
      </c>
      <c r="B617" s="30" t="s">
        <v>1403</v>
      </c>
      <c r="C617" s="30" t="s">
        <v>433</v>
      </c>
      <c r="D617" s="30" t="s">
        <v>341</v>
      </c>
    </row>
    <row r="618" spans="1:4" ht="16">
      <c r="A618" s="30" t="s">
        <v>1404</v>
      </c>
      <c r="B618" s="30" t="s">
        <v>1405</v>
      </c>
      <c r="C618" s="30" t="s">
        <v>65</v>
      </c>
      <c r="D618" s="30" t="s">
        <v>66</v>
      </c>
    </row>
    <row r="619" spans="1:4" ht="16">
      <c r="A619" s="30" t="s">
        <v>1406</v>
      </c>
      <c r="B619" s="30" t="s">
        <v>1407</v>
      </c>
      <c r="C619" s="30" t="s">
        <v>141</v>
      </c>
      <c r="D619" s="30" t="s">
        <v>82</v>
      </c>
    </row>
    <row r="620" spans="1:4" ht="16">
      <c r="A620" s="30" t="s">
        <v>1408</v>
      </c>
      <c r="B620" s="30" t="s">
        <v>1409</v>
      </c>
      <c r="C620" s="30" t="s">
        <v>141</v>
      </c>
      <c r="D620" s="30" t="s">
        <v>82</v>
      </c>
    </row>
    <row r="621" spans="1:4" ht="16">
      <c r="A621" s="30" t="s">
        <v>1410</v>
      </c>
      <c r="B621" s="30" t="s">
        <v>1411</v>
      </c>
      <c r="C621" s="30" t="s">
        <v>124</v>
      </c>
      <c r="D621" s="30" t="s">
        <v>840</v>
      </c>
    </row>
    <row r="622" spans="1:4" ht="16">
      <c r="A622" s="30" t="s">
        <v>1412</v>
      </c>
      <c r="B622" s="30" t="s">
        <v>1413</v>
      </c>
      <c r="C622" s="30" t="s">
        <v>257</v>
      </c>
      <c r="D622" s="30" t="s">
        <v>1414</v>
      </c>
    </row>
    <row r="623" spans="1:4" ht="16">
      <c r="A623" s="30" t="s">
        <v>1415</v>
      </c>
      <c r="B623" s="30" t="s">
        <v>1416</v>
      </c>
      <c r="C623" s="30" t="s">
        <v>61</v>
      </c>
      <c r="D623" s="30" t="s">
        <v>840</v>
      </c>
    </row>
    <row r="624" spans="1:4" ht="16">
      <c r="A624" s="30" t="s">
        <v>1417</v>
      </c>
      <c r="B624" s="30" t="s">
        <v>1418</v>
      </c>
      <c r="C624" s="30" t="s">
        <v>65</v>
      </c>
      <c r="D624" s="30" t="s">
        <v>66</v>
      </c>
    </row>
    <row r="625" spans="1:4" ht="16">
      <c r="A625" s="30" t="s">
        <v>1419</v>
      </c>
      <c r="B625" s="30" t="s">
        <v>1420</v>
      </c>
      <c r="C625" s="30" t="s">
        <v>619</v>
      </c>
      <c r="D625" s="30" t="s">
        <v>294</v>
      </c>
    </row>
    <row r="626" spans="1:4" ht="16">
      <c r="A626" s="30" t="s">
        <v>1421</v>
      </c>
      <c r="B626" s="30" t="s">
        <v>1422</v>
      </c>
      <c r="C626" s="30" t="s">
        <v>257</v>
      </c>
      <c r="D626" s="30" t="s">
        <v>232</v>
      </c>
    </row>
    <row r="627" spans="1:4" ht="16">
      <c r="A627" s="30" t="s">
        <v>1423</v>
      </c>
      <c r="B627" s="30" t="s">
        <v>1424</v>
      </c>
      <c r="C627" s="30" t="s">
        <v>61</v>
      </c>
      <c r="D627" s="30" t="s">
        <v>404</v>
      </c>
    </row>
    <row r="628" spans="1:4" ht="16">
      <c r="A628" s="30" t="s">
        <v>1425</v>
      </c>
      <c r="B628" s="30" t="s">
        <v>1426</v>
      </c>
      <c r="C628" s="30" t="s">
        <v>61</v>
      </c>
      <c r="D628" s="30" t="s">
        <v>160</v>
      </c>
    </row>
    <row r="629" spans="1:4" ht="16">
      <c r="A629" s="30" t="s">
        <v>1427</v>
      </c>
      <c r="B629" s="30" t="s">
        <v>1428</v>
      </c>
      <c r="C629" s="30" t="s">
        <v>61</v>
      </c>
      <c r="D629" s="30" t="s">
        <v>232</v>
      </c>
    </row>
    <row r="630" spans="1:4" ht="16">
      <c r="A630" s="30" t="s">
        <v>1429</v>
      </c>
      <c r="B630" s="30" t="s">
        <v>1430</v>
      </c>
      <c r="C630" s="30" t="s">
        <v>257</v>
      </c>
      <c r="D630" s="30" t="s">
        <v>232</v>
      </c>
    </row>
    <row r="631" spans="1:4" ht="16">
      <c r="A631" s="30" t="s">
        <v>1431</v>
      </c>
      <c r="B631" s="30" t="s">
        <v>1432</v>
      </c>
      <c r="C631" s="30" t="s">
        <v>61</v>
      </c>
      <c r="D631" s="30" t="s">
        <v>160</v>
      </c>
    </row>
    <row r="632" spans="1:4" ht="16">
      <c r="A632" s="30" t="s">
        <v>1433</v>
      </c>
      <c r="B632" s="30" t="s">
        <v>1434</v>
      </c>
      <c r="C632" s="30" t="s">
        <v>61</v>
      </c>
      <c r="D632" s="30" t="s">
        <v>232</v>
      </c>
    </row>
    <row r="633" spans="1:4" ht="16">
      <c r="A633" s="30" t="s">
        <v>1435</v>
      </c>
      <c r="B633" s="30" t="s">
        <v>1436</v>
      </c>
      <c r="C633" s="30" t="s">
        <v>61</v>
      </c>
      <c r="D633" s="30" t="s">
        <v>69</v>
      </c>
    </row>
    <row r="634" spans="1:4" ht="16">
      <c r="A634" s="30" t="s">
        <v>1437</v>
      </c>
      <c r="B634" s="30" t="s">
        <v>1438</v>
      </c>
      <c r="C634" s="30" t="s">
        <v>61</v>
      </c>
      <c r="D634" s="30" t="s">
        <v>232</v>
      </c>
    </row>
    <row r="635" spans="1:4" ht="16">
      <c r="A635" s="30" t="s">
        <v>1439</v>
      </c>
      <c r="B635" s="30" t="s">
        <v>1440</v>
      </c>
      <c r="C635" s="30" t="s">
        <v>61</v>
      </c>
      <c r="D635" s="30" t="s">
        <v>69</v>
      </c>
    </row>
    <row r="636" spans="1:4" ht="16">
      <c r="A636" s="30" t="s">
        <v>1441</v>
      </c>
      <c r="B636" s="30" t="s">
        <v>1442</v>
      </c>
      <c r="C636" s="30" t="s">
        <v>65</v>
      </c>
      <c r="D636" s="30" t="s">
        <v>78</v>
      </c>
    </row>
    <row r="637" spans="1:4" ht="16">
      <c r="A637" s="30" t="s">
        <v>1443</v>
      </c>
      <c r="B637" s="30" t="s">
        <v>1444</v>
      </c>
      <c r="C637" s="30" t="s">
        <v>138</v>
      </c>
      <c r="D637" s="30" t="s">
        <v>62</v>
      </c>
    </row>
    <row r="638" spans="1:4" ht="16">
      <c r="A638" s="30" t="s">
        <v>1445</v>
      </c>
      <c r="B638" s="30" t="s">
        <v>1446</v>
      </c>
      <c r="C638" s="30" t="s">
        <v>257</v>
      </c>
      <c r="D638" s="30" t="s">
        <v>232</v>
      </c>
    </row>
    <row r="639" spans="1:4" ht="16">
      <c r="A639" s="30" t="s">
        <v>1445</v>
      </c>
      <c r="B639" s="30" t="s">
        <v>1446</v>
      </c>
      <c r="C639" s="30" t="s">
        <v>61</v>
      </c>
      <c r="D639" s="30" t="s">
        <v>160</v>
      </c>
    </row>
    <row r="640" spans="1:4" ht="16">
      <c r="A640" s="30" t="s">
        <v>1447</v>
      </c>
      <c r="B640" s="30" t="s">
        <v>1448</v>
      </c>
      <c r="C640" s="30" t="s">
        <v>61</v>
      </c>
      <c r="D640" s="30" t="s">
        <v>128</v>
      </c>
    </row>
    <row r="641" spans="1:4" ht="16">
      <c r="A641" s="30" t="s">
        <v>1449</v>
      </c>
      <c r="B641" s="30" t="s">
        <v>1450</v>
      </c>
      <c r="C641" s="30" t="s">
        <v>141</v>
      </c>
      <c r="D641" s="30" t="s">
        <v>82</v>
      </c>
    </row>
    <row r="642" spans="1:4" ht="16">
      <c r="A642" s="30" t="s">
        <v>1451</v>
      </c>
      <c r="B642" s="30" t="s">
        <v>1452</v>
      </c>
      <c r="C642" s="30" t="s">
        <v>61</v>
      </c>
      <c r="D642" s="30" t="s">
        <v>160</v>
      </c>
    </row>
    <row r="643" spans="1:4" ht="16">
      <c r="A643" s="30" t="s">
        <v>1453</v>
      </c>
      <c r="B643" s="30" t="s">
        <v>1454</v>
      </c>
      <c r="C643" s="30" t="s">
        <v>138</v>
      </c>
      <c r="D643" s="30" t="s">
        <v>62</v>
      </c>
    </row>
    <row r="644" spans="1:4" ht="16">
      <c r="A644" s="30" t="s">
        <v>1455</v>
      </c>
      <c r="B644" s="30" t="s">
        <v>1456</v>
      </c>
      <c r="C644" s="30" t="s">
        <v>257</v>
      </c>
      <c r="D644" s="30" t="s">
        <v>160</v>
      </c>
    </row>
    <row r="645" spans="1:4" ht="16">
      <c r="A645" s="30" t="s">
        <v>1457</v>
      </c>
      <c r="B645" s="30" t="s">
        <v>1458</v>
      </c>
      <c r="C645" s="30" t="s">
        <v>978</v>
      </c>
      <c r="D645" s="30" t="s">
        <v>879</v>
      </c>
    </row>
    <row r="646" spans="1:4" ht="16">
      <c r="A646" s="30" t="s">
        <v>1459</v>
      </c>
      <c r="B646" s="30" t="s">
        <v>1460</v>
      </c>
      <c r="C646" s="30" t="s">
        <v>124</v>
      </c>
      <c r="D646" s="30" t="s">
        <v>148</v>
      </c>
    </row>
    <row r="647" spans="1:4" ht="16">
      <c r="A647" s="30" t="s">
        <v>1461</v>
      </c>
      <c r="B647" s="30" t="s">
        <v>1462</v>
      </c>
      <c r="C647" s="30" t="s">
        <v>59</v>
      </c>
      <c r="D647" s="30" t="s">
        <v>82</v>
      </c>
    </row>
    <row r="648" spans="1:4" ht="16">
      <c r="A648" s="30" t="s">
        <v>1463</v>
      </c>
      <c r="B648" s="30" t="s">
        <v>1464</v>
      </c>
      <c r="C648" s="30" t="s">
        <v>59</v>
      </c>
      <c r="D648" s="30" t="s">
        <v>82</v>
      </c>
    </row>
    <row r="649" spans="1:4" ht="16">
      <c r="A649" s="30" t="s">
        <v>1465</v>
      </c>
      <c r="B649" s="30" t="s">
        <v>1466</v>
      </c>
      <c r="C649" s="30" t="s">
        <v>59</v>
      </c>
      <c r="D649" s="30" t="s">
        <v>82</v>
      </c>
    </row>
    <row r="650" spans="1:4" ht="16">
      <c r="A650" s="30" t="s">
        <v>1467</v>
      </c>
      <c r="B650" s="30" t="s">
        <v>1468</v>
      </c>
      <c r="C650" s="30" t="s">
        <v>61</v>
      </c>
      <c r="D650" s="30" t="s">
        <v>92</v>
      </c>
    </row>
    <row r="651" spans="1:4" ht="16">
      <c r="A651" s="30" t="s">
        <v>1469</v>
      </c>
      <c r="B651" s="30" t="s">
        <v>1470</v>
      </c>
      <c r="C651" s="30" t="s">
        <v>61</v>
      </c>
      <c r="D651" s="30" t="s">
        <v>62</v>
      </c>
    </row>
    <row r="652" spans="1:4" ht="16">
      <c r="A652" s="30" t="s">
        <v>1471</v>
      </c>
      <c r="B652" s="30" t="s">
        <v>1472</v>
      </c>
      <c r="C652" s="30" t="s">
        <v>61</v>
      </c>
      <c r="D652" s="30" t="s">
        <v>62</v>
      </c>
    </row>
    <row r="653" spans="1:4" ht="16">
      <c r="A653" s="30" t="s">
        <v>1473</v>
      </c>
      <c r="B653" s="30" t="s">
        <v>1474</v>
      </c>
      <c r="C653" s="30" t="s">
        <v>61</v>
      </c>
      <c r="D653" s="30" t="s">
        <v>232</v>
      </c>
    </row>
    <row r="654" spans="1:4" ht="16">
      <c r="A654" s="30" t="s">
        <v>1475</v>
      </c>
      <c r="B654" s="30" t="s">
        <v>1476</v>
      </c>
      <c r="C654" s="30" t="s">
        <v>231</v>
      </c>
      <c r="D654" s="30" t="s">
        <v>341</v>
      </c>
    </row>
    <row r="655" spans="1:4" ht="16">
      <c r="A655" s="30" t="s">
        <v>1477</v>
      </c>
      <c r="B655" s="30" t="s">
        <v>1478</v>
      </c>
      <c r="C655" s="30" t="s">
        <v>389</v>
      </c>
      <c r="D655" s="30" t="s">
        <v>69</v>
      </c>
    </row>
    <row r="656" spans="1:4" ht="16">
      <c r="A656" s="30" t="s">
        <v>1479</v>
      </c>
      <c r="B656" s="30" t="s">
        <v>1480</v>
      </c>
      <c r="C656" s="30" t="s">
        <v>176</v>
      </c>
      <c r="D656" s="30" t="s">
        <v>171</v>
      </c>
    </row>
    <row r="657" spans="1:4" ht="16">
      <c r="A657" s="30" t="s">
        <v>1481</v>
      </c>
      <c r="B657" s="30" t="s">
        <v>1482</v>
      </c>
      <c r="C657" s="30" t="s">
        <v>1483</v>
      </c>
      <c r="D657" s="30" t="s">
        <v>75</v>
      </c>
    </row>
    <row r="658" spans="1:4" ht="16">
      <c r="A658" s="30" t="s">
        <v>1484</v>
      </c>
      <c r="B658" s="30" t="s">
        <v>1485</v>
      </c>
      <c r="C658" s="30" t="s">
        <v>59</v>
      </c>
      <c r="D658" s="30" t="s">
        <v>82</v>
      </c>
    </row>
    <row r="659" spans="1:4" ht="16">
      <c r="A659" s="30" t="s">
        <v>1486</v>
      </c>
      <c r="B659" s="30" t="s">
        <v>1487</v>
      </c>
      <c r="C659" s="30" t="s">
        <v>138</v>
      </c>
      <c r="D659" s="30" t="s">
        <v>62</v>
      </c>
    </row>
    <row r="660" spans="1:4" ht="16">
      <c r="A660" s="30" t="s">
        <v>1488</v>
      </c>
      <c r="B660" s="30" t="s">
        <v>1489</v>
      </c>
      <c r="C660" s="30" t="s">
        <v>61</v>
      </c>
      <c r="D660" s="30" t="s">
        <v>1490</v>
      </c>
    </row>
    <row r="661" spans="1:4" ht="16">
      <c r="A661" s="30" t="s">
        <v>1491</v>
      </c>
      <c r="B661" s="30" t="s">
        <v>1492</v>
      </c>
      <c r="C661" s="30" t="s">
        <v>141</v>
      </c>
      <c r="D661" s="30" t="s">
        <v>82</v>
      </c>
    </row>
    <row r="662" spans="1:4" ht="16">
      <c r="A662" s="30" t="s">
        <v>1493</v>
      </c>
      <c r="B662" s="30" t="s">
        <v>1494</v>
      </c>
      <c r="C662" s="30" t="s">
        <v>231</v>
      </c>
      <c r="D662" s="30" t="s">
        <v>75</v>
      </c>
    </row>
    <row r="663" spans="1:4" ht="16">
      <c r="A663" s="30" t="s">
        <v>1495</v>
      </c>
      <c r="B663" s="30" t="s">
        <v>1496</v>
      </c>
      <c r="C663" s="30" t="s">
        <v>61</v>
      </c>
      <c r="D663" s="30" t="s">
        <v>78</v>
      </c>
    </row>
    <row r="664" spans="1:4" ht="16">
      <c r="A664" s="30" t="s">
        <v>1497</v>
      </c>
      <c r="B664" s="30" t="s">
        <v>1498</v>
      </c>
      <c r="C664" s="30" t="s">
        <v>61</v>
      </c>
      <c r="D664" s="30" t="s">
        <v>69</v>
      </c>
    </row>
    <row r="665" spans="1:4" ht="16">
      <c r="A665" s="30" t="s">
        <v>1499</v>
      </c>
      <c r="B665" s="30" t="s">
        <v>1500</v>
      </c>
      <c r="C665" s="30" t="s">
        <v>1285</v>
      </c>
      <c r="D665" s="30" t="s">
        <v>171</v>
      </c>
    </row>
    <row r="666" spans="1:4" ht="16">
      <c r="A666" s="30" t="s">
        <v>1501</v>
      </c>
      <c r="B666" s="30" t="s">
        <v>1502</v>
      </c>
      <c r="C666" s="30" t="s">
        <v>61</v>
      </c>
      <c r="D666" s="30" t="s">
        <v>346</v>
      </c>
    </row>
    <row r="667" spans="1:4" ht="16">
      <c r="A667" s="30" t="s">
        <v>1503</v>
      </c>
      <c r="B667" s="30" t="s">
        <v>1504</v>
      </c>
      <c r="C667" s="30" t="s">
        <v>61</v>
      </c>
      <c r="D667" s="30" t="s">
        <v>232</v>
      </c>
    </row>
    <row r="668" spans="1:4" ht="16">
      <c r="A668" s="30" t="s">
        <v>1503</v>
      </c>
      <c r="B668" s="30" t="s">
        <v>1504</v>
      </c>
      <c r="C668" s="30" t="s">
        <v>61</v>
      </c>
      <c r="D668" s="30" t="s">
        <v>62</v>
      </c>
    </row>
    <row r="669" spans="1:4" ht="16">
      <c r="A669" s="30" t="s">
        <v>1505</v>
      </c>
      <c r="B669" s="30" t="s">
        <v>1506</v>
      </c>
      <c r="C669" s="30" t="s">
        <v>141</v>
      </c>
      <c r="D669" s="30" t="s">
        <v>82</v>
      </c>
    </row>
    <row r="670" spans="1:4" ht="16">
      <c r="A670" s="30" t="s">
        <v>1507</v>
      </c>
      <c r="B670" s="30" t="s">
        <v>1508</v>
      </c>
      <c r="C670" s="30" t="s">
        <v>59</v>
      </c>
      <c r="D670" s="30" t="s">
        <v>82</v>
      </c>
    </row>
    <row r="671" spans="1:4" ht="16">
      <c r="A671" s="30" t="s">
        <v>1509</v>
      </c>
      <c r="B671" s="30" t="s">
        <v>1510</v>
      </c>
      <c r="C671" s="30" t="s">
        <v>61</v>
      </c>
      <c r="D671" s="30" t="s">
        <v>148</v>
      </c>
    </row>
    <row r="672" spans="1:4" ht="16">
      <c r="A672" s="30" t="s">
        <v>1511</v>
      </c>
      <c r="B672" s="30" t="s">
        <v>1512</v>
      </c>
      <c r="C672" s="30" t="s">
        <v>1513</v>
      </c>
      <c r="D672" s="30" t="s">
        <v>177</v>
      </c>
    </row>
    <row r="673" spans="1:4" ht="16">
      <c r="A673" s="30" t="s">
        <v>1514</v>
      </c>
      <c r="B673" s="30" t="s">
        <v>1515</v>
      </c>
      <c r="C673" s="30" t="s">
        <v>1516</v>
      </c>
      <c r="D673" s="30" t="s">
        <v>66</v>
      </c>
    </row>
    <row r="674" spans="1:4" ht="16">
      <c r="A674" s="30" t="s">
        <v>1517</v>
      </c>
      <c r="B674" s="30" t="s">
        <v>1518</v>
      </c>
      <c r="C674" s="30" t="s">
        <v>257</v>
      </c>
      <c r="D674" s="30" t="s">
        <v>160</v>
      </c>
    </row>
    <row r="675" spans="1:4" ht="16">
      <c r="A675" s="30" t="s">
        <v>1519</v>
      </c>
      <c r="B675" s="30" t="s">
        <v>1520</v>
      </c>
      <c r="C675" s="30" t="s">
        <v>61</v>
      </c>
      <c r="D675" s="30" t="s">
        <v>160</v>
      </c>
    </row>
    <row r="676" spans="1:4" ht="16">
      <c r="A676" s="30" t="s">
        <v>1521</v>
      </c>
      <c r="B676" s="30" t="s">
        <v>1522</v>
      </c>
      <c r="C676" s="30" t="s">
        <v>433</v>
      </c>
      <c r="D676" s="30" t="s">
        <v>605</v>
      </c>
    </row>
    <row r="677" spans="1:4" ht="16">
      <c r="A677" s="30" t="s">
        <v>1523</v>
      </c>
      <c r="B677" s="30" t="s">
        <v>1524</v>
      </c>
      <c r="C677" s="30" t="s">
        <v>124</v>
      </c>
      <c r="D677" s="30" t="s">
        <v>148</v>
      </c>
    </row>
    <row r="678" spans="1:4" ht="16">
      <c r="A678" s="30" t="s">
        <v>1525</v>
      </c>
      <c r="B678" s="30" t="s">
        <v>1526</v>
      </c>
      <c r="C678" s="30" t="s">
        <v>141</v>
      </c>
      <c r="D678" s="30" t="s">
        <v>82</v>
      </c>
    </row>
    <row r="679" spans="1:4" ht="16">
      <c r="A679" s="30" t="s">
        <v>1527</v>
      </c>
      <c r="B679" s="30" t="s">
        <v>1528</v>
      </c>
      <c r="C679" s="30" t="s">
        <v>452</v>
      </c>
      <c r="D679" s="30" t="s">
        <v>912</v>
      </c>
    </row>
    <row r="680" spans="1:4" ht="16">
      <c r="A680" s="30" t="s">
        <v>1529</v>
      </c>
      <c r="B680" s="30" t="s">
        <v>1530</v>
      </c>
      <c r="C680" s="30" t="s">
        <v>59</v>
      </c>
      <c r="D680" s="30" t="s">
        <v>82</v>
      </c>
    </row>
    <row r="681" spans="1:4" ht="16">
      <c r="A681" s="30" t="s">
        <v>1531</v>
      </c>
      <c r="B681" s="30" t="s">
        <v>1532</v>
      </c>
      <c r="C681" s="30" t="s">
        <v>151</v>
      </c>
      <c r="D681" s="30" t="s">
        <v>75</v>
      </c>
    </row>
    <row r="682" spans="1:4" ht="16">
      <c r="A682" s="30" t="s">
        <v>1533</v>
      </c>
      <c r="B682" s="30" t="s">
        <v>1534</v>
      </c>
      <c r="C682" s="30" t="s">
        <v>604</v>
      </c>
      <c r="D682" s="30" t="s">
        <v>701</v>
      </c>
    </row>
    <row r="683" spans="1:4" ht="16">
      <c r="A683" s="30" t="s">
        <v>1535</v>
      </c>
      <c r="B683" s="30" t="s">
        <v>1536</v>
      </c>
      <c r="C683" s="30" t="s">
        <v>61</v>
      </c>
      <c r="D683" s="30" t="s">
        <v>69</v>
      </c>
    </row>
    <row r="684" spans="1:4" ht="16">
      <c r="A684" s="30" t="s">
        <v>1537</v>
      </c>
      <c r="B684" s="30" t="s">
        <v>1538</v>
      </c>
      <c r="C684" s="30" t="s">
        <v>376</v>
      </c>
      <c r="D684" s="30" t="s">
        <v>82</v>
      </c>
    </row>
    <row r="685" spans="1:4" ht="16">
      <c r="A685" s="30" t="s">
        <v>1539</v>
      </c>
      <c r="B685" s="30" t="s">
        <v>1540</v>
      </c>
      <c r="C685" s="30" t="s">
        <v>257</v>
      </c>
      <c r="D685" s="30" t="s">
        <v>160</v>
      </c>
    </row>
    <row r="686" spans="1:4" ht="16">
      <c r="A686" s="30" t="s">
        <v>1541</v>
      </c>
      <c r="B686" s="30" t="s">
        <v>1542</v>
      </c>
      <c r="C686" s="30" t="s">
        <v>61</v>
      </c>
      <c r="D686" s="30" t="s">
        <v>103</v>
      </c>
    </row>
    <row r="687" spans="1:4" ht="16">
      <c r="A687" s="30" t="s">
        <v>1543</v>
      </c>
      <c r="B687" s="30" t="s">
        <v>1544</v>
      </c>
      <c r="C687" s="30" t="s">
        <v>151</v>
      </c>
      <c r="D687" s="30" t="s">
        <v>260</v>
      </c>
    </row>
    <row r="688" spans="1:4" ht="16">
      <c r="A688" s="30" t="s">
        <v>1545</v>
      </c>
      <c r="B688" s="30" t="s">
        <v>1546</v>
      </c>
      <c r="C688" s="30" t="s">
        <v>59</v>
      </c>
      <c r="D688" s="30" t="s">
        <v>82</v>
      </c>
    </row>
    <row r="689" spans="1:4" ht="16">
      <c r="A689" s="30" t="s">
        <v>1547</v>
      </c>
      <c r="B689" s="30" t="s">
        <v>1548</v>
      </c>
      <c r="C689" s="30" t="s">
        <v>59</v>
      </c>
      <c r="D689" s="30" t="s">
        <v>82</v>
      </c>
    </row>
    <row r="690" spans="1:4" ht="16">
      <c r="A690" s="30" t="s">
        <v>1547</v>
      </c>
      <c r="B690" s="30" t="s">
        <v>1548</v>
      </c>
      <c r="C690" s="30" t="s">
        <v>61</v>
      </c>
      <c r="D690" s="30" t="s">
        <v>62</v>
      </c>
    </row>
    <row r="691" spans="1:4" ht="16">
      <c r="A691" s="30" t="s">
        <v>1549</v>
      </c>
      <c r="B691" s="30" t="s">
        <v>1550</v>
      </c>
      <c r="C691" s="30" t="s">
        <v>1551</v>
      </c>
      <c r="D691" s="30" t="s">
        <v>300</v>
      </c>
    </row>
    <row r="692" spans="1:4" ht="16">
      <c r="A692" s="30" t="s">
        <v>1552</v>
      </c>
      <c r="B692" s="30" t="s">
        <v>1553</v>
      </c>
      <c r="C692" s="30" t="s">
        <v>61</v>
      </c>
      <c r="D692" s="30" t="s">
        <v>237</v>
      </c>
    </row>
    <row r="693" spans="1:4" ht="16">
      <c r="A693" s="30" t="s">
        <v>1554</v>
      </c>
      <c r="B693" s="30" t="s">
        <v>1555</v>
      </c>
      <c r="C693" s="30" t="s">
        <v>65</v>
      </c>
      <c r="D693" s="30" t="s">
        <v>1395</v>
      </c>
    </row>
    <row r="694" spans="1:4" ht="16">
      <c r="A694" s="30" t="s">
        <v>1556</v>
      </c>
      <c r="B694" s="30" t="s">
        <v>1557</v>
      </c>
      <c r="C694" s="30" t="s">
        <v>134</v>
      </c>
      <c r="D694" s="30" t="s">
        <v>1558</v>
      </c>
    </row>
    <row r="695" spans="1:4" ht="16">
      <c r="A695" s="30" t="s">
        <v>1559</v>
      </c>
      <c r="B695" s="30" t="s">
        <v>1560</v>
      </c>
      <c r="C695" s="30" t="s">
        <v>619</v>
      </c>
      <c r="D695" s="30" t="s">
        <v>260</v>
      </c>
    </row>
    <row r="696" spans="1:4" ht="16">
      <c r="A696" s="30" t="s">
        <v>1561</v>
      </c>
      <c r="B696" s="30" t="s">
        <v>1562</v>
      </c>
      <c r="C696" s="30" t="s">
        <v>141</v>
      </c>
      <c r="D696" s="30" t="s">
        <v>82</v>
      </c>
    </row>
    <row r="697" spans="1:4" ht="16">
      <c r="A697" s="30" t="s">
        <v>1563</v>
      </c>
      <c r="B697" s="30" t="s">
        <v>1564</v>
      </c>
      <c r="C697" s="30" t="s">
        <v>61</v>
      </c>
      <c r="D697" s="30" t="s">
        <v>92</v>
      </c>
    </row>
    <row r="698" spans="1:4" ht="16">
      <c r="A698" s="30" t="s">
        <v>1565</v>
      </c>
      <c r="B698" s="30" t="s">
        <v>1566</v>
      </c>
      <c r="C698" s="30" t="s">
        <v>61</v>
      </c>
      <c r="D698" s="30" t="s">
        <v>103</v>
      </c>
    </row>
    <row r="699" spans="1:4" ht="16">
      <c r="A699" s="30" t="s">
        <v>1567</v>
      </c>
      <c r="B699" s="30" t="s">
        <v>1568</v>
      </c>
      <c r="C699" s="30" t="s">
        <v>246</v>
      </c>
      <c r="D699" s="30" t="s">
        <v>247</v>
      </c>
    </row>
    <row r="700" spans="1:4" ht="16">
      <c r="A700" s="30" t="s">
        <v>1569</v>
      </c>
      <c r="B700" s="30" t="s">
        <v>1570</v>
      </c>
      <c r="C700" s="30" t="s">
        <v>61</v>
      </c>
      <c r="D700" s="30" t="s">
        <v>69</v>
      </c>
    </row>
    <row r="701" spans="1:4" ht="16">
      <c r="A701" s="30" t="s">
        <v>1571</v>
      </c>
      <c r="B701" s="30" t="s">
        <v>1572</v>
      </c>
      <c r="C701" s="30" t="s">
        <v>61</v>
      </c>
      <c r="D701" s="30" t="s">
        <v>72</v>
      </c>
    </row>
    <row r="702" spans="1:4" ht="16">
      <c r="A702" s="30" t="s">
        <v>1573</v>
      </c>
      <c r="B702" s="30" t="s">
        <v>1574</v>
      </c>
      <c r="C702" s="30" t="s">
        <v>65</v>
      </c>
      <c r="D702" s="30" t="s">
        <v>69</v>
      </c>
    </row>
    <row r="703" spans="1:4" ht="16">
      <c r="A703" s="30" t="s">
        <v>1575</v>
      </c>
      <c r="B703" s="30" t="s">
        <v>1576</v>
      </c>
      <c r="C703" s="30" t="s">
        <v>141</v>
      </c>
      <c r="D703" s="30" t="s">
        <v>82</v>
      </c>
    </row>
    <row r="704" spans="1:4" ht="16">
      <c r="A704" s="30" t="s">
        <v>1577</v>
      </c>
      <c r="B704" s="30" t="s">
        <v>1578</v>
      </c>
      <c r="C704" s="30" t="s">
        <v>61</v>
      </c>
      <c r="D704" s="30" t="s">
        <v>103</v>
      </c>
    </row>
    <row r="705" spans="1:4" ht="16">
      <c r="A705" s="30" t="s">
        <v>1579</v>
      </c>
      <c r="B705" s="30" t="s">
        <v>1580</v>
      </c>
      <c r="C705" s="30" t="s">
        <v>61</v>
      </c>
      <c r="D705" s="30" t="s">
        <v>232</v>
      </c>
    </row>
    <row r="706" spans="1:4" ht="16">
      <c r="A706" s="30" t="s">
        <v>1579</v>
      </c>
      <c r="B706" s="30" t="s">
        <v>1580</v>
      </c>
      <c r="C706" s="30" t="s">
        <v>61</v>
      </c>
      <c r="D706" s="30" t="s">
        <v>62</v>
      </c>
    </row>
    <row r="707" spans="1:4" ht="16">
      <c r="A707" s="30" t="s">
        <v>1581</v>
      </c>
      <c r="B707" s="30" t="s">
        <v>1582</v>
      </c>
      <c r="C707" s="30" t="s">
        <v>61</v>
      </c>
      <c r="D707" s="30" t="s">
        <v>294</v>
      </c>
    </row>
    <row r="708" spans="1:4" ht="16">
      <c r="A708" s="30" t="s">
        <v>1583</v>
      </c>
      <c r="B708" s="30" t="s">
        <v>1584</v>
      </c>
      <c r="C708" s="30" t="s">
        <v>81</v>
      </c>
      <c r="D708" s="30" t="s">
        <v>82</v>
      </c>
    </row>
    <row r="709" spans="1:4" ht="16">
      <c r="A709" s="30" t="s">
        <v>1585</v>
      </c>
      <c r="B709" s="30" t="s">
        <v>1586</v>
      </c>
      <c r="C709" s="30" t="s">
        <v>124</v>
      </c>
      <c r="D709" s="30" t="s">
        <v>840</v>
      </c>
    </row>
    <row r="710" spans="1:4" ht="16">
      <c r="A710" s="30" t="s">
        <v>1587</v>
      </c>
      <c r="B710" s="30" t="s">
        <v>1588</v>
      </c>
      <c r="C710" s="30" t="s">
        <v>65</v>
      </c>
      <c r="D710" s="30" t="s">
        <v>66</v>
      </c>
    </row>
    <row r="711" spans="1:4" ht="16">
      <c r="A711" s="30" t="s">
        <v>1589</v>
      </c>
      <c r="B711" s="30" t="s">
        <v>1590</v>
      </c>
      <c r="C711" s="30" t="s">
        <v>61</v>
      </c>
      <c r="D711" s="30" t="s">
        <v>160</v>
      </c>
    </row>
    <row r="712" spans="1:4" ht="16">
      <c r="A712" s="30" t="s">
        <v>1591</v>
      </c>
      <c r="B712" s="30" t="s">
        <v>1592</v>
      </c>
      <c r="C712" s="30" t="s">
        <v>61</v>
      </c>
      <c r="D712" s="30" t="s">
        <v>160</v>
      </c>
    </row>
    <row r="713" spans="1:4" ht="16">
      <c r="A713" s="30" t="s">
        <v>1593</v>
      </c>
      <c r="B713" s="30" t="s">
        <v>1594</v>
      </c>
      <c r="C713" s="30" t="s">
        <v>61</v>
      </c>
      <c r="D713" s="30" t="s">
        <v>232</v>
      </c>
    </row>
    <row r="714" spans="1:4" ht="16">
      <c r="A714" s="30" t="s">
        <v>1595</v>
      </c>
      <c r="B714" s="30" t="s">
        <v>1596</v>
      </c>
      <c r="C714" s="30" t="s">
        <v>65</v>
      </c>
      <c r="D714" s="30" t="s">
        <v>66</v>
      </c>
    </row>
    <row r="715" spans="1:4" ht="16">
      <c r="A715" s="30" t="s">
        <v>1597</v>
      </c>
      <c r="B715" s="30" t="s">
        <v>1598</v>
      </c>
      <c r="C715" s="30" t="s">
        <v>257</v>
      </c>
      <c r="D715" s="30" t="s">
        <v>160</v>
      </c>
    </row>
    <row r="716" spans="1:4" ht="16">
      <c r="A716" s="30" t="s">
        <v>1599</v>
      </c>
      <c r="B716" s="30" t="s">
        <v>1600</v>
      </c>
      <c r="C716" s="30" t="s">
        <v>61</v>
      </c>
      <c r="D716" s="30" t="s">
        <v>117</v>
      </c>
    </row>
    <row r="717" spans="1:4" ht="16">
      <c r="A717" s="30" t="s">
        <v>1601</v>
      </c>
      <c r="B717" s="30" t="s">
        <v>1602</v>
      </c>
      <c r="C717" s="30" t="s">
        <v>59</v>
      </c>
      <c r="D717" s="30" t="s">
        <v>82</v>
      </c>
    </row>
    <row r="718" spans="1:4" ht="16">
      <c r="A718" s="30" t="s">
        <v>1603</v>
      </c>
      <c r="B718" s="30" t="s">
        <v>1604</v>
      </c>
      <c r="C718" s="30" t="s">
        <v>141</v>
      </c>
      <c r="D718" s="30" t="s">
        <v>82</v>
      </c>
    </row>
    <row r="719" spans="1:4" ht="16">
      <c r="A719" s="30" t="s">
        <v>1605</v>
      </c>
      <c r="B719" s="30" t="s">
        <v>1606</v>
      </c>
      <c r="C719" s="30" t="s">
        <v>81</v>
      </c>
      <c r="D719" s="30" t="s">
        <v>82</v>
      </c>
    </row>
    <row r="720" spans="1:4" ht="16">
      <c r="A720" s="30" t="s">
        <v>1607</v>
      </c>
      <c r="B720" s="30" t="s">
        <v>1608</v>
      </c>
      <c r="C720" s="30" t="s">
        <v>141</v>
      </c>
      <c r="D720" s="30" t="s">
        <v>82</v>
      </c>
    </row>
    <row r="721" spans="1:4" ht="16">
      <c r="A721" s="30" t="s">
        <v>1609</v>
      </c>
      <c r="B721" s="30" t="s">
        <v>1610</v>
      </c>
      <c r="C721" s="30" t="s">
        <v>176</v>
      </c>
      <c r="D721" s="30" t="s">
        <v>171</v>
      </c>
    </row>
    <row r="722" spans="1:4" ht="16">
      <c r="A722" s="30" t="s">
        <v>1611</v>
      </c>
      <c r="B722" s="30" t="s">
        <v>1612</v>
      </c>
      <c r="C722" s="30" t="s">
        <v>141</v>
      </c>
      <c r="D722" s="30" t="s">
        <v>82</v>
      </c>
    </row>
    <row r="723" spans="1:4" ht="16">
      <c r="A723" s="30" t="s">
        <v>1613</v>
      </c>
      <c r="B723" s="30" t="s">
        <v>1614</v>
      </c>
      <c r="C723" s="30" t="s">
        <v>59</v>
      </c>
      <c r="D723" s="30" t="s">
        <v>82</v>
      </c>
    </row>
    <row r="724" spans="1:4" ht="16">
      <c r="A724" s="30" t="s">
        <v>1615</v>
      </c>
      <c r="B724" s="30" t="s">
        <v>1616</v>
      </c>
      <c r="C724" s="30" t="s">
        <v>452</v>
      </c>
      <c r="D724" s="30" t="s">
        <v>62</v>
      </c>
    </row>
    <row r="725" spans="1:4" ht="16">
      <c r="A725" s="30" t="s">
        <v>1617</v>
      </c>
      <c r="B725" s="30" t="s">
        <v>1618</v>
      </c>
      <c r="C725" s="30" t="s">
        <v>65</v>
      </c>
      <c r="D725" s="30" t="s">
        <v>66</v>
      </c>
    </row>
    <row r="726" spans="1:4" ht="16">
      <c r="A726" s="30" t="s">
        <v>1619</v>
      </c>
      <c r="B726" s="30" t="s">
        <v>1620</v>
      </c>
      <c r="C726" s="30" t="s">
        <v>651</v>
      </c>
      <c r="D726" s="30" t="s">
        <v>232</v>
      </c>
    </row>
    <row r="727" spans="1:4" ht="16">
      <c r="A727" s="30" t="s">
        <v>1621</v>
      </c>
      <c r="B727" s="30" t="s">
        <v>1622</v>
      </c>
      <c r="C727" s="30" t="s">
        <v>61</v>
      </c>
      <c r="D727" s="30" t="s">
        <v>103</v>
      </c>
    </row>
    <row r="728" spans="1:4" ht="16">
      <c r="A728" s="30" t="s">
        <v>1623</v>
      </c>
      <c r="B728" s="30" t="s">
        <v>1624</v>
      </c>
      <c r="C728" s="30" t="s">
        <v>61</v>
      </c>
      <c r="D728" s="30" t="s">
        <v>103</v>
      </c>
    </row>
    <row r="729" spans="1:4" ht="16">
      <c r="A729" s="30" t="s">
        <v>1625</v>
      </c>
      <c r="B729" s="30" t="s">
        <v>1626</v>
      </c>
      <c r="C729" s="30" t="s">
        <v>61</v>
      </c>
      <c r="D729" s="30" t="s">
        <v>232</v>
      </c>
    </row>
    <row r="730" spans="1:4" ht="16">
      <c r="A730" s="30" t="s">
        <v>1627</v>
      </c>
      <c r="B730" s="30" t="s">
        <v>1628</v>
      </c>
      <c r="C730" s="30" t="s">
        <v>61</v>
      </c>
      <c r="D730" s="30" t="s">
        <v>160</v>
      </c>
    </row>
    <row r="731" spans="1:4" ht="16">
      <c r="A731" s="30" t="s">
        <v>1629</v>
      </c>
      <c r="B731" s="30" t="s">
        <v>1630</v>
      </c>
      <c r="C731" s="30" t="s">
        <v>452</v>
      </c>
      <c r="D731" s="30" t="s">
        <v>103</v>
      </c>
    </row>
    <row r="732" spans="1:4" ht="16">
      <c r="A732" s="30" t="s">
        <v>1631</v>
      </c>
      <c r="B732" s="30" t="s">
        <v>1632</v>
      </c>
      <c r="C732" s="30" t="s">
        <v>389</v>
      </c>
      <c r="D732" s="30" t="s">
        <v>103</v>
      </c>
    </row>
    <row r="733" spans="1:4" ht="16">
      <c r="A733" s="30" t="s">
        <v>1633</v>
      </c>
      <c r="B733" s="30" t="s">
        <v>1634</v>
      </c>
      <c r="C733" s="30" t="s">
        <v>59</v>
      </c>
      <c r="D733" s="30" t="s">
        <v>82</v>
      </c>
    </row>
    <row r="734" spans="1:4" ht="16">
      <c r="A734" s="30" t="s">
        <v>1635</v>
      </c>
      <c r="B734" s="30" t="s">
        <v>1636</v>
      </c>
      <c r="C734" s="30" t="s">
        <v>124</v>
      </c>
      <c r="D734" s="30" t="s">
        <v>210</v>
      </c>
    </row>
    <row r="735" spans="1:4" ht="16">
      <c r="A735" s="30" t="s">
        <v>1637</v>
      </c>
      <c r="B735" s="30" t="s">
        <v>1638</v>
      </c>
      <c r="C735" s="30" t="s">
        <v>59</v>
      </c>
      <c r="D735" s="30" t="s">
        <v>82</v>
      </c>
    </row>
    <row r="736" spans="1:4" ht="16">
      <c r="A736" s="30" t="s">
        <v>1639</v>
      </c>
      <c r="B736" s="30" t="s">
        <v>1640</v>
      </c>
      <c r="C736" s="30" t="s">
        <v>61</v>
      </c>
      <c r="D736" s="30" t="s">
        <v>322</v>
      </c>
    </row>
    <row r="737" spans="1:4" ht="16">
      <c r="A737" s="30" t="s">
        <v>1641</v>
      </c>
      <c r="B737" s="30" t="s">
        <v>1642</v>
      </c>
      <c r="C737" s="30" t="s">
        <v>61</v>
      </c>
      <c r="D737" s="30" t="s">
        <v>491</v>
      </c>
    </row>
    <row r="738" spans="1:4" ht="16">
      <c r="A738" s="30" t="s">
        <v>1643</v>
      </c>
      <c r="B738" s="30" t="s">
        <v>1644</v>
      </c>
      <c r="C738" s="30" t="s">
        <v>61</v>
      </c>
      <c r="D738" s="30" t="s">
        <v>160</v>
      </c>
    </row>
    <row r="739" spans="1:4" ht="16">
      <c r="A739" s="30" t="s">
        <v>1645</v>
      </c>
      <c r="B739" s="30" t="s">
        <v>1646</v>
      </c>
      <c r="C739" s="30" t="s">
        <v>59</v>
      </c>
      <c r="D739" s="30" t="s">
        <v>82</v>
      </c>
    </row>
    <row r="740" spans="1:4" ht="16">
      <c r="A740" s="30" t="s">
        <v>1647</v>
      </c>
      <c r="B740" s="30" t="s">
        <v>1648</v>
      </c>
      <c r="C740" s="30" t="s">
        <v>141</v>
      </c>
      <c r="D740" s="30" t="s">
        <v>82</v>
      </c>
    </row>
    <row r="741" spans="1:4" ht="16">
      <c r="A741" s="30" t="s">
        <v>1649</v>
      </c>
      <c r="B741" s="30" t="s">
        <v>1650</v>
      </c>
      <c r="C741" s="30" t="s">
        <v>61</v>
      </c>
      <c r="D741" s="30" t="s">
        <v>89</v>
      </c>
    </row>
    <row r="742" spans="1:4" ht="16">
      <c r="A742" s="30" t="s">
        <v>1651</v>
      </c>
      <c r="B742" s="30" t="s">
        <v>1652</v>
      </c>
      <c r="C742" s="30" t="s">
        <v>100</v>
      </c>
      <c r="D742" s="30" t="s">
        <v>75</v>
      </c>
    </row>
    <row r="743" spans="1:4" ht="16">
      <c r="A743" s="30" t="s">
        <v>1653</v>
      </c>
      <c r="B743" s="30" t="s">
        <v>1654</v>
      </c>
      <c r="C743" s="30" t="s">
        <v>141</v>
      </c>
      <c r="D743" s="30" t="s">
        <v>82</v>
      </c>
    </row>
    <row r="744" spans="1:4" ht="16">
      <c r="A744" s="30" t="s">
        <v>1655</v>
      </c>
      <c r="B744" s="30" t="s">
        <v>1656</v>
      </c>
      <c r="C744" s="30" t="s">
        <v>61</v>
      </c>
      <c r="D744" s="30" t="s">
        <v>131</v>
      </c>
    </row>
    <row r="745" spans="1:4" ht="16">
      <c r="A745" s="30" t="s">
        <v>1657</v>
      </c>
      <c r="B745" s="30" t="s">
        <v>1658</v>
      </c>
      <c r="C745" s="30" t="s">
        <v>608</v>
      </c>
      <c r="D745" s="30" t="s">
        <v>82</v>
      </c>
    </row>
    <row r="746" spans="1:4" ht="16">
      <c r="A746" s="30" t="s">
        <v>1659</v>
      </c>
      <c r="B746" s="30" t="s">
        <v>1660</v>
      </c>
      <c r="C746" s="30" t="s">
        <v>61</v>
      </c>
      <c r="D746" s="30" t="s">
        <v>557</v>
      </c>
    </row>
    <row r="747" spans="1:4" ht="16">
      <c r="A747" s="30" t="s">
        <v>1661</v>
      </c>
      <c r="B747" s="30" t="s">
        <v>1662</v>
      </c>
      <c r="C747" s="30" t="s">
        <v>61</v>
      </c>
      <c r="D747" s="30" t="s">
        <v>62</v>
      </c>
    </row>
    <row r="748" spans="1:4" ht="16">
      <c r="A748" s="30" t="s">
        <v>1663</v>
      </c>
      <c r="B748" s="30" t="s">
        <v>1664</v>
      </c>
      <c r="C748" s="30" t="s">
        <v>257</v>
      </c>
      <c r="D748" s="30" t="s">
        <v>232</v>
      </c>
    </row>
    <row r="749" spans="1:4" ht="16">
      <c r="A749" s="30" t="s">
        <v>1665</v>
      </c>
      <c r="B749" s="30" t="s">
        <v>1666</v>
      </c>
      <c r="C749" s="30" t="s">
        <v>65</v>
      </c>
      <c r="D749" s="30" t="s">
        <v>180</v>
      </c>
    </row>
    <row r="750" spans="1:4" ht="16">
      <c r="A750" s="30" t="s">
        <v>1667</v>
      </c>
      <c r="B750" s="30" t="s">
        <v>1668</v>
      </c>
      <c r="C750" s="30" t="s">
        <v>141</v>
      </c>
      <c r="D750" s="30" t="s">
        <v>82</v>
      </c>
    </row>
    <row r="751" spans="1:4" ht="16">
      <c r="A751" s="30" t="s">
        <v>1669</v>
      </c>
      <c r="B751" s="30" t="s">
        <v>1670</v>
      </c>
      <c r="C751" s="30" t="s">
        <v>61</v>
      </c>
      <c r="D751" s="30" t="s">
        <v>160</v>
      </c>
    </row>
    <row r="752" spans="1:4" ht="16">
      <c r="A752" s="30" t="s">
        <v>1671</v>
      </c>
      <c r="B752" s="30" t="s">
        <v>1672</v>
      </c>
      <c r="C752" s="30" t="s">
        <v>61</v>
      </c>
      <c r="D752" s="30" t="s">
        <v>69</v>
      </c>
    </row>
    <row r="753" spans="1:4" ht="16">
      <c r="A753" s="30" t="s">
        <v>1673</v>
      </c>
      <c r="B753" s="30" t="s">
        <v>1674</v>
      </c>
      <c r="C753" s="30" t="s">
        <v>59</v>
      </c>
      <c r="D753" s="30" t="s">
        <v>82</v>
      </c>
    </row>
    <row r="754" spans="1:4" ht="16">
      <c r="A754" s="30" t="s">
        <v>1675</v>
      </c>
      <c r="B754" s="30" t="s">
        <v>1676</v>
      </c>
      <c r="C754" s="30" t="s">
        <v>847</v>
      </c>
      <c r="D754" s="30" t="s">
        <v>848</v>
      </c>
    </row>
    <row r="755" spans="1:4" ht="16">
      <c r="A755" s="30" t="s">
        <v>1677</v>
      </c>
      <c r="B755" s="30" t="s">
        <v>1678</v>
      </c>
      <c r="C755" s="30" t="s">
        <v>1195</v>
      </c>
      <c r="D755" s="30" t="s">
        <v>210</v>
      </c>
    </row>
    <row r="756" spans="1:4" ht="16">
      <c r="A756" s="30" t="s">
        <v>1679</v>
      </c>
      <c r="B756" s="30" t="s">
        <v>1680</v>
      </c>
      <c r="C756" s="30" t="s">
        <v>61</v>
      </c>
      <c r="D756" s="30" t="s">
        <v>103</v>
      </c>
    </row>
    <row r="757" spans="1:4" ht="16">
      <c r="A757" s="30" t="s">
        <v>1681</v>
      </c>
      <c r="B757" s="30" t="s">
        <v>1682</v>
      </c>
      <c r="C757" s="30" t="s">
        <v>61</v>
      </c>
      <c r="D757" s="30" t="s">
        <v>165</v>
      </c>
    </row>
    <row r="758" spans="1:4" ht="16">
      <c r="A758" s="30" t="s">
        <v>1683</v>
      </c>
      <c r="B758" s="30" t="s">
        <v>1684</v>
      </c>
      <c r="C758" s="30" t="s">
        <v>61</v>
      </c>
      <c r="D758" s="30" t="s">
        <v>103</v>
      </c>
    </row>
    <row r="759" spans="1:4" ht="16">
      <c r="A759" s="30" t="s">
        <v>1685</v>
      </c>
      <c r="B759" s="30" t="s">
        <v>1686</v>
      </c>
      <c r="C759" s="30" t="s">
        <v>65</v>
      </c>
      <c r="D759" s="30" t="s">
        <v>66</v>
      </c>
    </row>
    <row r="760" spans="1:4" ht="16">
      <c r="A760" s="30" t="s">
        <v>1687</v>
      </c>
      <c r="B760" s="30" t="s">
        <v>1688</v>
      </c>
      <c r="C760" s="30" t="s">
        <v>61</v>
      </c>
      <c r="D760" s="30" t="s">
        <v>86</v>
      </c>
    </row>
    <row r="761" spans="1:4" ht="16">
      <c r="A761" s="30" t="s">
        <v>1689</v>
      </c>
      <c r="B761" s="30" t="s">
        <v>1690</v>
      </c>
      <c r="C761" s="30" t="s">
        <v>257</v>
      </c>
      <c r="D761" s="30" t="s">
        <v>232</v>
      </c>
    </row>
    <row r="762" spans="1:4" ht="16">
      <c r="A762" s="30" t="s">
        <v>1691</v>
      </c>
      <c r="B762" s="30" t="s">
        <v>1692</v>
      </c>
      <c r="C762" s="30" t="s">
        <v>141</v>
      </c>
      <c r="D762" s="30" t="s">
        <v>82</v>
      </c>
    </row>
    <row r="763" spans="1:4" ht="16">
      <c r="A763" s="30" t="s">
        <v>1693</v>
      </c>
      <c r="B763" s="30" t="s">
        <v>1694</v>
      </c>
      <c r="C763" s="30" t="s">
        <v>61</v>
      </c>
      <c r="D763" s="30" t="s">
        <v>69</v>
      </c>
    </row>
    <row r="764" spans="1:4" ht="16">
      <c r="A764" s="30" t="s">
        <v>1695</v>
      </c>
      <c r="B764" s="30" t="s">
        <v>1696</v>
      </c>
      <c r="C764" s="30" t="s">
        <v>608</v>
      </c>
      <c r="D764" s="30" t="s">
        <v>82</v>
      </c>
    </row>
    <row r="765" spans="1:4" ht="16">
      <c r="A765" s="30" t="s">
        <v>1697</v>
      </c>
      <c r="B765" s="30" t="s">
        <v>1698</v>
      </c>
      <c r="C765" s="30" t="s">
        <v>449</v>
      </c>
      <c r="D765" s="30" t="s">
        <v>160</v>
      </c>
    </row>
    <row r="766" spans="1:4" ht="16">
      <c r="A766" s="30" t="s">
        <v>1699</v>
      </c>
      <c r="B766" s="30" t="s">
        <v>1700</v>
      </c>
      <c r="C766" s="30" t="s">
        <v>257</v>
      </c>
      <c r="D766" s="30" t="s">
        <v>160</v>
      </c>
    </row>
    <row r="767" spans="1:4" ht="16">
      <c r="A767" s="30" t="s">
        <v>1701</v>
      </c>
      <c r="B767" s="30" t="s">
        <v>1702</v>
      </c>
      <c r="C767" s="30" t="s">
        <v>61</v>
      </c>
      <c r="D767" s="30" t="s">
        <v>69</v>
      </c>
    </row>
    <row r="768" spans="1:4" ht="16">
      <c r="A768" s="30" t="s">
        <v>1703</v>
      </c>
      <c r="B768" s="30" t="s">
        <v>1704</v>
      </c>
      <c r="C768" s="30" t="s">
        <v>176</v>
      </c>
      <c r="D768" s="30" t="s">
        <v>1705</v>
      </c>
    </row>
    <row r="769" spans="1:4" ht="16">
      <c r="A769" s="30" t="s">
        <v>1706</v>
      </c>
      <c r="B769" s="30" t="s">
        <v>1707</v>
      </c>
      <c r="C769" s="30" t="s">
        <v>1708</v>
      </c>
      <c r="D769" s="30" t="s">
        <v>75</v>
      </c>
    </row>
    <row r="770" spans="1:4" ht="16">
      <c r="A770" s="30" t="s">
        <v>1709</v>
      </c>
      <c r="B770" s="30" t="s">
        <v>1710</v>
      </c>
      <c r="C770" s="30" t="s">
        <v>65</v>
      </c>
      <c r="D770" s="30" t="s">
        <v>66</v>
      </c>
    </row>
    <row r="771" spans="1:4" ht="16">
      <c r="A771" s="30" t="s">
        <v>1711</v>
      </c>
      <c r="B771" s="30" t="s">
        <v>1712</v>
      </c>
      <c r="C771" s="30" t="s">
        <v>608</v>
      </c>
      <c r="D771" s="30" t="s">
        <v>82</v>
      </c>
    </row>
    <row r="772" spans="1:4" ht="16">
      <c r="A772" s="30" t="s">
        <v>1713</v>
      </c>
      <c r="B772" s="30" t="s">
        <v>1714</v>
      </c>
      <c r="C772" s="30" t="s">
        <v>61</v>
      </c>
      <c r="D772" s="30" t="s">
        <v>152</v>
      </c>
    </row>
    <row r="773" spans="1:4" ht="16">
      <c r="A773" s="30" t="s">
        <v>1715</v>
      </c>
      <c r="B773" s="30" t="s">
        <v>1716</v>
      </c>
      <c r="C773" s="30" t="s">
        <v>141</v>
      </c>
      <c r="D773" s="30" t="s">
        <v>82</v>
      </c>
    </row>
    <row r="774" spans="1:4" ht="16">
      <c r="A774" s="30" t="s">
        <v>1717</v>
      </c>
      <c r="B774" s="30" t="s">
        <v>1718</v>
      </c>
      <c r="C774" s="30" t="s">
        <v>124</v>
      </c>
      <c r="D774" s="30" t="s">
        <v>75</v>
      </c>
    </row>
    <row r="775" spans="1:4" ht="16">
      <c r="A775" s="30" t="s">
        <v>1719</v>
      </c>
      <c r="B775" s="30" t="s">
        <v>1720</v>
      </c>
      <c r="C775" s="30" t="s">
        <v>61</v>
      </c>
      <c r="D775" s="30" t="s">
        <v>72</v>
      </c>
    </row>
    <row r="776" spans="1:4" ht="16">
      <c r="A776" s="30" t="s">
        <v>1721</v>
      </c>
      <c r="B776" s="30" t="s">
        <v>1722</v>
      </c>
      <c r="C776" s="30" t="s">
        <v>619</v>
      </c>
      <c r="D776" s="30" t="s">
        <v>75</v>
      </c>
    </row>
    <row r="777" spans="1:4" ht="16">
      <c r="A777" s="30" t="s">
        <v>1723</v>
      </c>
      <c r="B777" s="30" t="s">
        <v>1724</v>
      </c>
      <c r="C777" s="30" t="s">
        <v>65</v>
      </c>
      <c r="D777" s="30" t="s">
        <v>69</v>
      </c>
    </row>
    <row r="778" spans="1:4" ht="16">
      <c r="A778" s="30" t="s">
        <v>1725</v>
      </c>
      <c r="B778" s="30" t="s">
        <v>1726</v>
      </c>
      <c r="C778" s="30" t="s">
        <v>61</v>
      </c>
      <c r="D778" s="30" t="s">
        <v>69</v>
      </c>
    </row>
    <row r="779" spans="1:4" ht="16">
      <c r="A779" s="30" t="s">
        <v>1727</v>
      </c>
      <c r="B779" s="30" t="s">
        <v>1728</v>
      </c>
      <c r="C779" s="30" t="s">
        <v>61</v>
      </c>
      <c r="D779" s="30" t="s">
        <v>171</v>
      </c>
    </row>
    <row r="780" spans="1:4" ht="16">
      <c r="A780" s="30" t="s">
        <v>1729</v>
      </c>
      <c r="B780" s="30" t="s">
        <v>1730</v>
      </c>
      <c r="C780" s="30" t="s">
        <v>65</v>
      </c>
      <c r="D780" s="30" t="s">
        <v>165</v>
      </c>
    </row>
    <row r="781" spans="1:4" ht="16">
      <c r="A781" s="30" t="s">
        <v>1731</v>
      </c>
      <c r="B781" s="30" t="s">
        <v>1732</v>
      </c>
      <c r="C781" s="30" t="s">
        <v>61</v>
      </c>
      <c r="D781" s="30" t="s">
        <v>103</v>
      </c>
    </row>
    <row r="782" spans="1:4" ht="16">
      <c r="A782" s="30" t="s">
        <v>1731</v>
      </c>
      <c r="B782" s="30" t="s">
        <v>1732</v>
      </c>
      <c r="C782" s="30" t="s">
        <v>61</v>
      </c>
      <c r="D782" s="30" t="s">
        <v>62</v>
      </c>
    </row>
    <row r="783" spans="1:4" ht="16">
      <c r="A783" s="30" t="s">
        <v>1733</v>
      </c>
      <c r="B783" s="30" t="s">
        <v>1734</v>
      </c>
      <c r="C783" s="30" t="s">
        <v>257</v>
      </c>
      <c r="D783" s="30" t="s">
        <v>160</v>
      </c>
    </row>
    <row r="784" spans="1:4" ht="16">
      <c r="A784" s="30" t="s">
        <v>1735</v>
      </c>
      <c r="B784" s="30" t="s">
        <v>1736</v>
      </c>
      <c r="C784" s="30" t="s">
        <v>619</v>
      </c>
      <c r="D784" s="30" t="s">
        <v>294</v>
      </c>
    </row>
    <row r="785" spans="1:4" ht="16">
      <c r="A785" s="30" t="s">
        <v>1737</v>
      </c>
      <c r="B785" s="30" t="s">
        <v>1738</v>
      </c>
      <c r="C785" s="30" t="s">
        <v>141</v>
      </c>
      <c r="D785" s="30" t="s">
        <v>82</v>
      </c>
    </row>
    <row r="786" spans="1:4" ht="16">
      <c r="A786" s="30" t="s">
        <v>1739</v>
      </c>
      <c r="B786" s="30" t="s">
        <v>1740</v>
      </c>
      <c r="C786" s="30" t="s">
        <v>61</v>
      </c>
      <c r="D786" s="30" t="s">
        <v>62</v>
      </c>
    </row>
    <row r="787" spans="1:4" ht="16">
      <c r="A787" s="30" t="s">
        <v>1741</v>
      </c>
      <c r="B787" s="30" t="s">
        <v>1742</v>
      </c>
      <c r="C787" s="30" t="s">
        <v>59</v>
      </c>
      <c r="D787" s="30" t="s">
        <v>82</v>
      </c>
    </row>
    <row r="788" spans="1:4" ht="16">
      <c r="A788" s="30" t="s">
        <v>1743</v>
      </c>
      <c r="B788" s="30" t="s">
        <v>1744</v>
      </c>
      <c r="C788" s="30" t="s">
        <v>61</v>
      </c>
      <c r="D788" s="30" t="s">
        <v>152</v>
      </c>
    </row>
    <row r="789" spans="1:4" ht="16">
      <c r="A789" s="30" t="s">
        <v>1745</v>
      </c>
      <c r="B789" s="30" t="s">
        <v>1746</v>
      </c>
      <c r="C789" s="30" t="s">
        <v>59</v>
      </c>
      <c r="D789" s="30" t="s">
        <v>82</v>
      </c>
    </row>
    <row r="790" spans="1:4" ht="16">
      <c r="A790" s="30" t="s">
        <v>1747</v>
      </c>
      <c r="B790" s="30" t="s">
        <v>1748</v>
      </c>
      <c r="C790" s="30" t="s">
        <v>81</v>
      </c>
      <c r="D790" s="30" t="s">
        <v>82</v>
      </c>
    </row>
    <row r="791" spans="1:4" ht="16">
      <c r="A791" s="30" t="s">
        <v>1749</v>
      </c>
      <c r="B791" s="30" t="s">
        <v>1750</v>
      </c>
      <c r="C791" s="30" t="s">
        <v>61</v>
      </c>
      <c r="D791" s="30" t="s">
        <v>761</v>
      </c>
    </row>
    <row r="792" spans="1:4" ht="16">
      <c r="A792" s="30" t="s">
        <v>1751</v>
      </c>
      <c r="B792" s="30" t="s">
        <v>1752</v>
      </c>
      <c r="C792" s="30" t="s">
        <v>61</v>
      </c>
      <c r="D792" s="30" t="s">
        <v>75</v>
      </c>
    </row>
    <row r="793" spans="1:4" ht="16">
      <c r="A793" s="30" t="s">
        <v>1753</v>
      </c>
      <c r="B793" s="30" t="s">
        <v>1754</v>
      </c>
      <c r="C793" s="30" t="s">
        <v>61</v>
      </c>
      <c r="D793" s="30" t="s">
        <v>160</v>
      </c>
    </row>
    <row r="794" spans="1:4" ht="16">
      <c r="A794" s="30" t="s">
        <v>1755</v>
      </c>
      <c r="B794" s="30" t="s">
        <v>1756</v>
      </c>
      <c r="C794" s="30" t="s">
        <v>65</v>
      </c>
      <c r="D794" s="30" t="s">
        <v>66</v>
      </c>
    </row>
    <row r="795" spans="1:4" ht="16">
      <c r="A795" s="30" t="s">
        <v>1757</v>
      </c>
      <c r="B795" s="30" t="s">
        <v>1758</v>
      </c>
      <c r="C795" s="30" t="s">
        <v>61</v>
      </c>
      <c r="D795" s="30" t="s">
        <v>840</v>
      </c>
    </row>
    <row r="796" spans="1:4" ht="16">
      <c r="A796" s="30" t="s">
        <v>1759</v>
      </c>
      <c r="B796" s="30" t="s">
        <v>1760</v>
      </c>
      <c r="C796" s="30" t="s">
        <v>61</v>
      </c>
      <c r="D796" s="30" t="s">
        <v>86</v>
      </c>
    </row>
    <row r="797" spans="1:4" ht="16">
      <c r="A797" s="30" t="s">
        <v>1761</v>
      </c>
      <c r="B797" s="30" t="s">
        <v>1762</v>
      </c>
      <c r="C797" s="30" t="s">
        <v>176</v>
      </c>
      <c r="D797" s="30" t="s">
        <v>171</v>
      </c>
    </row>
    <row r="798" spans="1:4" ht="16">
      <c r="A798" s="30" t="s">
        <v>1763</v>
      </c>
      <c r="B798" s="30" t="s">
        <v>1764</v>
      </c>
      <c r="C798" s="30" t="s">
        <v>141</v>
      </c>
      <c r="D798" s="30" t="s">
        <v>82</v>
      </c>
    </row>
    <row r="799" spans="1:4" ht="16">
      <c r="A799" s="30" t="s">
        <v>1765</v>
      </c>
      <c r="B799" s="30" t="s">
        <v>1766</v>
      </c>
      <c r="C799" s="30" t="s">
        <v>61</v>
      </c>
      <c r="D799" s="30" t="s">
        <v>103</v>
      </c>
    </row>
    <row r="800" spans="1:4" ht="16">
      <c r="A800" s="30" t="s">
        <v>1767</v>
      </c>
      <c r="B800" s="30" t="s">
        <v>1768</v>
      </c>
      <c r="C800" s="30" t="s">
        <v>61</v>
      </c>
      <c r="D800" s="30" t="s">
        <v>160</v>
      </c>
    </row>
    <row r="801" spans="1:4" ht="16">
      <c r="A801" s="30" t="s">
        <v>1769</v>
      </c>
      <c r="B801" s="30" t="s">
        <v>1770</v>
      </c>
      <c r="C801" s="30" t="s">
        <v>257</v>
      </c>
      <c r="D801" s="30" t="s">
        <v>994</v>
      </c>
    </row>
    <row r="802" spans="1:4" ht="16">
      <c r="A802" s="30" t="s">
        <v>1771</v>
      </c>
      <c r="B802" s="30" t="s">
        <v>1772</v>
      </c>
      <c r="C802" s="30" t="s">
        <v>176</v>
      </c>
      <c r="D802" s="30" t="s">
        <v>171</v>
      </c>
    </row>
    <row r="803" spans="1:4" ht="16">
      <c r="A803" s="30" t="s">
        <v>1773</v>
      </c>
      <c r="B803" s="30" t="s">
        <v>1774</v>
      </c>
      <c r="C803" s="30" t="s">
        <v>59</v>
      </c>
      <c r="D803" s="30" t="s">
        <v>82</v>
      </c>
    </row>
    <row r="804" spans="1:4" ht="16">
      <c r="A804" s="30" t="s">
        <v>1773</v>
      </c>
      <c r="B804" s="30" t="s">
        <v>1774</v>
      </c>
      <c r="C804" s="30" t="s">
        <v>61</v>
      </c>
      <c r="D804" s="30" t="s">
        <v>62</v>
      </c>
    </row>
    <row r="805" spans="1:4" ht="16">
      <c r="A805" s="30" t="s">
        <v>1775</v>
      </c>
      <c r="B805" s="30" t="s">
        <v>1776</v>
      </c>
      <c r="C805" s="30" t="s">
        <v>257</v>
      </c>
      <c r="D805" s="30" t="s">
        <v>232</v>
      </c>
    </row>
    <row r="806" spans="1:4" ht="16">
      <c r="A806" s="30" t="s">
        <v>1777</v>
      </c>
      <c r="B806" s="30" t="s">
        <v>1778</v>
      </c>
      <c r="C806" s="30" t="s">
        <v>59</v>
      </c>
      <c r="D806" s="30" t="s">
        <v>82</v>
      </c>
    </row>
    <row r="807" spans="1:4" ht="16">
      <c r="A807" s="30" t="s">
        <v>1779</v>
      </c>
      <c r="B807" s="30" t="s">
        <v>1780</v>
      </c>
      <c r="C807" s="30" t="s">
        <v>65</v>
      </c>
      <c r="D807" s="30" t="s">
        <v>994</v>
      </c>
    </row>
    <row r="808" spans="1:4" ht="16">
      <c r="A808" s="30" t="s">
        <v>1781</v>
      </c>
      <c r="B808" s="30" t="s">
        <v>1782</v>
      </c>
      <c r="C808" s="30" t="s">
        <v>61</v>
      </c>
      <c r="D808" s="30" t="s">
        <v>92</v>
      </c>
    </row>
    <row r="809" spans="1:4" ht="16">
      <c r="A809" s="30" t="s">
        <v>1783</v>
      </c>
      <c r="B809" s="30" t="s">
        <v>1784</v>
      </c>
      <c r="C809" s="30" t="s">
        <v>1785</v>
      </c>
      <c r="D809" s="30" t="s">
        <v>848</v>
      </c>
    </row>
    <row r="810" spans="1:4" ht="16">
      <c r="A810" s="30" t="s">
        <v>1786</v>
      </c>
      <c r="B810" s="30" t="s">
        <v>1787</v>
      </c>
      <c r="C810" s="30" t="s">
        <v>61</v>
      </c>
      <c r="D810" s="30" t="s">
        <v>103</v>
      </c>
    </row>
    <row r="811" spans="1:4" ht="16">
      <c r="A811" s="30" t="s">
        <v>1788</v>
      </c>
      <c r="B811" s="30" t="s">
        <v>1789</v>
      </c>
      <c r="C811" s="30" t="s">
        <v>61</v>
      </c>
      <c r="D811" s="30" t="s">
        <v>232</v>
      </c>
    </row>
    <row r="812" spans="1:4" ht="16">
      <c r="A812" s="30" t="s">
        <v>1790</v>
      </c>
      <c r="B812" s="30" t="s">
        <v>1791</v>
      </c>
      <c r="C812" s="30" t="s">
        <v>65</v>
      </c>
      <c r="D812" s="30" t="s">
        <v>66</v>
      </c>
    </row>
    <row r="813" spans="1:4" ht="16">
      <c r="A813" s="30" t="s">
        <v>1792</v>
      </c>
      <c r="B813" s="30" t="s">
        <v>1793</v>
      </c>
      <c r="C813" s="30" t="s">
        <v>65</v>
      </c>
      <c r="D813" s="30" t="s">
        <v>66</v>
      </c>
    </row>
    <row r="814" spans="1:4" ht="16">
      <c r="A814" s="30" t="s">
        <v>1794</v>
      </c>
      <c r="B814" s="30" t="s">
        <v>1795</v>
      </c>
      <c r="C814" s="30" t="s">
        <v>1796</v>
      </c>
      <c r="D814" s="30" t="s">
        <v>247</v>
      </c>
    </row>
    <row r="815" spans="1:4" ht="16">
      <c r="A815" s="30" t="s">
        <v>1797</v>
      </c>
      <c r="B815" s="30" t="s">
        <v>1798</v>
      </c>
      <c r="C815" s="30" t="s">
        <v>65</v>
      </c>
      <c r="D815" s="30" t="s">
        <v>305</v>
      </c>
    </row>
    <row r="816" spans="1:4" ht="16">
      <c r="A816" s="30" t="s">
        <v>1799</v>
      </c>
      <c r="B816" s="30" t="s">
        <v>1800</v>
      </c>
      <c r="C816" s="30" t="s">
        <v>141</v>
      </c>
      <c r="D816" s="30" t="s">
        <v>82</v>
      </c>
    </row>
    <row r="817" spans="1:4" ht="16">
      <c r="A817" s="30" t="s">
        <v>1801</v>
      </c>
      <c r="B817" s="30" t="s">
        <v>1802</v>
      </c>
      <c r="C817" s="30" t="s">
        <v>141</v>
      </c>
      <c r="D817" s="30" t="s">
        <v>82</v>
      </c>
    </row>
    <row r="818" spans="1:4" ht="16">
      <c r="A818" s="30" t="s">
        <v>1803</v>
      </c>
      <c r="B818" s="30" t="s">
        <v>1804</v>
      </c>
      <c r="C818" s="30" t="s">
        <v>176</v>
      </c>
      <c r="D818" s="30" t="s">
        <v>171</v>
      </c>
    </row>
    <row r="819" spans="1:4" ht="16">
      <c r="A819" s="30" t="s">
        <v>1805</v>
      </c>
      <c r="B819" s="30" t="s">
        <v>1806</v>
      </c>
      <c r="C819" s="30" t="s">
        <v>61</v>
      </c>
      <c r="D819" s="30" t="s">
        <v>160</v>
      </c>
    </row>
    <row r="820" spans="1:4" ht="16">
      <c r="A820" s="30" t="s">
        <v>1807</v>
      </c>
      <c r="B820" s="30" t="s">
        <v>1808</v>
      </c>
      <c r="C820" s="30" t="s">
        <v>61</v>
      </c>
      <c r="D820" s="30" t="s">
        <v>86</v>
      </c>
    </row>
    <row r="821" spans="1:4" ht="16">
      <c r="A821" s="30" t="s">
        <v>1809</v>
      </c>
      <c r="B821" s="30" t="s">
        <v>1810</v>
      </c>
      <c r="C821" s="30" t="s">
        <v>59</v>
      </c>
      <c r="D821" s="30" t="s">
        <v>82</v>
      </c>
    </row>
    <row r="822" spans="1:4" ht="16">
      <c r="A822" s="30" t="s">
        <v>1811</v>
      </c>
      <c r="B822" s="30" t="s">
        <v>1812</v>
      </c>
      <c r="C822" s="30" t="s">
        <v>61</v>
      </c>
      <c r="D822" s="30" t="s">
        <v>232</v>
      </c>
    </row>
    <row r="823" spans="1:4" ht="16">
      <c r="A823" s="30" t="s">
        <v>1813</v>
      </c>
      <c r="B823" s="30" t="s">
        <v>1814</v>
      </c>
      <c r="C823" s="30" t="s">
        <v>61</v>
      </c>
      <c r="D823" s="30" t="s">
        <v>72</v>
      </c>
    </row>
    <row r="824" spans="1:4" ht="16">
      <c r="A824" s="30" t="s">
        <v>1815</v>
      </c>
      <c r="B824" s="30" t="s">
        <v>1816</v>
      </c>
      <c r="C824" s="30" t="s">
        <v>61</v>
      </c>
      <c r="D824" s="30" t="s">
        <v>75</v>
      </c>
    </row>
    <row r="825" spans="1:4" ht="16">
      <c r="A825" s="30" t="s">
        <v>1817</v>
      </c>
      <c r="B825" s="30" t="s">
        <v>1818</v>
      </c>
      <c r="C825" s="30" t="s">
        <v>61</v>
      </c>
      <c r="D825" s="30" t="s">
        <v>232</v>
      </c>
    </row>
    <row r="826" spans="1:4" ht="16">
      <c r="A826" s="30" t="s">
        <v>1819</v>
      </c>
      <c r="B826" s="30" t="s">
        <v>1820</v>
      </c>
      <c r="C826" s="30" t="s">
        <v>608</v>
      </c>
      <c r="D826" s="30" t="s">
        <v>82</v>
      </c>
    </row>
    <row r="827" spans="1:4" ht="16">
      <c r="A827" s="30" t="s">
        <v>1821</v>
      </c>
      <c r="B827" s="30" t="s">
        <v>1822</v>
      </c>
      <c r="C827" s="30" t="s">
        <v>59</v>
      </c>
      <c r="D827" s="30" t="s">
        <v>82</v>
      </c>
    </row>
    <row r="828" spans="1:4" ht="16">
      <c r="A828" s="30" t="s">
        <v>1823</v>
      </c>
      <c r="B828" s="30" t="s">
        <v>1824</v>
      </c>
      <c r="C828" s="30" t="s">
        <v>141</v>
      </c>
      <c r="D828" s="30" t="s">
        <v>82</v>
      </c>
    </row>
    <row r="829" spans="1:4" ht="16">
      <c r="A829" s="30" t="s">
        <v>1825</v>
      </c>
      <c r="B829" s="30" t="s">
        <v>1826</v>
      </c>
      <c r="C829" s="30" t="s">
        <v>61</v>
      </c>
      <c r="D829" s="30" t="s">
        <v>69</v>
      </c>
    </row>
    <row r="830" spans="1:4" ht="16">
      <c r="A830" s="30" t="s">
        <v>1827</v>
      </c>
      <c r="B830" s="30" t="s">
        <v>1828</v>
      </c>
      <c r="C830" s="30" t="s">
        <v>59</v>
      </c>
      <c r="D830" s="30" t="s">
        <v>82</v>
      </c>
    </row>
    <row r="831" spans="1:4" ht="16">
      <c r="A831" s="30" t="s">
        <v>1829</v>
      </c>
      <c r="B831" s="30" t="s">
        <v>1830</v>
      </c>
      <c r="C831" s="30" t="s">
        <v>61</v>
      </c>
      <c r="D831" s="30" t="s">
        <v>72</v>
      </c>
    </row>
    <row r="832" spans="1:4" ht="16">
      <c r="A832" s="30" t="s">
        <v>1831</v>
      </c>
      <c r="B832" s="30" t="s">
        <v>1832</v>
      </c>
      <c r="C832" s="30" t="s">
        <v>61</v>
      </c>
      <c r="D832" s="30" t="s">
        <v>160</v>
      </c>
    </row>
    <row r="833" spans="1:4" ht="16">
      <c r="A833" s="30" t="s">
        <v>1833</v>
      </c>
      <c r="B833" s="30" t="s">
        <v>1834</v>
      </c>
      <c r="C833" s="30" t="s">
        <v>257</v>
      </c>
      <c r="D833" s="30" t="s">
        <v>160</v>
      </c>
    </row>
    <row r="834" spans="1:4" ht="16">
      <c r="A834" s="30" t="s">
        <v>1835</v>
      </c>
      <c r="B834" s="30" t="s">
        <v>1836</v>
      </c>
      <c r="C834" s="30" t="s">
        <v>61</v>
      </c>
      <c r="D834" s="30" t="s">
        <v>160</v>
      </c>
    </row>
    <row r="835" spans="1:4" ht="16">
      <c r="A835" s="30" t="s">
        <v>1837</v>
      </c>
      <c r="B835" s="30" t="s">
        <v>1838</v>
      </c>
      <c r="C835" s="30" t="s">
        <v>61</v>
      </c>
      <c r="D835" s="30" t="s">
        <v>160</v>
      </c>
    </row>
    <row r="836" spans="1:4" ht="16">
      <c r="A836" s="30" t="s">
        <v>1839</v>
      </c>
      <c r="B836" s="30" t="s">
        <v>1840</v>
      </c>
      <c r="C836" s="30" t="s">
        <v>176</v>
      </c>
      <c r="D836" s="30" t="s">
        <v>82</v>
      </c>
    </row>
    <row r="837" spans="1:4" ht="16">
      <c r="A837" s="30" t="s">
        <v>1841</v>
      </c>
      <c r="B837" s="30" t="s">
        <v>1842</v>
      </c>
      <c r="C837" s="30" t="s">
        <v>61</v>
      </c>
      <c r="D837" s="30" t="s">
        <v>103</v>
      </c>
    </row>
    <row r="838" spans="1:4" ht="16">
      <c r="A838" s="30" t="s">
        <v>1843</v>
      </c>
      <c r="B838" s="30" t="s">
        <v>1844</v>
      </c>
      <c r="C838" s="30" t="s">
        <v>61</v>
      </c>
      <c r="D838" s="30" t="s">
        <v>1490</v>
      </c>
    </row>
    <row r="839" spans="1:4" ht="16">
      <c r="A839" s="30" t="s">
        <v>1845</v>
      </c>
      <c r="B839" s="30" t="s">
        <v>1846</v>
      </c>
      <c r="C839" s="30" t="s">
        <v>61</v>
      </c>
      <c r="D839" s="30" t="s">
        <v>86</v>
      </c>
    </row>
    <row r="840" spans="1:4" ht="16">
      <c r="A840" s="30" t="s">
        <v>1847</v>
      </c>
      <c r="B840" s="30" t="s">
        <v>1848</v>
      </c>
      <c r="C840" s="30" t="s">
        <v>141</v>
      </c>
      <c r="D840" s="30" t="s">
        <v>82</v>
      </c>
    </row>
    <row r="841" spans="1:4" ht="16">
      <c r="A841" s="30" t="s">
        <v>1849</v>
      </c>
      <c r="B841" s="30" t="s">
        <v>1850</v>
      </c>
      <c r="C841" s="30" t="s">
        <v>61</v>
      </c>
      <c r="D841" s="30" t="s">
        <v>103</v>
      </c>
    </row>
    <row r="842" spans="1:4" ht="16">
      <c r="A842" s="30" t="s">
        <v>1851</v>
      </c>
      <c r="B842" s="30" t="s">
        <v>1852</v>
      </c>
      <c r="C842" s="30" t="s">
        <v>85</v>
      </c>
      <c r="D842" s="30" t="s">
        <v>69</v>
      </c>
    </row>
    <row r="843" spans="1:4" ht="16">
      <c r="A843" s="30" t="s">
        <v>1851</v>
      </c>
      <c r="B843" s="30" t="s">
        <v>1852</v>
      </c>
      <c r="C843" s="30" t="s">
        <v>61</v>
      </c>
      <c r="D843" s="30" t="s">
        <v>69</v>
      </c>
    </row>
    <row r="844" spans="1:4" ht="16">
      <c r="A844" s="30" t="s">
        <v>1853</v>
      </c>
      <c r="B844" s="30" t="s">
        <v>1854</v>
      </c>
      <c r="C844" s="30" t="s">
        <v>65</v>
      </c>
      <c r="D844" s="30" t="s">
        <v>66</v>
      </c>
    </row>
    <row r="845" spans="1:4" ht="16">
      <c r="A845" s="30" t="s">
        <v>1855</v>
      </c>
      <c r="B845" s="30" t="s">
        <v>1856</v>
      </c>
      <c r="C845" s="30" t="s">
        <v>61</v>
      </c>
      <c r="D845" s="30" t="s">
        <v>69</v>
      </c>
    </row>
    <row r="846" spans="1:4" ht="16">
      <c r="A846" s="30" t="s">
        <v>1857</v>
      </c>
      <c r="B846" s="30" t="s">
        <v>1858</v>
      </c>
      <c r="C846" s="30" t="s">
        <v>65</v>
      </c>
      <c r="D846" s="30" t="s">
        <v>66</v>
      </c>
    </row>
    <row r="847" spans="1:4" ht="16">
      <c r="A847" s="30" t="s">
        <v>1859</v>
      </c>
      <c r="B847" s="30" t="s">
        <v>1860</v>
      </c>
      <c r="C847" s="30" t="s">
        <v>257</v>
      </c>
      <c r="D847" s="30" t="s">
        <v>69</v>
      </c>
    </row>
    <row r="848" spans="1:4" ht="16">
      <c r="A848" s="30" t="s">
        <v>1861</v>
      </c>
      <c r="B848" s="30" t="s">
        <v>1862</v>
      </c>
      <c r="C848" s="30" t="s">
        <v>61</v>
      </c>
      <c r="D848" s="30" t="s">
        <v>232</v>
      </c>
    </row>
    <row r="849" spans="1:4" ht="16">
      <c r="A849" s="30" t="s">
        <v>1863</v>
      </c>
      <c r="B849" s="30" t="s">
        <v>1864</v>
      </c>
      <c r="C849" s="30" t="s">
        <v>61</v>
      </c>
      <c r="D849" s="30" t="s">
        <v>232</v>
      </c>
    </row>
    <row r="850" spans="1:4" ht="16">
      <c r="A850" s="30" t="s">
        <v>1865</v>
      </c>
      <c r="B850" s="30" t="s">
        <v>1866</v>
      </c>
      <c r="C850" s="30" t="s">
        <v>65</v>
      </c>
      <c r="D850" s="30" t="s">
        <v>135</v>
      </c>
    </row>
    <row r="851" spans="1:4" ht="16">
      <c r="A851" s="30" t="s">
        <v>1867</v>
      </c>
      <c r="B851" s="30" t="s">
        <v>1868</v>
      </c>
      <c r="C851" s="30" t="s">
        <v>59</v>
      </c>
      <c r="D851" s="30" t="s">
        <v>82</v>
      </c>
    </row>
    <row r="852" spans="1:4" ht="16">
      <c r="A852" s="30" t="s">
        <v>1869</v>
      </c>
      <c r="B852" s="30" t="s">
        <v>1870</v>
      </c>
      <c r="C852" s="30" t="s">
        <v>65</v>
      </c>
      <c r="D852" s="30" t="s">
        <v>280</v>
      </c>
    </row>
    <row r="853" spans="1:4" ht="16">
      <c r="A853" s="30" t="s">
        <v>1871</v>
      </c>
      <c r="B853" s="30" t="s">
        <v>1872</v>
      </c>
      <c r="C853" s="30" t="s">
        <v>61</v>
      </c>
      <c r="D853" s="30" t="s">
        <v>562</v>
      </c>
    </row>
    <row r="854" spans="1:4" ht="16">
      <c r="A854" s="30" t="s">
        <v>1873</v>
      </c>
      <c r="B854" s="30" t="s">
        <v>1874</v>
      </c>
      <c r="C854" s="30" t="s">
        <v>59</v>
      </c>
      <c r="D854" s="30" t="s">
        <v>82</v>
      </c>
    </row>
    <row r="855" spans="1:4" ht="16">
      <c r="A855" s="30" t="s">
        <v>1875</v>
      </c>
      <c r="B855" s="30" t="s">
        <v>1876</v>
      </c>
      <c r="C855" s="30" t="s">
        <v>100</v>
      </c>
      <c r="D855" s="30" t="s">
        <v>75</v>
      </c>
    </row>
    <row r="856" spans="1:4" ht="16">
      <c r="A856" s="30" t="s">
        <v>1877</v>
      </c>
      <c r="B856" s="30" t="s">
        <v>1878</v>
      </c>
      <c r="C856" s="30" t="s">
        <v>138</v>
      </c>
      <c r="D856" s="30" t="s">
        <v>62</v>
      </c>
    </row>
    <row r="857" spans="1:4" ht="16">
      <c r="A857" s="30" t="s">
        <v>1879</v>
      </c>
      <c r="B857" s="30" t="s">
        <v>1880</v>
      </c>
      <c r="C857" s="30" t="s">
        <v>257</v>
      </c>
      <c r="D857" s="30" t="s">
        <v>232</v>
      </c>
    </row>
    <row r="858" spans="1:4" ht="16">
      <c r="A858" s="30" t="s">
        <v>1881</v>
      </c>
      <c r="B858" s="30" t="s">
        <v>1882</v>
      </c>
      <c r="C858" s="30" t="s">
        <v>59</v>
      </c>
      <c r="D858" s="30" t="s">
        <v>1883</v>
      </c>
    </row>
    <row r="859" spans="1:4" ht="16">
      <c r="A859" s="30" t="s">
        <v>1884</v>
      </c>
      <c r="B859" s="30" t="s">
        <v>1885</v>
      </c>
      <c r="C859" s="30" t="s">
        <v>65</v>
      </c>
      <c r="D859" s="30" t="s">
        <v>69</v>
      </c>
    </row>
    <row r="860" spans="1:4" ht="16">
      <c r="A860" s="30" t="s">
        <v>1886</v>
      </c>
      <c r="B860" s="30" t="s">
        <v>1887</v>
      </c>
      <c r="C860" s="30" t="s">
        <v>61</v>
      </c>
      <c r="D860" s="30" t="s">
        <v>232</v>
      </c>
    </row>
    <row r="861" spans="1:4" ht="16">
      <c r="A861" s="30" t="s">
        <v>1888</v>
      </c>
      <c r="B861" s="30" t="s">
        <v>1889</v>
      </c>
      <c r="C861" s="30" t="s">
        <v>65</v>
      </c>
      <c r="D861" s="30" t="s">
        <v>66</v>
      </c>
    </row>
    <row r="862" spans="1:4" ht="16">
      <c r="A862" s="30" t="s">
        <v>1890</v>
      </c>
      <c r="B862" s="30" t="s">
        <v>1891</v>
      </c>
      <c r="C862" s="30" t="s">
        <v>65</v>
      </c>
      <c r="D862" s="30" t="s">
        <v>994</v>
      </c>
    </row>
    <row r="863" spans="1:4" ht="16">
      <c r="A863" s="30" t="s">
        <v>1892</v>
      </c>
      <c r="B863" s="30" t="s">
        <v>1893</v>
      </c>
      <c r="C863" s="30" t="s">
        <v>61</v>
      </c>
      <c r="D863" s="30" t="s">
        <v>160</v>
      </c>
    </row>
    <row r="864" spans="1:4" ht="16">
      <c r="A864" s="30" t="s">
        <v>1894</v>
      </c>
      <c r="B864" s="30" t="s">
        <v>1895</v>
      </c>
      <c r="C864" s="30" t="s">
        <v>61</v>
      </c>
      <c r="D864" s="30" t="s">
        <v>562</v>
      </c>
    </row>
    <row r="865" spans="1:4" ht="16">
      <c r="A865" s="30" t="s">
        <v>1896</v>
      </c>
      <c r="B865" s="30" t="s">
        <v>1897</v>
      </c>
      <c r="C865" s="30" t="s">
        <v>61</v>
      </c>
      <c r="D865" s="30" t="s">
        <v>232</v>
      </c>
    </row>
    <row r="866" spans="1:4" ht="16">
      <c r="A866" s="30" t="s">
        <v>1898</v>
      </c>
      <c r="B866" s="30" t="s">
        <v>1899</v>
      </c>
      <c r="C866" s="30" t="s">
        <v>61</v>
      </c>
      <c r="D866" s="30" t="s">
        <v>103</v>
      </c>
    </row>
    <row r="867" spans="1:4" ht="16">
      <c r="A867" s="30" t="s">
        <v>1900</v>
      </c>
      <c r="B867" s="30" t="s">
        <v>1901</v>
      </c>
      <c r="C867" s="30" t="s">
        <v>61</v>
      </c>
      <c r="D867" s="30" t="s">
        <v>160</v>
      </c>
    </row>
    <row r="868" spans="1:4" ht="16">
      <c r="A868" s="30" t="s">
        <v>1902</v>
      </c>
      <c r="B868" s="30" t="s">
        <v>1903</v>
      </c>
      <c r="C868" s="30" t="s">
        <v>61</v>
      </c>
      <c r="D868" s="30" t="s">
        <v>160</v>
      </c>
    </row>
    <row r="869" spans="1:4" ht="16">
      <c r="A869" s="30" t="s">
        <v>1904</v>
      </c>
      <c r="B869" s="30" t="s">
        <v>1905</v>
      </c>
      <c r="C869" s="30" t="s">
        <v>65</v>
      </c>
      <c r="D869" s="30" t="s">
        <v>66</v>
      </c>
    </row>
    <row r="870" spans="1:4" ht="16">
      <c r="A870" s="30" t="s">
        <v>1906</v>
      </c>
      <c r="B870" s="30" t="s">
        <v>1907</v>
      </c>
      <c r="C870" s="30" t="s">
        <v>61</v>
      </c>
      <c r="D870" s="30" t="s">
        <v>69</v>
      </c>
    </row>
    <row r="871" spans="1:4" ht="16">
      <c r="A871" s="30" t="s">
        <v>1908</v>
      </c>
      <c r="B871" s="30" t="s">
        <v>1909</v>
      </c>
      <c r="C871" s="30" t="s">
        <v>516</v>
      </c>
      <c r="D871" s="30" t="s">
        <v>177</v>
      </c>
    </row>
    <row r="872" spans="1:4" ht="16">
      <c r="A872" s="30" t="s">
        <v>1910</v>
      </c>
      <c r="B872" s="30" t="s">
        <v>1911</v>
      </c>
      <c r="C872" s="30" t="s">
        <v>61</v>
      </c>
      <c r="D872" s="30" t="s">
        <v>232</v>
      </c>
    </row>
    <row r="873" spans="1:4" ht="16">
      <c r="A873" s="30" t="s">
        <v>1912</v>
      </c>
      <c r="B873" s="30" t="s">
        <v>1913</v>
      </c>
      <c r="C873" s="30" t="s">
        <v>257</v>
      </c>
      <c r="D873" s="30" t="s">
        <v>232</v>
      </c>
    </row>
    <row r="874" spans="1:4" ht="16">
      <c r="A874" s="30" t="s">
        <v>1914</v>
      </c>
      <c r="B874" s="30" t="s">
        <v>1915</v>
      </c>
      <c r="C874" s="30" t="s">
        <v>61</v>
      </c>
      <c r="D874" s="30" t="s">
        <v>103</v>
      </c>
    </row>
    <row r="875" spans="1:4" ht="16">
      <c r="A875" s="30" t="s">
        <v>1916</v>
      </c>
      <c r="B875" s="30" t="s">
        <v>1917</v>
      </c>
      <c r="C875" s="30" t="s">
        <v>65</v>
      </c>
      <c r="D875" s="30" t="s">
        <v>160</v>
      </c>
    </row>
    <row r="876" spans="1:4" ht="16">
      <c r="A876" s="30" t="s">
        <v>1918</v>
      </c>
      <c r="B876" s="30" t="s">
        <v>1919</v>
      </c>
      <c r="C876" s="30" t="s">
        <v>61</v>
      </c>
      <c r="D876" s="30" t="s">
        <v>86</v>
      </c>
    </row>
    <row r="877" spans="1:4" ht="16">
      <c r="A877" s="30" t="s">
        <v>1920</v>
      </c>
      <c r="B877" s="30" t="s">
        <v>1921</v>
      </c>
      <c r="C877" s="30" t="s">
        <v>1922</v>
      </c>
      <c r="D877" s="30" t="s">
        <v>75</v>
      </c>
    </row>
    <row r="878" spans="1:4" ht="16">
      <c r="A878" s="30" t="s">
        <v>1923</v>
      </c>
      <c r="B878" s="30" t="s">
        <v>1924</v>
      </c>
      <c r="C878" s="30" t="s">
        <v>257</v>
      </c>
      <c r="D878" s="30" t="s">
        <v>232</v>
      </c>
    </row>
    <row r="879" spans="1:4" ht="16">
      <c r="A879" s="30" t="s">
        <v>1925</v>
      </c>
      <c r="B879" s="30" t="s">
        <v>1926</v>
      </c>
      <c r="C879" s="30" t="s">
        <v>65</v>
      </c>
      <c r="D879" s="30" t="s">
        <v>66</v>
      </c>
    </row>
    <row r="880" spans="1:4" ht="16">
      <c r="A880" s="30" t="s">
        <v>1927</v>
      </c>
      <c r="B880" s="30" t="s">
        <v>1928</v>
      </c>
      <c r="C880" s="30" t="s">
        <v>100</v>
      </c>
      <c r="D880" s="30" t="s">
        <v>75</v>
      </c>
    </row>
    <row r="881" spans="1:4" ht="16">
      <c r="A881" s="30" t="s">
        <v>1929</v>
      </c>
      <c r="B881" s="30" t="s">
        <v>1930</v>
      </c>
      <c r="C881" s="30" t="s">
        <v>61</v>
      </c>
      <c r="D881" s="30" t="s">
        <v>89</v>
      </c>
    </row>
    <row r="882" spans="1:4" ht="16">
      <c r="A882" s="30" t="s">
        <v>1931</v>
      </c>
      <c r="B882" s="30" t="s">
        <v>1932</v>
      </c>
      <c r="C882" s="30" t="s">
        <v>59</v>
      </c>
      <c r="D882" s="30" t="s">
        <v>82</v>
      </c>
    </row>
    <row r="883" spans="1:4" ht="16">
      <c r="A883" s="30" t="s">
        <v>1933</v>
      </c>
      <c r="B883" s="30" t="s">
        <v>1934</v>
      </c>
      <c r="C883" s="30" t="s">
        <v>61</v>
      </c>
      <c r="D883" s="30" t="s">
        <v>62</v>
      </c>
    </row>
    <row r="884" spans="1:4" ht="16">
      <c r="A884" s="30" t="s">
        <v>1935</v>
      </c>
      <c r="B884" s="30" t="s">
        <v>1936</v>
      </c>
      <c r="C884" s="30" t="s">
        <v>124</v>
      </c>
      <c r="D884" s="30" t="s">
        <v>75</v>
      </c>
    </row>
    <row r="885" spans="1:4" ht="16">
      <c r="A885" s="30" t="s">
        <v>1937</v>
      </c>
      <c r="B885" s="30" t="s">
        <v>1938</v>
      </c>
      <c r="C885" s="30" t="s">
        <v>61</v>
      </c>
      <c r="D885" s="30" t="s">
        <v>232</v>
      </c>
    </row>
    <row r="886" spans="1:4" ht="16">
      <c r="A886" s="30" t="s">
        <v>1939</v>
      </c>
      <c r="B886" s="30" t="s">
        <v>1940</v>
      </c>
      <c r="C886" s="30" t="s">
        <v>65</v>
      </c>
      <c r="D886" s="30" t="s">
        <v>66</v>
      </c>
    </row>
    <row r="887" spans="1:4" ht="16">
      <c r="A887" s="30" t="s">
        <v>1941</v>
      </c>
      <c r="B887" s="30" t="s">
        <v>1942</v>
      </c>
      <c r="C887" s="30" t="s">
        <v>61</v>
      </c>
      <c r="D887" s="30" t="s">
        <v>89</v>
      </c>
    </row>
    <row r="888" spans="1:4" ht="16">
      <c r="A888" s="30" t="s">
        <v>1943</v>
      </c>
      <c r="B888" s="30" t="s">
        <v>1944</v>
      </c>
      <c r="C888" s="30" t="s">
        <v>134</v>
      </c>
      <c r="D888" s="30" t="s">
        <v>75</v>
      </c>
    </row>
    <row r="889" spans="1:4" ht="16">
      <c r="A889" s="30" t="s">
        <v>1945</v>
      </c>
      <c r="B889" s="30" t="s">
        <v>1946</v>
      </c>
      <c r="C889" s="30" t="s">
        <v>59</v>
      </c>
      <c r="D889" s="30" t="s">
        <v>82</v>
      </c>
    </row>
    <row r="890" spans="1:4" ht="16">
      <c r="A890" s="30" t="s">
        <v>1947</v>
      </c>
      <c r="B890" s="30" t="s">
        <v>1948</v>
      </c>
      <c r="C890" s="30" t="s">
        <v>124</v>
      </c>
      <c r="D890" s="30" t="s">
        <v>75</v>
      </c>
    </row>
    <row r="891" spans="1:4" ht="16">
      <c r="A891" s="30" t="s">
        <v>1949</v>
      </c>
      <c r="B891" s="30" t="s">
        <v>1950</v>
      </c>
      <c r="C891" s="30" t="s">
        <v>176</v>
      </c>
      <c r="D891" s="30" t="s">
        <v>232</v>
      </c>
    </row>
    <row r="892" spans="1:4" ht="16">
      <c r="A892" s="30" t="s">
        <v>1951</v>
      </c>
      <c r="B892" s="30" t="s">
        <v>1952</v>
      </c>
      <c r="C892" s="30" t="s">
        <v>61</v>
      </c>
      <c r="D892" s="30" t="s">
        <v>896</v>
      </c>
    </row>
    <row r="893" spans="1:4" ht="16">
      <c r="A893" s="30" t="s">
        <v>1953</v>
      </c>
      <c r="B893" s="30" t="s">
        <v>1954</v>
      </c>
      <c r="C893" s="30" t="s">
        <v>987</v>
      </c>
      <c r="D893" s="30" t="s">
        <v>160</v>
      </c>
    </row>
    <row r="894" spans="1:4" ht="16">
      <c r="A894" s="30" t="s">
        <v>1955</v>
      </c>
      <c r="B894" s="30" t="s">
        <v>1956</v>
      </c>
      <c r="C894" s="30" t="s">
        <v>376</v>
      </c>
      <c r="D894" s="30" t="s">
        <v>171</v>
      </c>
    </row>
    <row r="895" spans="1:4" ht="16">
      <c r="A895" s="30" t="s">
        <v>1957</v>
      </c>
      <c r="B895" s="30" t="s">
        <v>1958</v>
      </c>
      <c r="C895" s="30" t="s">
        <v>61</v>
      </c>
      <c r="D895" s="30" t="s">
        <v>1959</v>
      </c>
    </row>
    <row r="896" spans="1:4" ht="16">
      <c r="A896" s="30" t="s">
        <v>1960</v>
      </c>
      <c r="B896" s="30" t="s">
        <v>1961</v>
      </c>
      <c r="C896" s="30" t="s">
        <v>376</v>
      </c>
      <c r="D896" s="30" t="s">
        <v>82</v>
      </c>
    </row>
    <row r="897" spans="1:4" ht="16">
      <c r="A897" s="30" t="s">
        <v>1962</v>
      </c>
      <c r="B897" s="30" t="s">
        <v>21</v>
      </c>
      <c r="C897" s="30" t="s">
        <v>468</v>
      </c>
      <c r="D897" s="30" t="s">
        <v>82</v>
      </c>
    </row>
    <row r="898" spans="1:4" ht="16">
      <c r="A898" s="30" t="s">
        <v>1963</v>
      </c>
      <c r="B898" s="30" t="s">
        <v>1964</v>
      </c>
      <c r="C898" s="30" t="s">
        <v>141</v>
      </c>
      <c r="D898" s="30" t="s">
        <v>82</v>
      </c>
    </row>
    <row r="899" spans="1:4" ht="16">
      <c r="A899" s="30" t="s">
        <v>1965</v>
      </c>
      <c r="B899" s="30" t="s">
        <v>1966</v>
      </c>
      <c r="C899" s="30" t="s">
        <v>608</v>
      </c>
      <c r="D899" s="30" t="s">
        <v>82</v>
      </c>
    </row>
    <row r="900" spans="1:4" ht="16">
      <c r="A900" s="30" t="s">
        <v>1967</v>
      </c>
      <c r="B900" s="30" t="s">
        <v>1968</v>
      </c>
      <c r="C900" s="30" t="s">
        <v>61</v>
      </c>
      <c r="D900" s="30" t="s">
        <v>160</v>
      </c>
    </row>
    <row r="901" spans="1:4" ht="16">
      <c r="A901" s="30" t="s">
        <v>1969</v>
      </c>
      <c r="B901" s="30" t="s">
        <v>1970</v>
      </c>
      <c r="C901" s="30" t="s">
        <v>61</v>
      </c>
      <c r="D901" s="30" t="s">
        <v>232</v>
      </c>
    </row>
    <row r="902" spans="1:4" ht="16">
      <c r="A902" s="30" t="s">
        <v>1971</v>
      </c>
      <c r="B902" s="30" t="s">
        <v>1972</v>
      </c>
      <c r="C902" s="30" t="s">
        <v>134</v>
      </c>
      <c r="D902" s="30" t="s">
        <v>89</v>
      </c>
    </row>
    <row r="903" spans="1:4" ht="16">
      <c r="A903" s="30" t="s">
        <v>1973</v>
      </c>
      <c r="B903" s="30" t="s">
        <v>1974</v>
      </c>
      <c r="C903" s="30" t="s">
        <v>389</v>
      </c>
      <c r="D903" s="30" t="s">
        <v>160</v>
      </c>
    </row>
    <row r="904" spans="1:4" ht="16">
      <c r="A904" s="30" t="s">
        <v>1975</v>
      </c>
      <c r="B904" s="30" t="s">
        <v>1976</v>
      </c>
      <c r="C904" s="30" t="s">
        <v>61</v>
      </c>
      <c r="D904" s="30" t="s">
        <v>232</v>
      </c>
    </row>
    <row r="905" spans="1:4" ht="16">
      <c r="A905" s="30" t="s">
        <v>1977</v>
      </c>
      <c r="B905" s="30" t="s">
        <v>1978</v>
      </c>
      <c r="C905" s="30" t="s">
        <v>61</v>
      </c>
      <c r="D905" s="30" t="s">
        <v>69</v>
      </c>
    </row>
    <row r="906" spans="1:4" ht="16">
      <c r="A906" s="30" t="s">
        <v>1979</v>
      </c>
      <c r="B906" s="30" t="s">
        <v>1980</v>
      </c>
      <c r="C906" s="30" t="s">
        <v>134</v>
      </c>
      <c r="D906" s="30" t="s">
        <v>135</v>
      </c>
    </row>
    <row r="907" spans="1:4" ht="16">
      <c r="A907" s="30" t="s">
        <v>1981</v>
      </c>
      <c r="B907" s="30" t="s">
        <v>1982</v>
      </c>
      <c r="C907" s="30" t="s">
        <v>124</v>
      </c>
      <c r="D907" s="30" t="s">
        <v>562</v>
      </c>
    </row>
    <row r="908" spans="1:4" ht="16">
      <c r="A908" s="30" t="s">
        <v>1983</v>
      </c>
      <c r="B908" s="30" t="s">
        <v>1984</v>
      </c>
      <c r="C908" s="30" t="s">
        <v>176</v>
      </c>
      <c r="D908" s="30" t="s">
        <v>171</v>
      </c>
    </row>
    <row r="909" spans="1:4" ht="16">
      <c r="A909" s="30" t="s">
        <v>1985</v>
      </c>
      <c r="B909" s="30" t="s">
        <v>1986</v>
      </c>
      <c r="C909" s="30" t="s">
        <v>215</v>
      </c>
      <c r="D909" s="30" t="s">
        <v>92</v>
      </c>
    </row>
    <row r="910" spans="1:4" ht="16">
      <c r="A910" s="30" t="s">
        <v>1987</v>
      </c>
      <c r="B910" s="30" t="s">
        <v>1988</v>
      </c>
      <c r="C910" s="30" t="s">
        <v>257</v>
      </c>
      <c r="D910" s="30" t="s">
        <v>232</v>
      </c>
    </row>
    <row r="911" spans="1:4" ht="16">
      <c r="A911" s="30" t="s">
        <v>1989</v>
      </c>
      <c r="B911" s="30" t="s">
        <v>1990</v>
      </c>
      <c r="C911" s="30" t="s">
        <v>141</v>
      </c>
      <c r="D911" s="30" t="s">
        <v>82</v>
      </c>
    </row>
    <row r="912" spans="1:4" ht="16">
      <c r="A912" s="30" t="s">
        <v>1991</v>
      </c>
      <c r="B912" s="30" t="s">
        <v>1992</v>
      </c>
      <c r="C912" s="30" t="s">
        <v>61</v>
      </c>
      <c r="D912" s="30" t="s">
        <v>86</v>
      </c>
    </row>
    <row r="913" spans="1:4" ht="16">
      <c r="A913" s="30" t="s">
        <v>1993</v>
      </c>
      <c r="B913" s="30" t="s">
        <v>1994</v>
      </c>
      <c r="C913" s="30" t="s">
        <v>65</v>
      </c>
      <c r="D913" s="30" t="s">
        <v>66</v>
      </c>
    </row>
    <row r="914" spans="1:4" ht="16">
      <c r="A914" s="30" t="s">
        <v>1995</v>
      </c>
      <c r="B914" s="30" t="s">
        <v>1996</v>
      </c>
      <c r="C914" s="30" t="s">
        <v>59</v>
      </c>
      <c r="D914" s="30" t="s">
        <v>82</v>
      </c>
    </row>
    <row r="915" spans="1:4" ht="16">
      <c r="A915" s="30" t="s">
        <v>1997</v>
      </c>
      <c r="B915" s="30" t="s">
        <v>1998</v>
      </c>
      <c r="C915" s="30" t="s">
        <v>257</v>
      </c>
      <c r="D915" s="30" t="s">
        <v>160</v>
      </c>
    </row>
    <row r="916" spans="1:4" ht="16">
      <c r="A916" s="30" t="s">
        <v>1999</v>
      </c>
      <c r="B916" s="30" t="s">
        <v>2000</v>
      </c>
      <c r="C916" s="30" t="s">
        <v>59</v>
      </c>
      <c r="D916" s="30" t="s">
        <v>82</v>
      </c>
    </row>
    <row r="917" spans="1:4" ht="16">
      <c r="A917" s="30" t="s">
        <v>2001</v>
      </c>
      <c r="B917" s="30" t="s">
        <v>2002</v>
      </c>
      <c r="C917" s="30" t="s">
        <v>61</v>
      </c>
      <c r="D917" s="30" t="s">
        <v>931</v>
      </c>
    </row>
    <row r="918" spans="1:4" ht="16">
      <c r="A918" s="30" t="s">
        <v>2003</v>
      </c>
      <c r="B918" s="30" t="s">
        <v>2004</v>
      </c>
      <c r="C918" s="30" t="s">
        <v>61</v>
      </c>
      <c r="D918" s="30" t="s">
        <v>232</v>
      </c>
    </row>
    <row r="919" spans="1:4" ht="16">
      <c r="A919" s="30" t="s">
        <v>2005</v>
      </c>
      <c r="B919" s="30" t="s">
        <v>2006</v>
      </c>
      <c r="C919" s="30" t="s">
        <v>65</v>
      </c>
      <c r="D919" s="30" t="s">
        <v>69</v>
      </c>
    </row>
    <row r="920" spans="1:4" ht="16">
      <c r="A920" s="30" t="s">
        <v>32</v>
      </c>
      <c r="B920" s="30" t="s">
        <v>33</v>
      </c>
      <c r="C920" s="30" t="s">
        <v>468</v>
      </c>
      <c r="D920" s="30" t="s">
        <v>575</v>
      </c>
    </row>
    <row r="921" spans="1:4" ht="16">
      <c r="A921" s="30" t="s">
        <v>2007</v>
      </c>
      <c r="B921" s="30" t="s">
        <v>2008</v>
      </c>
      <c r="C921" s="30" t="s">
        <v>257</v>
      </c>
      <c r="D921" s="30" t="s">
        <v>232</v>
      </c>
    </row>
    <row r="922" spans="1:4" ht="16">
      <c r="A922" s="30" t="s">
        <v>2009</v>
      </c>
      <c r="B922" s="30" t="s">
        <v>2010</v>
      </c>
      <c r="C922" s="30" t="s">
        <v>257</v>
      </c>
      <c r="D922" s="30" t="s">
        <v>232</v>
      </c>
    </row>
    <row r="923" spans="1:4" ht="16">
      <c r="A923" s="30" t="s">
        <v>2011</v>
      </c>
      <c r="B923" s="30" t="s">
        <v>2012</v>
      </c>
      <c r="C923" s="30" t="s">
        <v>61</v>
      </c>
      <c r="D923" s="30" t="s">
        <v>232</v>
      </c>
    </row>
    <row r="924" spans="1:4" ht="16">
      <c r="A924" s="30" t="s">
        <v>2013</v>
      </c>
      <c r="B924" s="30" t="s">
        <v>2014</v>
      </c>
      <c r="C924" s="30" t="s">
        <v>61</v>
      </c>
      <c r="D924" s="30" t="s">
        <v>152</v>
      </c>
    </row>
    <row r="925" spans="1:4" ht="16">
      <c r="A925" s="30" t="s">
        <v>2015</v>
      </c>
      <c r="B925" s="30" t="s">
        <v>2016</v>
      </c>
      <c r="C925" s="30" t="s">
        <v>61</v>
      </c>
      <c r="D925" s="30" t="s">
        <v>346</v>
      </c>
    </row>
    <row r="926" spans="1:4" ht="16">
      <c r="A926" s="30" t="s">
        <v>2017</v>
      </c>
      <c r="B926" s="30" t="s">
        <v>2018</v>
      </c>
      <c r="C926" s="30" t="s">
        <v>176</v>
      </c>
      <c r="D926" s="30" t="s">
        <v>177</v>
      </c>
    </row>
    <row r="927" spans="1:4" ht="16">
      <c r="A927" s="30" t="s">
        <v>2019</v>
      </c>
      <c r="B927" s="30" t="s">
        <v>2020</v>
      </c>
      <c r="C927" s="30" t="s">
        <v>61</v>
      </c>
      <c r="D927" s="30" t="s">
        <v>72</v>
      </c>
    </row>
    <row r="928" spans="1:4" ht="16">
      <c r="A928" s="30" t="s">
        <v>2021</v>
      </c>
      <c r="B928" s="30" t="s">
        <v>2022</v>
      </c>
      <c r="C928" s="30" t="s">
        <v>61</v>
      </c>
      <c r="D928" s="30" t="s">
        <v>128</v>
      </c>
    </row>
    <row r="929" spans="1:4" ht="16">
      <c r="A929" s="30" t="s">
        <v>2023</v>
      </c>
      <c r="B929" s="30" t="s">
        <v>2024</v>
      </c>
      <c r="C929" s="30" t="s">
        <v>141</v>
      </c>
      <c r="D929" s="30" t="s">
        <v>82</v>
      </c>
    </row>
    <row r="930" spans="1:4" ht="16">
      <c r="A930" s="30" t="s">
        <v>2025</v>
      </c>
      <c r="B930" s="30" t="s">
        <v>2026</v>
      </c>
      <c r="C930" s="30" t="s">
        <v>59</v>
      </c>
      <c r="D930" s="30" t="s">
        <v>82</v>
      </c>
    </row>
    <row r="931" spans="1:4" ht="16">
      <c r="A931" s="30" t="s">
        <v>2027</v>
      </c>
      <c r="B931" s="30" t="s">
        <v>2028</v>
      </c>
      <c r="C931" s="30" t="s">
        <v>257</v>
      </c>
      <c r="D931" s="30" t="s">
        <v>232</v>
      </c>
    </row>
    <row r="932" spans="1:4" ht="16">
      <c r="A932" s="30" t="s">
        <v>2029</v>
      </c>
      <c r="B932" s="30" t="s">
        <v>2030</v>
      </c>
      <c r="C932" s="30" t="s">
        <v>65</v>
      </c>
      <c r="D932" s="30" t="s">
        <v>66</v>
      </c>
    </row>
    <row r="933" spans="1:4" ht="16">
      <c r="A933" s="30" t="s">
        <v>2031</v>
      </c>
      <c r="B933" s="30" t="s">
        <v>2032</v>
      </c>
      <c r="C933" s="30" t="s">
        <v>61</v>
      </c>
      <c r="D933" s="30" t="s">
        <v>260</v>
      </c>
    </row>
    <row r="934" spans="1:4" ht="16">
      <c r="A934" s="30" t="s">
        <v>2033</v>
      </c>
      <c r="B934" s="30" t="s">
        <v>2034</v>
      </c>
      <c r="C934" s="30" t="s">
        <v>61</v>
      </c>
      <c r="D934" s="30" t="s">
        <v>232</v>
      </c>
    </row>
    <row r="935" spans="1:4" ht="16">
      <c r="A935" s="30" t="s">
        <v>2035</v>
      </c>
      <c r="B935" s="30" t="s">
        <v>2036</v>
      </c>
      <c r="C935" s="30" t="s">
        <v>2037</v>
      </c>
      <c r="D935" s="30" t="s">
        <v>879</v>
      </c>
    </row>
    <row r="936" spans="1:4" ht="16">
      <c r="A936" s="30" t="s">
        <v>2038</v>
      </c>
      <c r="B936" s="30" t="s">
        <v>2039</v>
      </c>
      <c r="C936" s="30" t="s">
        <v>124</v>
      </c>
      <c r="D936" s="30" t="s">
        <v>75</v>
      </c>
    </row>
    <row r="937" spans="1:4" ht="16">
      <c r="A937" s="30" t="s">
        <v>2040</v>
      </c>
      <c r="B937" s="30" t="s">
        <v>2041</v>
      </c>
      <c r="C937" s="30" t="s">
        <v>61</v>
      </c>
      <c r="D937" s="30" t="s">
        <v>78</v>
      </c>
    </row>
    <row r="938" spans="1:4" ht="16">
      <c r="A938" s="30" t="s">
        <v>2042</v>
      </c>
      <c r="B938" s="30" t="s">
        <v>2043</v>
      </c>
      <c r="C938" s="30" t="s">
        <v>65</v>
      </c>
      <c r="D938" s="30" t="s">
        <v>66</v>
      </c>
    </row>
    <row r="939" spans="1:4" ht="16">
      <c r="A939" s="30" t="s">
        <v>2044</v>
      </c>
      <c r="B939" s="30" t="s">
        <v>2045</v>
      </c>
      <c r="C939" s="30" t="s">
        <v>61</v>
      </c>
      <c r="D939" s="30" t="s">
        <v>131</v>
      </c>
    </row>
    <row r="940" spans="1:4" ht="16">
      <c r="A940" s="30" t="s">
        <v>2046</v>
      </c>
      <c r="B940" s="30" t="s">
        <v>2047</v>
      </c>
      <c r="C940" s="30" t="s">
        <v>61</v>
      </c>
      <c r="D940" s="30" t="s">
        <v>232</v>
      </c>
    </row>
    <row r="941" spans="1:4" ht="16">
      <c r="A941" s="30" t="s">
        <v>2048</v>
      </c>
      <c r="B941" s="30" t="s">
        <v>2049</v>
      </c>
      <c r="C941" s="30" t="s">
        <v>2050</v>
      </c>
      <c r="D941" s="30" t="s">
        <v>177</v>
      </c>
    </row>
    <row r="942" spans="1:4" ht="16">
      <c r="A942" s="30" t="s">
        <v>2051</v>
      </c>
      <c r="B942" s="30" t="s">
        <v>2052</v>
      </c>
      <c r="C942" s="30" t="s">
        <v>2050</v>
      </c>
      <c r="D942" s="30" t="s">
        <v>177</v>
      </c>
    </row>
    <row r="943" spans="1:4" ht="16">
      <c r="A943" s="30" t="s">
        <v>2053</v>
      </c>
      <c r="B943" s="30" t="s">
        <v>2054</v>
      </c>
      <c r="C943" s="30" t="s">
        <v>61</v>
      </c>
      <c r="D943" s="30" t="s">
        <v>260</v>
      </c>
    </row>
    <row r="944" spans="1:4" ht="16">
      <c r="A944" s="30" t="s">
        <v>2055</v>
      </c>
      <c r="B944" s="30" t="s">
        <v>2056</v>
      </c>
      <c r="C944" s="30" t="s">
        <v>59</v>
      </c>
      <c r="D944" s="30" t="s">
        <v>82</v>
      </c>
    </row>
    <row r="945" spans="1:4" ht="16">
      <c r="A945" s="30" t="s">
        <v>2057</v>
      </c>
      <c r="B945" s="30" t="s">
        <v>2058</v>
      </c>
      <c r="C945" s="30" t="s">
        <v>81</v>
      </c>
      <c r="D945" s="30" t="s">
        <v>82</v>
      </c>
    </row>
    <row r="946" spans="1:4" ht="16">
      <c r="A946" s="30" t="s">
        <v>2059</v>
      </c>
      <c r="B946" s="30" t="s">
        <v>2060</v>
      </c>
      <c r="C946" s="30" t="s">
        <v>59</v>
      </c>
      <c r="D946" s="30" t="s">
        <v>82</v>
      </c>
    </row>
    <row r="947" spans="1:4" ht="16">
      <c r="A947" s="30" t="s">
        <v>2061</v>
      </c>
      <c r="B947" s="30" t="s">
        <v>2062</v>
      </c>
      <c r="C947" s="30" t="s">
        <v>61</v>
      </c>
      <c r="D947" s="30" t="s">
        <v>491</v>
      </c>
    </row>
    <row r="948" spans="1:4" ht="16">
      <c r="A948" s="30" t="s">
        <v>2063</v>
      </c>
      <c r="B948" s="30" t="s">
        <v>2064</v>
      </c>
      <c r="C948" s="30" t="s">
        <v>65</v>
      </c>
      <c r="D948" s="30" t="s">
        <v>69</v>
      </c>
    </row>
    <row r="949" spans="1:4" ht="16">
      <c r="A949" s="30" t="s">
        <v>2065</v>
      </c>
      <c r="B949" s="30" t="s">
        <v>2066</v>
      </c>
      <c r="C949" s="30" t="s">
        <v>141</v>
      </c>
      <c r="D949" s="30" t="s">
        <v>82</v>
      </c>
    </row>
    <row r="950" spans="1:4" ht="16">
      <c r="A950" s="30" t="s">
        <v>2067</v>
      </c>
      <c r="B950" s="30" t="s">
        <v>2068</v>
      </c>
      <c r="C950" s="30" t="s">
        <v>1195</v>
      </c>
      <c r="D950" s="30" t="s">
        <v>69</v>
      </c>
    </row>
    <row r="951" spans="1:4" ht="16">
      <c r="A951" s="30" t="s">
        <v>2069</v>
      </c>
      <c r="B951" s="30" t="s">
        <v>2070</v>
      </c>
      <c r="C951" s="30" t="s">
        <v>61</v>
      </c>
      <c r="D951" s="30" t="s">
        <v>62</v>
      </c>
    </row>
    <row r="952" spans="1:4" ht="16">
      <c r="A952" s="30" t="s">
        <v>2071</v>
      </c>
      <c r="B952" s="30" t="s">
        <v>2072</v>
      </c>
      <c r="C952" s="30" t="s">
        <v>61</v>
      </c>
      <c r="D952" s="30" t="s">
        <v>1490</v>
      </c>
    </row>
    <row r="953" spans="1:4" ht="16">
      <c r="A953" s="30" t="s">
        <v>2073</v>
      </c>
      <c r="B953" s="30" t="s">
        <v>2074</v>
      </c>
      <c r="C953" s="30" t="s">
        <v>141</v>
      </c>
      <c r="D953" s="30" t="s">
        <v>82</v>
      </c>
    </row>
    <row r="954" spans="1:4" ht="16">
      <c r="A954" s="30" t="s">
        <v>2075</v>
      </c>
      <c r="B954" s="30" t="s">
        <v>2076</v>
      </c>
      <c r="C954" s="30" t="s">
        <v>257</v>
      </c>
      <c r="D954" s="30" t="s">
        <v>232</v>
      </c>
    </row>
    <row r="955" spans="1:4" ht="16">
      <c r="A955" s="30" t="s">
        <v>2077</v>
      </c>
      <c r="B955" s="30" t="s">
        <v>2078</v>
      </c>
      <c r="C955" s="30" t="s">
        <v>257</v>
      </c>
      <c r="D955" s="30" t="s">
        <v>232</v>
      </c>
    </row>
    <row r="956" spans="1:4" ht="16">
      <c r="A956" s="30" t="s">
        <v>2079</v>
      </c>
      <c r="B956" s="30" t="s">
        <v>2080</v>
      </c>
      <c r="C956" s="30" t="s">
        <v>61</v>
      </c>
      <c r="D956" s="30" t="s">
        <v>232</v>
      </c>
    </row>
    <row r="957" spans="1:4" ht="16">
      <c r="A957" s="30" t="s">
        <v>2081</v>
      </c>
      <c r="B957" s="30" t="s">
        <v>2082</v>
      </c>
      <c r="C957" s="30" t="s">
        <v>513</v>
      </c>
      <c r="D957" s="30" t="s">
        <v>160</v>
      </c>
    </row>
    <row r="958" spans="1:4" ht="16">
      <c r="A958" s="30" t="s">
        <v>2083</v>
      </c>
      <c r="B958" s="30" t="s">
        <v>2084</v>
      </c>
      <c r="C958" s="30" t="s">
        <v>257</v>
      </c>
      <c r="D958" s="30" t="s">
        <v>232</v>
      </c>
    </row>
    <row r="959" spans="1:4" ht="16">
      <c r="A959" s="30" t="s">
        <v>2085</v>
      </c>
      <c r="B959" s="30" t="s">
        <v>2086</v>
      </c>
      <c r="C959" s="30" t="s">
        <v>61</v>
      </c>
      <c r="D959" s="30" t="s">
        <v>103</v>
      </c>
    </row>
    <row r="960" spans="1:4" ht="16">
      <c r="A960" s="30" t="s">
        <v>2087</v>
      </c>
      <c r="B960" s="30" t="s">
        <v>2088</v>
      </c>
      <c r="C960" s="30" t="s">
        <v>608</v>
      </c>
      <c r="D960" s="30" t="s">
        <v>82</v>
      </c>
    </row>
    <row r="961" spans="1:4" ht="16">
      <c r="A961" s="30" t="s">
        <v>2089</v>
      </c>
      <c r="B961" s="30" t="s">
        <v>2090</v>
      </c>
      <c r="C961" s="30" t="s">
        <v>61</v>
      </c>
      <c r="D961" s="30" t="s">
        <v>103</v>
      </c>
    </row>
    <row r="962" spans="1:4" ht="16">
      <c r="A962" s="30" t="s">
        <v>2091</v>
      </c>
      <c r="B962" s="30" t="s">
        <v>2092</v>
      </c>
      <c r="C962" s="30" t="s">
        <v>65</v>
      </c>
      <c r="D962" s="30" t="s">
        <v>66</v>
      </c>
    </row>
    <row r="963" spans="1:4" ht="16">
      <c r="A963" s="30" t="s">
        <v>2093</v>
      </c>
      <c r="B963" s="30" t="s">
        <v>2094</v>
      </c>
      <c r="C963" s="30" t="s">
        <v>59</v>
      </c>
      <c r="D963" s="30" t="s">
        <v>82</v>
      </c>
    </row>
    <row r="964" spans="1:4" ht="16">
      <c r="A964" s="30" t="s">
        <v>2095</v>
      </c>
      <c r="B964" s="30" t="s">
        <v>2096</v>
      </c>
      <c r="C964" s="30" t="s">
        <v>61</v>
      </c>
      <c r="D964" s="30" t="s">
        <v>89</v>
      </c>
    </row>
    <row r="965" spans="1:4" ht="16">
      <c r="A965" s="30" t="s">
        <v>2097</v>
      </c>
      <c r="B965" s="30" t="s">
        <v>2098</v>
      </c>
      <c r="C965" s="30" t="s">
        <v>873</v>
      </c>
      <c r="D965" s="30" t="s">
        <v>2099</v>
      </c>
    </row>
    <row r="966" spans="1:4" ht="16">
      <c r="A966" s="30" t="s">
        <v>2100</v>
      </c>
      <c r="B966" s="30" t="s">
        <v>2101</v>
      </c>
      <c r="C966" s="30" t="s">
        <v>433</v>
      </c>
      <c r="D966" s="30" t="s">
        <v>1395</v>
      </c>
    </row>
    <row r="967" spans="1:4" ht="16">
      <c r="A967" s="30" t="s">
        <v>2102</v>
      </c>
      <c r="B967" s="30" t="s">
        <v>2103</v>
      </c>
      <c r="C967" s="30" t="s">
        <v>65</v>
      </c>
      <c r="D967" s="30" t="s">
        <v>69</v>
      </c>
    </row>
    <row r="968" spans="1:4" ht="16">
      <c r="A968" s="30" t="s">
        <v>2104</v>
      </c>
      <c r="B968" s="30" t="s">
        <v>2105</v>
      </c>
      <c r="C968" s="30" t="s">
        <v>59</v>
      </c>
      <c r="D968" s="30" t="s">
        <v>82</v>
      </c>
    </row>
    <row r="969" spans="1:4" ht="16">
      <c r="A969" s="30" t="s">
        <v>2106</v>
      </c>
      <c r="B969" s="30" t="s">
        <v>2107</v>
      </c>
      <c r="C969" s="30" t="s">
        <v>65</v>
      </c>
      <c r="D969" s="30" t="s">
        <v>66</v>
      </c>
    </row>
    <row r="970" spans="1:4" ht="16">
      <c r="A970" s="30" t="s">
        <v>2108</v>
      </c>
      <c r="B970" s="30" t="s">
        <v>2109</v>
      </c>
      <c r="C970" s="30" t="s">
        <v>873</v>
      </c>
      <c r="D970" s="30" t="s">
        <v>2099</v>
      </c>
    </row>
    <row r="971" spans="1:4" ht="16">
      <c r="A971" s="30" t="s">
        <v>2110</v>
      </c>
      <c r="B971" s="30" t="s">
        <v>2111</v>
      </c>
      <c r="C971" s="30" t="s">
        <v>65</v>
      </c>
      <c r="D971" s="30" t="s">
        <v>148</v>
      </c>
    </row>
    <row r="972" spans="1:4" ht="16">
      <c r="A972" s="30" t="s">
        <v>2112</v>
      </c>
      <c r="B972" s="30" t="s">
        <v>2113</v>
      </c>
      <c r="C972" s="30" t="s">
        <v>65</v>
      </c>
      <c r="D972" s="30" t="s">
        <v>66</v>
      </c>
    </row>
    <row r="973" spans="1:4" ht="16">
      <c r="A973" s="30" t="s">
        <v>2114</v>
      </c>
      <c r="B973" s="30" t="s">
        <v>2115</v>
      </c>
      <c r="C973" s="30" t="s">
        <v>85</v>
      </c>
      <c r="D973" s="30" t="s">
        <v>2116</v>
      </c>
    </row>
    <row r="974" spans="1:4" ht="16">
      <c r="A974" s="30" t="s">
        <v>2117</v>
      </c>
      <c r="B974" s="30" t="s">
        <v>2118</v>
      </c>
      <c r="C974" s="30" t="s">
        <v>61</v>
      </c>
      <c r="D974" s="30" t="s">
        <v>294</v>
      </c>
    </row>
    <row r="975" spans="1:4" ht="16">
      <c r="A975" s="30" t="s">
        <v>2119</v>
      </c>
      <c r="B975" s="30" t="s">
        <v>2120</v>
      </c>
      <c r="C975" s="30" t="s">
        <v>651</v>
      </c>
      <c r="D975" s="30" t="s">
        <v>232</v>
      </c>
    </row>
    <row r="976" spans="1:4" ht="16">
      <c r="A976" s="30" t="s">
        <v>2121</v>
      </c>
      <c r="B976" s="30" t="s">
        <v>2122</v>
      </c>
      <c r="C976" s="30" t="s">
        <v>61</v>
      </c>
      <c r="D976" s="30" t="s">
        <v>78</v>
      </c>
    </row>
    <row r="977" spans="1:4" ht="16">
      <c r="A977" s="30" t="s">
        <v>2123</v>
      </c>
      <c r="B977" s="30" t="s">
        <v>2124</v>
      </c>
      <c r="C977" s="30" t="s">
        <v>643</v>
      </c>
      <c r="D977" s="30" t="s">
        <v>171</v>
      </c>
    </row>
    <row r="978" spans="1:4" ht="16">
      <c r="A978" s="30" t="s">
        <v>2125</v>
      </c>
      <c r="B978" s="30" t="s">
        <v>2126</v>
      </c>
      <c r="C978" s="30" t="s">
        <v>59</v>
      </c>
      <c r="D978" s="30" t="s">
        <v>82</v>
      </c>
    </row>
    <row r="979" spans="1:4" ht="16">
      <c r="A979" s="30" t="s">
        <v>2127</v>
      </c>
      <c r="B979" s="30" t="s">
        <v>2128</v>
      </c>
      <c r="C979" s="30" t="s">
        <v>124</v>
      </c>
      <c r="D979" s="30" t="s">
        <v>75</v>
      </c>
    </row>
    <row r="980" spans="1:4" ht="16">
      <c r="A980" s="30" t="s">
        <v>2129</v>
      </c>
      <c r="B980" s="30" t="s">
        <v>2130</v>
      </c>
      <c r="C980" s="30" t="s">
        <v>100</v>
      </c>
      <c r="D980" s="30" t="s">
        <v>75</v>
      </c>
    </row>
    <row r="981" spans="1:4" ht="16">
      <c r="A981" s="30" t="s">
        <v>2131</v>
      </c>
      <c r="B981" s="30" t="s">
        <v>2132</v>
      </c>
      <c r="C981" s="30" t="s">
        <v>61</v>
      </c>
      <c r="D981" s="30" t="s">
        <v>1395</v>
      </c>
    </row>
    <row r="982" spans="1:4" ht="16">
      <c r="A982" s="30" t="s">
        <v>2133</v>
      </c>
      <c r="B982" s="30" t="s">
        <v>2134</v>
      </c>
      <c r="C982" s="30" t="s">
        <v>65</v>
      </c>
      <c r="D982" s="30" t="s">
        <v>66</v>
      </c>
    </row>
    <row r="983" spans="1:4" ht="16">
      <c r="A983" s="30" t="s">
        <v>2135</v>
      </c>
      <c r="B983" s="30" t="s">
        <v>2136</v>
      </c>
      <c r="C983" s="30" t="s">
        <v>257</v>
      </c>
      <c r="D983" s="30" t="s">
        <v>232</v>
      </c>
    </row>
    <row r="984" spans="1:4" ht="16">
      <c r="A984" s="30" t="s">
        <v>2137</v>
      </c>
      <c r="B984" s="30" t="s">
        <v>2138</v>
      </c>
      <c r="C984" s="30" t="s">
        <v>333</v>
      </c>
      <c r="D984" s="30" t="s">
        <v>334</v>
      </c>
    </row>
    <row r="985" spans="1:4" ht="16">
      <c r="A985" s="30" t="s">
        <v>2139</v>
      </c>
      <c r="B985" s="30" t="s">
        <v>2140</v>
      </c>
      <c r="C985" s="30" t="s">
        <v>59</v>
      </c>
      <c r="D985" s="30" t="s">
        <v>82</v>
      </c>
    </row>
    <row r="986" spans="1:4" ht="16">
      <c r="A986" s="30" t="s">
        <v>2141</v>
      </c>
      <c r="B986" s="30" t="s">
        <v>2142</v>
      </c>
      <c r="C986" s="30" t="s">
        <v>176</v>
      </c>
      <c r="D986" s="30" t="s">
        <v>171</v>
      </c>
    </row>
    <row r="987" spans="1:4" ht="16">
      <c r="A987" s="30" t="s">
        <v>2143</v>
      </c>
      <c r="B987" s="30" t="s">
        <v>2144</v>
      </c>
      <c r="C987" s="30" t="s">
        <v>141</v>
      </c>
      <c r="D987" s="30" t="s">
        <v>82</v>
      </c>
    </row>
    <row r="988" spans="1:4" ht="16">
      <c r="A988" s="30" t="s">
        <v>2145</v>
      </c>
      <c r="B988" s="30" t="s">
        <v>2146</v>
      </c>
      <c r="C988" s="30" t="s">
        <v>176</v>
      </c>
      <c r="D988" s="30" t="s">
        <v>82</v>
      </c>
    </row>
    <row r="989" spans="1:4" ht="16">
      <c r="A989" s="30" t="s">
        <v>2147</v>
      </c>
      <c r="B989" s="30" t="s">
        <v>2148</v>
      </c>
      <c r="C989" s="30" t="s">
        <v>59</v>
      </c>
      <c r="D989" s="30" t="s">
        <v>82</v>
      </c>
    </row>
    <row r="990" spans="1:4" ht="16">
      <c r="A990" s="30" t="s">
        <v>2149</v>
      </c>
      <c r="B990" s="30" t="s">
        <v>2150</v>
      </c>
      <c r="C990" s="30" t="s">
        <v>134</v>
      </c>
      <c r="D990" s="30" t="s">
        <v>135</v>
      </c>
    </row>
    <row r="991" spans="1:4" ht="16">
      <c r="A991" s="30" t="s">
        <v>2151</v>
      </c>
      <c r="B991" s="30" t="s">
        <v>2152</v>
      </c>
      <c r="C991" s="30" t="s">
        <v>59</v>
      </c>
      <c r="D991" s="30" t="s">
        <v>82</v>
      </c>
    </row>
    <row r="992" spans="1:4" ht="16">
      <c r="A992" s="30" t="s">
        <v>2153</v>
      </c>
      <c r="B992" s="30" t="s">
        <v>2154</v>
      </c>
      <c r="C992" s="30" t="s">
        <v>61</v>
      </c>
      <c r="D992" s="30" t="s">
        <v>185</v>
      </c>
    </row>
    <row r="993" spans="1:4" ht="16">
      <c r="A993" s="30" t="s">
        <v>2155</v>
      </c>
      <c r="B993" s="30" t="s">
        <v>2156</v>
      </c>
      <c r="C993" s="30" t="s">
        <v>61</v>
      </c>
      <c r="D993" s="30" t="s">
        <v>232</v>
      </c>
    </row>
    <row r="994" spans="1:4" ht="16">
      <c r="A994" s="30" t="s">
        <v>2157</v>
      </c>
      <c r="B994" s="30" t="s">
        <v>2158</v>
      </c>
      <c r="C994" s="30" t="s">
        <v>257</v>
      </c>
      <c r="D994" s="30" t="s">
        <v>322</v>
      </c>
    </row>
    <row r="995" spans="1:4" ht="16">
      <c r="A995" s="30" t="s">
        <v>2159</v>
      </c>
      <c r="B995" s="30" t="s">
        <v>2160</v>
      </c>
      <c r="C995" s="30" t="s">
        <v>61</v>
      </c>
      <c r="D995" s="30" t="s">
        <v>237</v>
      </c>
    </row>
    <row r="996" spans="1:4" ht="16">
      <c r="A996" s="30" t="s">
        <v>2161</v>
      </c>
      <c r="B996" s="30" t="s">
        <v>2162</v>
      </c>
      <c r="C996" s="30" t="s">
        <v>59</v>
      </c>
      <c r="D996" s="30" t="s">
        <v>82</v>
      </c>
    </row>
    <row r="997" spans="1:4" ht="16">
      <c r="A997" s="30" t="s">
        <v>2163</v>
      </c>
      <c r="B997" s="30" t="s">
        <v>2164</v>
      </c>
      <c r="C997" s="30" t="s">
        <v>61</v>
      </c>
      <c r="D997" s="30" t="s">
        <v>62</v>
      </c>
    </row>
    <row r="998" spans="1:4" ht="16">
      <c r="A998" s="30" t="s">
        <v>2165</v>
      </c>
      <c r="B998" s="30" t="s">
        <v>2166</v>
      </c>
      <c r="C998" s="30" t="s">
        <v>257</v>
      </c>
      <c r="D998" s="30" t="s">
        <v>232</v>
      </c>
    </row>
    <row r="999" spans="1:4" ht="16">
      <c r="A999" s="30" t="s">
        <v>2167</v>
      </c>
      <c r="B999" s="30" t="s">
        <v>2168</v>
      </c>
      <c r="C999" s="30" t="s">
        <v>61</v>
      </c>
      <c r="D999" s="30" t="s">
        <v>69</v>
      </c>
    </row>
    <row r="1000" spans="1:4" ht="16">
      <c r="A1000" s="30" t="s">
        <v>2169</v>
      </c>
      <c r="B1000" s="30" t="s">
        <v>2170</v>
      </c>
      <c r="C1000" s="30" t="s">
        <v>100</v>
      </c>
      <c r="D1000" s="30" t="s">
        <v>75</v>
      </c>
    </row>
    <row r="1001" spans="1:4" ht="16">
      <c r="A1001" s="30" t="s">
        <v>2171</v>
      </c>
      <c r="B1001" s="30" t="s">
        <v>2172</v>
      </c>
      <c r="C1001" s="30" t="s">
        <v>61</v>
      </c>
      <c r="D1001" s="30" t="s">
        <v>228</v>
      </c>
    </row>
    <row r="1002" spans="1:4" ht="16">
      <c r="A1002" s="30" t="s">
        <v>2173</v>
      </c>
      <c r="B1002" s="30" t="s">
        <v>2174</v>
      </c>
      <c r="C1002" s="30" t="s">
        <v>65</v>
      </c>
      <c r="D1002" s="30" t="s">
        <v>66</v>
      </c>
    </row>
    <row r="1003" spans="1:4" ht="16">
      <c r="A1003" s="30" t="s">
        <v>2175</v>
      </c>
      <c r="B1003" s="30" t="s">
        <v>2176</v>
      </c>
      <c r="C1003" s="30" t="s">
        <v>141</v>
      </c>
      <c r="D1003" s="30" t="s">
        <v>82</v>
      </c>
    </row>
    <row r="1004" spans="1:4" ht="16">
      <c r="A1004" s="30" t="s">
        <v>2177</v>
      </c>
      <c r="B1004" s="30" t="s">
        <v>2178</v>
      </c>
      <c r="C1004" s="30" t="s">
        <v>61</v>
      </c>
      <c r="D1004" s="30" t="s">
        <v>931</v>
      </c>
    </row>
    <row r="1005" spans="1:4" ht="16">
      <c r="A1005" s="30" t="s">
        <v>2179</v>
      </c>
      <c r="B1005" s="30" t="s">
        <v>2180</v>
      </c>
      <c r="C1005" s="30" t="s">
        <v>124</v>
      </c>
      <c r="D1005" s="30" t="s">
        <v>75</v>
      </c>
    </row>
    <row r="1006" spans="1:4" ht="16">
      <c r="A1006" s="30" t="s">
        <v>2181</v>
      </c>
      <c r="B1006" s="30" t="s">
        <v>2182</v>
      </c>
      <c r="C1006" s="30" t="s">
        <v>61</v>
      </c>
      <c r="D1006" s="30" t="s">
        <v>103</v>
      </c>
    </row>
    <row r="1007" spans="1:4" ht="16">
      <c r="A1007" s="30" t="s">
        <v>2183</v>
      </c>
      <c r="B1007" s="30" t="s">
        <v>2184</v>
      </c>
      <c r="C1007" s="30" t="s">
        <v>141</v>
      </c>
      <c r="D1007" s="30" t="s">
        <v>82</v>
      </c>
    </row>
    <row r="1008" spans="1:4" ht="16">
      <c r="A1008" s="30" t="s">
        <v>2185</v>
      </c>
      <c r="B1008" s="30" t="s">
        <v>2186</v>
      </c>
      <c r="C1008" s="30" t="s">
        <v>61</v>
      </c>
      <c r="D1008" s="30" t="s">
        <v>89</v>
      </c>
    </row>
    <row r="1009" spans="1:4" ht="16">
      <c r="A1009" s="30" t="s">
        <v>2187</v>
      </c>
      <c r="B1009" s="30" t="s">
        <v>2188</v>
      </c>
      <c r="C1009" s="30" t="s">
        <v>59</v>
      </c>
      <c r="D1009" s="30" t="s">
        <v>82</v>
      </c>
    </row>
    <row r="1010" spans="1:4" ht="16">
      <c r="A1010" s="30" t="s">
        <v>2189</v>
      </c>
      <c r="B1010" s="30" t="s">
        <v>2190</v>
      </c>
      <c r="C1010" s="30" t="s">
        <v>61</v>
      </c>
      <c r="D1010" s="30" t="s">
        <v>62</v>
      </c>
    </row>
    <row r="1011" spans="1:4" ht="16">
      <c r="A1011" s="30" t="s">
        <v>2191</v>
      </c>
      <c r="B1011" s="30" t="s">
        <v>2192</v>
      </c>
      <c r="C1011" s="30" t="s">
        <v>231</v>
      </c>
      <c r="D1011" s="30" t="s">
        <v>322</v>
      </c>
    </row>
    <row r="1012" spans="1:4" ht="16">
      <c r="A1012" s="30" t="s">
        <v>2193</v>
      </c>
      <c r="B1012" s="30" t="s">
        <v>2194</v>
      </c>
      <c r="C1012" s="30" t="s">
        <v>141</v>
      </c>
      <c r="D1012" s="30" t="s">
        <v>82</v>
      </c>
    </row>
    <row r="1013" spans="1:4" ht="16">
      <c r="A1013" s="30" t="s">
        <v>2195</v>
      </c>
      <c r="B1013" s="30" t="s">
        <v>2196</v>
      </c>
      <c r="C1013" s="30" t="s">
        <v>61</v>
      </c>
      <c r="D1013" s="30" t="s">
        <v>160</v>
      </c>
    </row>
    <row r="1014" spans="1:4" ht="16">
      <c r="A1014" s="30" t="s">
        <v>2197</v>
      </c>
      <c r="B1014" s="30" t="s">
        <v>2198</v>
      </c>
      <c r="C1014" s="30" t="s">
        <v>61</v>
      </c>
      <c r="D1014" s="30" t="s">
        <v>160</v>
      </c>
    </row>
    <row r="1015" spans="1:4" ht="16">
      <c r="A1015" s="30" t="s">
        <v>2199</v>
      </c>
      <c r="B1015" s="30" t="s">
        <v>2200</v>
      </c>
      <c r="C1015" s="30" t="s">
        <v>65</v>
      </c>
      <c r="D1015" s="30" t="s">
        <v>232</v>
      </c>
    </row>
    <row r="1016" spans="1:4" ht="16">
      <c r="A1016" s="30" t="s">
        <v>2201</v>
      </c>
      <c r="B1016" s="30" t="s">
        <v>2202</v>
      </c>
      <c r="C1016" s="30" t="s">
        <v>61</v>
      </c>
      <c r="D1016" s="30" t="s">
        <v>761</v>
      </c>
    </row>
    <row r="1017" spans="1:4" ht="16">
      <c r="A1017" s="30" t="s">
        <v>2203</v>
      </c>
      <c r="B1017" s="30" t="s">
        <v>2204</v>
      </c>
      <c r="C1017" s="30" t="s">
        <v>176</v>
      </c>
      <c r="D1017" s="30" t="s">
        <v>171</v>
      </c>
    </row>
    <row r="1018" spans="1:4" ht="16">
      <c r="A1018" s="30" t="s">
        <v>2205</v>
      </c>
      <c r="B1018" s="30" t="s">
        <v>2206</v>
      </c>
      <c r="C1018" s="30" t="s">
        <v>61</v>
      </c>
      <c r="D1018" s="30" t="s">
        <v>69</v>
      </c>
    </row>
    <row r="1019" spans="1:4" ht="16">
      <c r="A1019" s="30" t="s">
        <v>2207</v>
      </c>
      <c r="B1019" s="30" t="s">
        <v>2208</v>
      </c>
      <c r="C1019" s="30" t="s">
        <v>141</v>
      </c>
      <c r="D1019" s="30" t="s">
        <v>82</v>
      </c>
    </row>
    <row r="1020" spans="1:4" ht="16">
      <c r="A1020" s="30" t="s">
        <v>2209</v>
      </c>
      <c r="B1020" s="30" t="s">
        <v>2210</v>
      </c>
      <c r="C1020" s="30" t="s">
        <v>619</v>
      </c>
      <c r="D1020" s="30" t="s">
        <v>75</v>
      </c>
    </row>
    <row r="1021" spans="1:4" ht="16">
      <c r="A1021" s="30" t="s">
        <v>2211</v>
      </c>
      <c r="B1021" s="30" t="s">
        <v>2212</v>
      </c>
      <c r="C1021" s="30" t="s">
        <v>65</v>
      </c>
      <c r="D1021" s="30" t="s">
        <v>69</v>
      </c>
    </row>
    <row r="1022" spans="1:4" ht="16">
      <c r="A1022" s="30" t="s">
        <v>2213</v>
      </c>
      <c r="B1022" s="30" t="s">
        <v>2214</v>
      </c>
      <c r="C1022" s="30" t="s">
        <v>65</v>
      </c>
      <c r="D1022" s="30" t="s">
        <v>69</v>
      </c>
    </row>
    <row r="1023" spans="1:4" ht="16">
      <c r="A1023" s="30" t="s">
        <v>2215</v>
      </c>
      <c r="B1023" s="30" t="s">
        <v>2216</v>
      </c>
      <c r="C1023" s="30" t="s">
        <v>61</v>
      </c>
      <c r="D1023" s="30" t="s">
        <v>69</v>
      </c>
    </row>
    <row r="1024" spans="1:4" ht="16">
      <c r="A1024" s="30" t="s">
        <v>2217</v>
      </c>
      <c r="B1024" s="30" t="s">
        <v>2218</v>
      </c>
      <c r="C1024" s="30" t="s">
        <v>61</v>
      </c>
      <c r="D1024" s="30" t="s">
        <v>210</v>
      </c>
    </row>
    <row r="1025" spans="1:4" ht="16">
      <c r="A1025" s="30" t="s">
        <v>2219</v>
      </c>
      <c r="B1025" s="30" t="s">
        <v>2220</v>
      </c>
      <c r="C1025" s="30" t="s">
        <v>61</v>
      </c>
      <c r="D1025" s="30" t="s">
        <v>103</v>
      </c>
    </row>
    <row r="1026" spans="1:4" ht="16">
      <c r="A1026" s="30" t="s">
        <v>2221</v>
      </c>
      <c r="B1026" s="30" t="s">
        <v>2222</v>
      </c>
      <c r="C1026" s="30" t="s">
        <v>65</v>
      </c>
      <c r="D1026" s="30" t="s">
        <v>66</v>
      </c>
    </row>
    <row r="1027" spans="1:4" ht="16">
      <c r="A1027" s="30" t="s">
        <v>2223</v>
      </c>
      <c r="B1027" s="30" t="s">
        <v>2224</v>
      </c>
      <c r="C1027" s="30" t="s">
        <v>61</v>
      </c>
      <c r="D1027" s="30" t="s">
        <v>148</v>
      </c>
    </row>
    <row r="1028" spans="1:4" ht="16">
      <c r="A1028" s="30" t="s">
        <v>2225</v>
      </c>
      <c r="B1028" s="30" t="s">
        <v>2226</v>
      </c>
      <c r="C1028" s="30" t="s">
        <v>61</v>
      </c>
      <c r="D1028" s="30" t="s">
        <v>2227</v>
      </c>
    </row>
    <row r="1029" spans="1:4" ht="16">
      <c r="A1029" s="30" t="s">
        <v>2228</v>
      </c>
      <c r="B1029" s="30" t="s">
        <v>2229</v>
      </c>
      <c r="C1029" s="30" t="s">
        <v>141</v>
      </c>
      <c r="D1029" s="30" t="s">
        <v>82</v>
      </c>
    </row>
    <row r="1030" spans="1:4" ht="16">
      <c r="A1030" s="30" t="s">
        <v>2230</v>
      </c>
      <c r="B1030" s="30" t="s">
        <v>2231</v>
      </c>
      <c r="C1030" s="30" t="s">
        <v>59</v>
      </c>
      <c r="D1030" s="30" t="s">
        <v>82</v>
      </c>
    </row>
    <row r="1031" spans="1:4" ht="16">
      <c r="A1031" s="30" t="s">
        <v>2232</v>
      </c>
      <c r="B1031" s="30" t="s">
        <v>2233</v>
      </c>
      <c r="C1031" s="30" t="s">
        <v>61</v>
      </c>
      <c r="D1031" s="30" t="s">
        <v>404</v>
      </c>
    </row>
    <row r="1032" spans="1:4" ht="16">
      <c r="A1032" s="30" t="s">
        <v>2234</v>
      </c>
      <c r="B1032" s="30" t="s">
        <v>2235</v>
      </c>
      <c r="C1032" s="30" t="s">
        <v>59</v>
      </c>
      <c r="D1032" s="30" t="s">
        <v>82</v>
      </c>
    </row>
    <row r="1033" spans="1:4" ht="16">
      <c r="A1033" s="30" t="s">
        <v>2236</v>
      </c>
      <c r="B1033" s="30" t="s">
        <v>2237</v>
      </c>
      <c r="C1033" s="30" t="s">
        <v>452</v>
      </c>
      <c r="D1033" s="30" t="s">
        <v>62</v>
      </c>
    </row>
    <row r="1034" spans="1:4" ht="16">
      <c r="A1034" s="30" t="s">
        <v>2238</v>
      </c>
      <c r="B1034" s="30" t="s">
        <v>2239</v>
      </c>
      <c r="C1034" s="30" t="s">
        <v>978</v>
      </c>
      <c r="D1034" s="30" t="s">
        <v>879</v>
      </c>
    </row>
    <row r="1035" spans="1:4" ht="16">
      <c r="A1035" s="30" t="s">
        <v>2240</v>
      </c>
      <c r="B1035" s="30" t="s">
        <v>2241</v>
      </c>
      <c r="C1035" s="30" t="s">
        <v>608</v>
      </c>
      <c r="D1035" s="30" t="s">
        <v>82</v>
      </c>
    </row>
    <row r="1036" spans="1:4" ht="16">
      <c r="A1036" s="30" t="s">
        <v>2242</v>
      </c>
      <c r="B1036" s="30" t="s">
        <v>2243</v>
      </c>
      <c r="C1036" s="30" t="s">
        <v>176</v>
      </c>
      <c r="D1036" s="30" t="s">
        <v>171</v>
      </c>
    </row>
    <row r="1037" spans="1:4" ht="16">
      <c r="A1037" s="30" t="s">
        <v>2244</v>
      </c>
      <c r="B1037" s="30" t="s">
        <v>2245</v>
      </c>
      <c r="C1037" s="30" t="s">
        <v>61</v>
      </c>
      <c r="D1037" s="30" t="s">
        <v>152</v>
      </c>
    </row>
    <row r="1038" spans="1:4" ht="16">
      <c r="A1038" s="30" t="s">
        <v>2246</v>
      </c>
      <c r="B1038" s="30" t="s">
        <v>2247</v>
      </c>
      <c r="C1038" s="30" t="s">
        <v>124</v>
      </c>
      <c r="D1038" s="30" t="s">
        <v>152</v>
      </c>
    </row>
    <row r="1039" spans="1:4" ht="16">
      <c r="A1039" s="30" t="s">
        <v>2248</v>
      </c>
      <c r="B1039" s="30" t="s">
        <v>2249</v>
      </c>
      <c r="C1039" s="30" t="s">
        <v>141</v>
      </c>
      <c r="D1039" s="30" t="s">
        <v>82</v>
      </c>
    </row>
    <row r="1040" spans="1:4" ht="16">
      <c r="A1040" s="30" t="s">
        <v>2250</v>
      </c>
      <c r="B1040" s="30" t="s">
        <v>2251</v>
      </c>
      <c r="C1040" s="30" t="s">
        <v>59</v>
      </c>
      <c r="D1040" s="30" t="s">
        <v>82</v>
      </c>
    </row>
    <row r="1041" spans="1:4" ht="16">
      <c r="A1041" s="30" t="s">
        <v>2252</v>
      </c>
      <c r="B1041" s="30" t="s">
        <v>2253</v>
      </c>
      <c r="C1041" s="30" t="s">
        <v>61</v>
      </c>
      <c r="D1041" s="30" t="s">
        <v>62</v>
      </c>
    </row>
    <row r="1042" spans="1:4" ht="16">
      <c r="A1042" s="30" t="s">
        <v>2254</v>
      </c>
      <c r="B1042" s="30" t="s">
        <v>2255</v>
      </c>
      <c r="C1042" s="30" t="s">
        <v>61</v>
      </c>
      <c r="D1042" s="30" t="s">
        <v>148</v>
      </c>
    </row>
    <row r="1043" spans="1:4" ht="16">
      <c r="A1043" s="30" t="s">
        <v>2256</v>
      </c>
      <c r="B1043" s="30" t="s">
        <v>2257</v>
      </c>
      <c r="C1043" s="30" t="s">
        <v>61</v>
      </c>
      <c r="D1043" s="30" t="s">
        <v>103</v>
      </c>
    </row>
    <row r="1044" spans="1:4" ht="16">
      <c r="A1044" s="30" t="s">
        <v>2258</v>
      </c>
      <c r="B1044" s="30" t="s">
        <v>2259</v>
      </c>
      <c r="C1044" s="30" t="s">
        <v>59</v>
      </c>
      <c r="D1044" s="30" t="s">
        <v>82</v>
      </c>
    </row>
    <row r="1045" spans="1:4" ht="16">
      <c r="A1045" s="30" t="s">
        <v>2260</v>
      </c>
      <c r="B1045" s="30" t="s">
        <v>2261</v>
      </c>
      <c r="C1045" s="30" t="s">
        <v>257</v>
      </c>
      <c r="D1045" s="30" t="s">
        <v>232</v>
      </c>
    </row>
    <row r="1046" spans="1:4" ht="16">
      <c r="A1046" s="30" t="s">
        <v>2262</v>
      </c>
      <c r="B1046" s="30" t="s">
        <v>2263</v>
      </c>
      <c r="C1046" s="30" t="s">
        <v>59</v>
      </c>
      <c r="D1046" s="30" t="s">
        <v>82</v>
      </c>
    </row>
    <row r="1047" spans="1:4" ht="16">
      <c r="A1047" s="30" t="s">
        <v>2264</v>
      </c>
      <c r="B1047" s="30" t="s">
        <v>2265</v>
      </c>
      <c r="C1047" s="30" t="s">
        <v>61</v>
      </c>
      <c r="D1047" s="30" t="s">
        <v>62</v>
      </c>
    </row>
    <row r="1048" spans="1:4" ht="16">
      <c r="A1048" s="30" t="s">
        <v>2266</v>
      </c>
      <c r="B1048" s="30" t="s">
        <v>2267</v>
      </c>
      <c r="C1048" s="30" t="s">
        <v>176</v>
      </c>
      <c r="D1048" s="30" t="s">
        <v>171</v>
      </c>
    </row>
    <row r="1049" spans="1:4" ht="16">
      <c r="A1049" s="30" t="s">
        <v>2268</v>
      </c>
      <c r="B1049" s="30" t="s">
        <v>2269</v>
      </c>
      <c r="C1049" s="30" t="s">
        <v>61</v>
      </c>
      <c r="D1049" s="30" t="s">
        <v>103</v>
      </c>
    </row>
    <row r="1050" spans="1:4" ht="16">
      <c r="A1050" s="30" t="s">
        <v>2270</v>
      </c>
      <c r="B1050" s="30" t="s">
        <v>2271</v>
      </c>
      <c r="C1050" s="30" t="s">
        <v>61</v>
      </c>
      <c r="D1050" s="30" t="s">
        <v>160</v>
      </c>
    </row>
    <row r="1051" spans="1:4" ht="16">
      <c r="A1051" s="30" t="s">
        <v>2272</v>
      </c>
      <c r="B1051" s="30" t="s">
        <v>2273</v>
      </c>
      <c r="C1051" s="30" t="s">
        <v>257</v>
      </c>
      <c r="D1051" s="30" t="s">
        <v>232</v>
      </c>
    </row>
    <row r="1052" spans="1:4" ht="16">
      <c r="A1052" s="30" t="s">
        <v>2274</v>
      </c>
      <c r="B1052" s="30" t="s">
        <v>2275</v>
      </c>
      <c r="C1052" s="30" t="s">
        <v>61</v>
      </c>
      <c r="D1052" s="30" t="s">
        <v>294</v>
      </c>
    </row>
    <row r="1053" spans="1:4" ht="16">
      <c r="A1053" s="30" t="s">
        <v>2276</v>
      </c>
      <c r="B1053" s="30" t="s">
        <v>2277</v>
      </c>
      <c r="C1053" s="30" t="s">
        <v>2278</v>
      </c>
      <c r="D1053" s="30" t="s">
        <v>232</v>
      </c>
    </row>
    <row r="1054" spans="1:4" ht="16">
      <c r="A1054" s="30" t="s">
        <v>2279</v>
      </c>
      <c r="B1054" s="30" t="s">
        <v>2280</v>
      </c>
      <c r="C1054" s="30" t="s">
        <v>452</v>
      </c>
      <c r="D1054" s="30" t="s">
        <v>82</v>
      </c>
    </row>
    <row r="1055" spans="1:4" ht="16">
      <c r="A1055" s="30" t="s">
        <v>2281</v>
      </c>
      <c r="B1055" s="30" t="s">
        <v>2282</v>
      </c>
      <c r="C1055" s="30" t="s">
        <v>257</v>
      </c>
      <c r="D1055" s="30" t="s">
        <v>232</v>
      </c>
    </row>
    <row r="1056" spans="1:4" ht="16">
      <c r="A1056" s="30" t="s">
        <v>2283</v>
      </c>
      <c r="B1056" s="30" t="s">
        <v>2284</v>
      </c>
      <c r="C1056" s="30" t="s">
        <v>61</v>
      </c>
      <c r="D1056" s="30" t="s">
        <v>1365</v>
      </c>
    </row>
    <row r="1057" spans="1:4" ht="16">
      <c r="A1057" s="30" t="s">
        <v>2285</v>
      </c>
      <c r="B1057" s="30" t="s">
        <v>2286</v>
      </c>
      <c r="C1057" s="30" t="s">
        <v>61</v>
      </c>
      <c r="D1057" s="30" t="s">
        <v>232</v>
      </c>
    </row>
    <row r="1058" spans="1:4" ht="16">
      <c r="A1058" s="30" t="s">
        <v>2285</v>
      </c>
      <c r="B1058" s="30" t="s">
        <v>2286</v>
      </c>
      <c r="C1058" s="30" t="s">
        <v>61</v>
      </c>
      <c r="D1058" s="30" t="s">
        <v>62</v>
      </c>
    </row>
    <row r="1059" spans="1:4" ht="16">
      <c r="A1059" s="30" t="s">
        <v>2287</v>
      </c>
      <c r="B1059" s="30" t="s">
        <v>2288</v>
      </c>
      <c r="C1059" s="30" t="s">
        <v>134</v>
      </c>
      <c r="D1059" s="30" t="s">
        <v>2289</v>
      </c>
    </row>
    <row r="1060" spans="1:4" ht="16">
      <c r="A1060" s="30" t="s">
        <v>2290</v>
      </c>
      <c r="B1060" s="30" t="s">
        <v>2291</v>
      </c>
      <c r="C1060" s="30" t="s">
        <v>59</v>
      </c>
      <c r="D1060" s="30" t="s">
        <v>60</v>
      </c>
    </row>
    <row r="1061" spans="1:4" ht="16">
      <c r="A1061" s="30" t="s">
        <v>2290</v>
      </c>
      <c r="B1061" s="30" t="s">
        <v>2291</v>
      </c>
      <c r="C1061" s="30" t="s">
        <v>61</v>
      </c>
      <c r="D1061" s="30" t="s">
        <v>62</v>
      </c>
    </row>
    <row r="1062" spans="1:4" ht="16">
      <c r="A1062" s="30" t="s">
        <v>2292</v>
      </c>
      <c r="B1062" s="30" t="s">
        <v>2293</v>
      </c>
      <c r="C1062" s="30" t="s">
        <v>61</v>
      </c>
      <c r="D1062" s="30" t="s">
        <v>78</v>
      </c>
    </row>
    <row r="1063" spans="1:4" ht="16">
      <c r="A1063" s="30" t="s">
        <v>2294</v>
      </c>
      <c r="B1063" s="30" t="s">
        <v>2295</v>
      </c>
      <c r="C1063" s="30" t="s">
        <v>61</v>
      </c>
      <c r="D1063" s="30" t="s">
        <v>232</v>
      </c>
    </row>
    <row r="1064" spans="1:4" ht="16">
      <c r="A1064" s="30" t="s">
        <v>2296</v>
      </c>
      <c r="B1064" s="30" t="s">
        <v>2297</v>
      </c>
      <c r="C1064" s="30" t="s">
        <v>2298</v>
      </c>
      <c r="D1064" s="30" t="s">
        <v>814</v>
      </c>
    </row>
    <row r="1065" spans="1:4" ht="16">
      <c r="A1065" s="30" t="s">
        <v>2299</v>
      </c>
      <c r="B1065" s="30" t="s">
        <v>2300</v>
      </c>
      <c r="C1065" s="30" t="s">
        <v>1195</v>
      </c>
      <c r="D1065" s="30" t="s">
        <v>210</v>
      </c>
    </row>
    <row r="1066" spans="1:4" ht="16">
      <c r="A1066" s="30" t="s">
        <v>2301</v>
      </c>
      <c r="B1066" s="30" t="s">
        <v>2302</v>
      </c>
      <c r="C1066" s="30" t="s">
        <v>65</v>
      </c>
      <c r="D1066" s="30" t="s">
        <v>160</v>
      </c>
    </row>
    <row r="1067" spans="1:4" ht="16">
      <c r="A1067" s="30" t="s">
        <v>2303</v>
      </c>
      <c r="B1067" s="30" t="s">
        <v>2304</v>
      </c>
      <c r="C1067" s="30" t="s">
        <v>59</v>
      </c>
      <c r="D1067" s="30" t="s">
        <v>82</v>
      </c>
    </row>
    <row r="1068" spans="1:4" ht="16">
      <c r="A1068" s="30" t="s">
        <v>2305</v>
      </c>
      <c r="B1068" s="30" t="s">
        <v>2306</v>
      </c>
      <c r="C1068" s="30" t="s">
        <v>134</v>
      </c>
      <c r="D1068" s="30" t="s">
        <v>75</v>
      </c>
    </row>
    <row r="1069" spans="1:4" ht="16">
      <c r="A1069" s="30" t="s">
        <v>2307</v>
      </c>
      <c r="B1069" s="30" t="s">
        <v>2308</v>
      </c>
      <c r="C1069" s="30" t="s">
        <v>257</v>
      </c>
      <c r="D1069" s="30" t="s">
        <v>232</v>
      </c>
    </row>
    <row r="1070" spans="1:4" ht="16">
      <c r="A1070" s="30" t="s">
        <v>2309</v>
      </c>
      <c r="B1070" s="30" t="s">
        <v>2310</v>
      </c>
      <c r="C1070" s="30" t="s">
        <v>65</v>
      </c>
      <c r="D1070" s="30" t="s">
        <v>69</v>
      </c>
    </row>
    <row r="1071" spans="1:4" ht="16">
      <c r="A1071" s="30" t="s">
        <v>2311</v>
      </c>
      <c r="B1071" s="30" t="s">
        <v>2312</v>
      </c>
      <c r="C1071" s="30" t="s">
        <v>61</v>
      </c>
      <c r="D1071" s="30" t="s">
        <v>62</v>
      </c>
    </row>
    <row r="1072" spans="1:4" ht="16">
      <c r="A1072" s="30" t="s">
        <v>2313</v>
      </c>
      <c r="B1072" s="30" t="s">
        <v>2314</v>
      </c>
      <c r="C1072" s="30" t="s">
        <v>61</v>
      </c>
      <c r="D1072" s="30" t="s">
        <v>69</v>
      </c>
    </row>
    <row r="1073" spans="1:4" ht="16">
      <c r="A1073" s="30" t="s">
        <v>2315</v>
      </c>
      <c r="B1073" s="30" t="s">
        <v>2316</v>
      </c>
      <c r="C1073" s="30" t="s">
        <v>141</v>
      </c>
      <c r="D1073" s="30" t="s">
        <v>82</v>
      </c>
    </row>
    <row r="1074" spans="1:4" ht="16">
      <c r="A1074" s="30" t="s">
        <v>2317</v>
      </c>
      <c r="B1074" s="30" t="s">
        <v>2318</v>
      </c>
      <c r="C1074" s="30" t="s">
        <v>61</v>
      </c>
      <c r="D1074" s="30" t="s">
        <v>160</v>
      </c>
    </row>
    <row r="1075" spans="1:4" ht="16">
      <c r="A1075" s="30" t="s">
        <v>2319</v>
      </c>
      <c r="B1075" s="30" t="s">
        <v>2320</v>
      </c>
      <c r="C1075" s="30" t="s">
        <v>61</v>
      </c>
      <c r="D1075" s="30" t="s">
        <v>232</v>
      </c>
    </row>
    <row r="1076" spans="1:4" ht="16">
      <c r="A1076" s="30" t="s">
        <v>2321</v>
      </c>
      <c r="B1076" s="30" t="s">
        <v>2322</v>
      </c>
      <c r="C1076" s="30" t="s">
        <v>59</v>
      </c>
      <c r="D1076" s="30" t="s">
        <v>82</v>
      </c>
    </row>
    <row r="1077" spans="1:4" ht="16">
      <c r="A1077" s="30" t="s">
        <v>2323</v>
      </c>
      <c r="B1077" s="30" t="s">
        <v>2324</v>
      </c>
      <c r="C1077" s="30" t="s">
        <v>141</v>
      </c>
      <c r="D1077" s="30" t="s">
        <v>82</v>
      </c>
    </row>
    <row r="1078" spans="1:4" ht="16">
      <c r="A1078" s="30" t="s">
        <v>2325</v>
      </c>
      <c r="B1078" s="30" t="s">
        <v>2326</v>
      </c>
      <c r="C1078" s="30" t="s">
        <v>176</v>
      </c>
      <c r="D1078" s="30" t="s">
        <v>82</v>
      </c>
    </row>
    <row r="1079" spans="1:4" ht="16">
      <c r="A1079" s="30" t="s">
        <v>2327</v>
      </c>
      <c r="B1079" s="30" t="s">
        <v>2328</v>
      </c>
      <c r="C1079" s="30" t="s">
        <v>2329</v>
      </c>
      <c r="D1079" s="30" t="s">
        <v>75</v>
      </c>
    </row>
    <row r="1080" spans="1:4" ht="16">
      <c r="A1080" s="30" t="s">
        <v>2330</v>
      </c>
      <c r="B1080" s="30" t="s">
        <v>2331</v>
      </c>
      <c r="C1080" s="30" t="s">
        <v>2332</v>
      </c>
      <c r="D1080" s="30" t="s">
        <v>82</v>
      </c>
    </row>
    <row r="1081" spans="1:4" ht="16">
      <c r="A1081" s="30" t="s">
        <v>2333</v>
      </c>
      <c r="B1081" s="30" t="s">
        <v>2334</v>
      </c>
      <c r="C1081" s="30" t="s">
        <v>65</v>
      </c>
      <c r="D1081" s="30" t="s">
        <v>66</v>
      </c>
    </row>
    <row r="1082" spans="1:4" ht="16">
      <c r="A1082" s="30" t="s">
        <v>2335</v>
      </c>
      <c r="B1082" s="30" t="s">
        <v>2336</v>
      </c>
      <c r="C1082" s="30" t="s">
        <v>65</v>
      </c>
      <c r="D1082" s="30" t="s">
        <v>66</v>
      </c>
    </row>
    <row r="1083" spans="1:4" ht="16">
      <c r="A1083" s="30" t="s">
        <v>2337</v>
      </c>
      <c r="B1083" s="30" t="s">
        <v>2338</v>
      </c>
      <c r="C1083" s="30" t="s">
        <v>257</v>
      </c>
      <c r="D1083" s="30" t="s">
        <v>232</v>
      </c>
    </row>
    <row r="1084" spans="1:4" ht="16">
      <c r="A1084" s="30" t="s">
        <v>2339</v>
      </c>
      <c r="B1084" s="30" t="s">
        <v>2340</v>
      </c>
      <c r="C1084" s="30" t="s">
        <v>61</v>
      </c>
      <c r="D1084" s="30" t="s">
        <v>62</v>
      </c>
    </row>
    <row r="1085" spans="1:4" ht="16">
      <c r="A1085" s="30" t="s">
        <v>2341</v>
      </c>
      <c r="B1085" s="30" t="s">
        <v>2342</v>
      </c>
      <c r="C1085" s="30" t="s">
        <v>452</v>
      </c>
      <c r="D1085" s="30" t="s">
        <v>814</v>
      </c>
    </row>
    <row r="1086" spans="1:4" ht="16">
      <c r="A1086" s="30" t="s">
        <v>2343</v>
      </c>
      <c r="B1086" s="30" t="s">
        <v>2344</v>
      </c>
      <c r="C1086" s="30" t="s">
        <v>2345</v>
      </c>
      <c r="D1086" s="30" t="s">
        <v>848</v>
      </c>
    </row>
    <row r="1087" spans="1:4" ht="16">
      <c r="A1087" s="30" t="s">
        <v>2346</v>
      </c>
      <c r="B1087" s="30" t="s">
        <v>2347</v>
      </c>
      <c r="C1087" s="30" t="s">
        <v>61</v>
      </c>
      <c r="D1087" s="30" t="s">
        <v>69</v>
      </c>
    </row>
    <row r="1088" spans="1:4" ht="16">
      <c r="A1088" s="30" t="s">
        <v>2348</v>
      </c>
      <c r="B1088" s="30" t="s">
        <v>2349</v>
      </c>
      <c r="C1088" s="30" t="s">
        <v>61</v>
      </c>
      <c r="D1088" s="30" t="s">
        <v>595</v>
      </c>
    </row>
    <row r="1089" spans="1:4" ht="16">
      <c r="A1089" s="30" t="s">
        <v>2350</v>
      </c>
      <c r="B1089" s="30" t="s">
        <v>2351</v>
      </c>
      <c r="C1089" s="30" t="s">
        <v>116</v>
      </c>
      <c r="D1089" s="30" t="s">
        <v>232</v>
      </c>
    </row>
    <row r="1090" spans="1:4" ht="16">
      <c r="A1090" s="30" t="s">
        <v>2352</v>
      </c>
      <c r="B1090" s="30" t="s">
        <v>2353</v>
      </c>
      <c r="C1090" s="30" t="s">
        <v>61</v>
      </c>
      <c r="D1090" s="30" t="s">
        <v>89</v>
      </c>
    </row>
    <row r="1091" spans="1:4" ht="16">
      <c r="A1091" s="30" t="s">
        <v>2354</v>
      </c>
      <c r="B1091" s="30" t="s">
        <v>2355</v>
      </c>
      <c r="C1091" s="30" t="s">
        <v>61</v>
      </c>
      <c r="D1091" s="30" t="s">
        <v>103</v>
      </c>
    </row>
    <row r="1092" spans="1:4" ht="16">
      <c r="A1092" s="30" t="s">
        <v>2356</v>
      </c>
      <c r="B1092" s="30" t="s">
        <v>2357</v>
      </c>
      <c r="C1092" s="30" t="s">
        <v>61</v>
      </c>
      <c r="D1092" s="30" t="s">
        <v>103</v>
      </c>
    </row>
    <row r="1093" spans="1:4" ht="16">
      <c r="A1093" s="30" t="s">
        <v>2358</v>
      </c>
      <c r="B1093" s="30" t="s">
        <v>2359</v>
      </c>
      <c r="C1093" s="30" t="s">
        <v>608</v>
      </c>
      <c r="D1093" s="30" t="s">
        <v>82</v>
      </c>
    </row>
    <row r="1094" spans="1:4" ht="16">
      <c r="A1094" s="30" t="s">
        <v>2360</v>
      </c>
      <c r="B1094" s="30" t="s">
        <v>2361</v>
      </c>
      <c r="C1094" s="30" t="s">
        <v>61</v>
      </c>
      <c r="D1094" s="30" t="s">
        <v>62</v>
      </c>
    </row>
    <row r="1095" spans="1:4" ht="16">
      <c r="A1095" s="30" t="s">
        <v>2362</v>
      </c>
      <c r="B1095" s="30" t="s">
        <v>2363</v>
      </c>
      <c r="C1095" s="30" t="s">
        <v>138</v>
      </c>
      <c r="D1095" s="30" t="s">
        <v>62</v>
      </c>
    </row>
    <row r="1096" spans="1:4" ht="16">
      <c r="A1096" s="30" t="s">
        <v>2364</v>
      </c>
      <c r="B1096" s="30" t="s">
        <v>2365</v>
      </c>
      <c r="C1096" s="30" t="s">
        <v>61</v>
      </c>
      <c r="D1096" s="30" t="s">
        <v>69</v>
      </c>
    </row>
    <row r="1097" spans="1:4" ht="16">
      <c r="A1097" s="30" t="s">
        <v>2366</v>
      </c>
      <c r="B1097" s="30" t="s">
        <v>2367</v>
      </c>
      <c r="C1097" s="30" t="s">
        <v>59</v>
      </c>
      <c r="D1097" s="30" t="s">
        <v>82</v>
      </c>
    </row>
    <row r="1098" spans="1:4" ht="16">
      <c r="A1098" s="30" t="s">
        <v>2368</v>
      </c>
      <c r="B1098" s="30" t="s">
        <v>2369</v>
      </c>
      <c r="C1098" s="30" t="s">
        <v>65</v>
      </c>
      <c r="D1098" s="30" t="s">
        <v>66</v>
      </c>
    </row>
    <row r="1099" spans="1:4" ht="16">
      <c r="A1099" s="30" t="s">
        <v>2370</v>
      </c>
      <c r="B1099" s="30" t="s">
        <v>2371</v>
      </c>
      <c r="C1099" s="30" t="s">
        <v>61</v>
      </c>
      <c r="D1099" s="30" t="s">
        <v>1490</v>
      </c>
    </row>
    <row r="1100" spans="1:4" ht="16">
      <c r="A1100" s="30" t="s">
        <v>2372</v>
      </c>
      <c r="B1100" s="30" t="s">
        <v>2373</v>
      </c>
      <c r="C1100" s="30" t="s">
        <v>65</v>
      </c>
      <c r="D1100" s="30" t="s">
        <v>66</v>
      </c>
    </row>
    <row r="1101" spans="1:4" ht="16">
      <c r="A1101" s="30" t="s">
        <v>2374</v>
      </c>
      <c r="B1101" s="30" t="s">
        <v>2375</v>
      </c>
      <c r="C1101" s="30" t="s">
        <v>61</v>
      </c>
      <c r="D1101" s="30" t="s">
        <v>69</v>
      </c>
    </row>
    <row r="1102" spans="1:4" ht="16">
      <c r="A1102" s="30" t="s">
        <v>2376</v>
      </c>
      <c r="B1102" s="30" t="s">
        <v>2377</v>
      </c>
      <c r="C1102" s="30" t="s">
        <v>65</v>
      </c>
      <c r="D1102" s="30" t="s">
        <v>69</v>
      </c>
    </row>
    <row r="1103" spans="1:4" ht="16">
      <c r="A1103" s="30" t="s">
        <v>2378</v>
      </c>
      <c r="B1103" s="30" t="s">
        <v>2379</v>
      </c>
      <c r="C1103" s="30" t="s">
        <v>452</v>
      </c>
      <c r="D1103" s="30" t="s">
        <v>86</v>
      </c>
    </row>
    <row r="1104" spans="1:4" ht="16">
      <c r="A1104" s="30" t="s">
        <v>2380</v>
      </c>
      <c r="B1104" s="30" t="s">
        <v>2381</v>
      </c>
      <c r="C1104" s="30" t="s">
        <v>61</v>
      </c>
      <c r="D1104" s="30" t="s">
        <v>69</v>
      </c>
    </row>
    <row r="1105" spans="1:4" ht="16">
      <c r="A1105" s="30" t="s">
        <v>2382</v>
      </c>
      <c r="B1105" s="30" t="s">
        <v>2383</v>
      </c>
      <c r="C1105" s="30" t="s">
        <v>65</v>
      </c>
      <c r="D1105" s="30" t="s">
        <v>66</v>
      </c>
    </row>
    <row r="1106" spans="1:4" ht="16">
      <c r="A1106" s="30" t="s">
        <v>2384</v>
      </c>
      <c r="B1106" s="30" t="s">
        <v>2385</v>
      </c>
      <c r="C1106" s="30" t="s">
        <v>61</v>
      </c>
      <c r="D1106" s="30" t="s">
        <v>148</v>
      </c>
    </row>
    <row r="1107" spans="1:4" ht="16">
      <c r="A1107" s="30" t="s">
        <v>2386</v>
      </c>
      <c r="B1107" s="30" t="s">
        <v>2387</v>
      </c>
      <c r="C1107" s="30" t="s">
        <v>231</v>
      </c>
      <c r="D1107" s="30" t="s">
        <v>2388</v>
      </c>
    </row>
    <row r="1108" spans="1:4" ht="16">
      <c r="A1108" s="30" t="s">
        <v>2389</v>
      </c>
      <c r="B1108" s="30" t="s">
        <v>2390</v>
      </c>
      <c r="C1108" s="30" t="s">
        <v>878</v>
      </c>
      <c r="D1108" s="30" t="s">
        <v>879</v>
      </c>
    </row>
    <row r="1109" spans="1:4" ht="16">
      <c r="A1109" s="30" t="s">
        <v>2391</v>
      </c>
      <c r="B1109" s="30" t="s">
        <v>2392</v>
      </c>
      <c r="C1109" s="30" t="s">
        <v>61</v>
      </c>
      <c r="D1109" s="30" t="s">
        <v>896</v>
      </c>
    </row>
    <row r="1110" spans="1:4" ht="16">
      <c r="A1110" s="30" t="s">
        <v>2393</v>
      </c>
      <c r="B1110" s="30" t="s">
        <v>2394</v>
      </c>
      <c r="C1110" s="30" t="s">
        <v>61</v>
      </c>
      <c r="D1110" s="30" t="s">
        <v>160</v>
      </c>
    </row>
    <row r="1111" spans="1:4" ht="16">
      <c r="A1111" s="30" t="s">
        <v>2395</v>
      </c>
      <c r="B1111" s="30" t="s">
        <v>2396</v>
      </c>
      <c r="C1111" s="30" t="s">
        <v>608</v>
      </c>
      <c r="D1111" s="30" t="s">
        <v>82</v>
      </c>
    </row>
    <row r="1112" spans="1:4" ht="16">
      <c r="A1112" s="30" t="s">
        <v>2397</v>
      </c>
      <c r="B1112" s="30" t="s">
        <v>2398</v>
      </c>
      <c r="C1112" s="30" t="s">
        <v>85</v>
      </c>
      <c r="D1112" s="30" t="s">
        <v>82</v>
      </c>
    </row>
    <row r="1113" spans="1:4" ht="16">
      <c r="A1113" s="30" t="s">
        <v>2399</v>
      </c>
      <c r="B1113" s="30" t="s">
        <v>2400</v>
      </c>
      <c r="C1113" s="30" t="s">
        <v>124</v>
      </c>
      <c r="D1113" s="30" t="s">
        <v>69</v>
      </c>
    </row>
    <row r="1114" spans="1:4" ht="16">
      <c r="A1114" s="30" t="s">
        <v>2401</v>
      </c>
      <c r="B1114" s="30" t="s">
        <v>2402</v>
      </c>
      <c r="C1114" s="30" t="s">
        <v>59</v>
      </c>
      <c r="D1114" s="30" t="s">
        <v>82</v>
      </c>
    </row>
    <row r="1115" spans="1:4" ht="16">
      <c r="A1115" s="30" t="s">
        <v>2403</v>
      </c>
      <c r="B1115" s="30" t="s">
        <v>2404</v>
      </c>
      <c r="C1115" s="30" t="s">
        <v>81</v>
      </c>
      <c r="D1115" s="30" t="s">
        <v>82</v>
      </c>
    </row>
    <row r="1116" spans="1:4" ht="16">
      <c r="A1116" s="30" t="s">
        <v>2405</v>
      </c>
      <c r="B1116" s="30" t="s">
        <v>2406</v>
      </c>
      <c r="C1116" s="30" t="s">
        <v>61</v>
      </c>
      <c r="D1116" s="30" t="s">
        <v>103</v>
      </c>
    </row>
    <row r="1117" spans="1:4" ht="16">
      <c r="A1117" s="30" t="s">
        <v>2407</v>
      </c>
      <c r="B1117" s="30" t="s">
        <v>2408</v>
      </c>
      <c r="C1117" s="30" t="s">
        <v>61</v>
      </c>
      <c r="D1117" s="30" t="s">
        <v>66</v>
      </c>
    </row>
    <row r="1118" spans="1:4" ht="16">
      <c r="A1118" s="30" t="s">
        <v>2409</v>
      </c>
      <c r="B1118" s="30" t="s">
        <v>2410</v>
      </c>
      <c r="C1118" s="30" t="s">
        <v>65</v>
      </c>
      <c r="D1118" s="30" t="s">
        <v>232</v>
      </c>
    </row>
    <row r="1119" spans="1:4" ht="16">
      <c r="A1119" s="30" t="s">
        <v>2411</v>
      </c>
      <c r="B1119" s="30" t="s">
        <v>2412</v>
      </c>
      <c r="C1119" s="30" t="s">
        <v>59</v>
      </c>
      <c r="D1119" s="30" t="s">
        <v>82</v>
      </c>
    </row>
    <row r="1120" spans="1:4" ht="16">
      <c r="A1120" s="30" t="s">
        <v>2413</v>
      </c>
      <c r="B1120" s="30" t="s">
        <v>2414</v>
      </c>
      <c r="C1120" s="30" t="s">
        <v>61</v>
      </c>
      <c r="D1120" s="30" t="s">
        <v>160</v>
      </c>
    </row>
    <row r="1121" spans="1:4" ht="16">
      <c r="A1121" s="30" t="s">
        <v>2415</v>
      </c>
      <c r="B1121" s="30" t="s">
        <v>2416</v>
      </c>
      <c r="C1121" s="30" t="s">
        <v>124</v>
      </c>
      <c r="D1121" s="30" t="s">
        <v>75</v>
      </c>
    </row>
    <row r="1122" spans="1:4" ht="16">
      <c r="A1122" s="30" t="s">
        <v>2417</v>
      </c>
      <c r="B1122" s="30" t="s">
        <v>2418</v>
      </c>
      <c r="C1122" s="30" t="s">
        <v>61</v>
      </c>
      <c r="D1122" s="30" t="s">
        <v>280</v>
      </c>
    </row>
    <row r="1123" spans="1:4" ht="16">
      <c r="A1123" s="30" t="s">
        <v>2419</v>
      </c>
      <c r="B1123" s="30" t="s">
        <v>2420</v>
      </c>
      <c r="C1123" s="30" t="s">
        <v>65</v>
      </c>
      <c r="D1123" s="30" t="s">
        <v>66</v>
      </c>
    </row>
    <row r="1124" spans="1:4" ht="16">
      <c r="A1124" s="30" t="s">
        <v>2421</v>
      </c>
      <c r="B1124" s="30" t="s">
        <v>2422</v>
      </c>
      <c r="C1124" s="30" t="s">
        <v>61</v>
      </c>
      <c r="D1124" s="30" t="s">
        <v>128</v>
      </c>
    </row>
    <row r="1125" spans="1:4" ht="16">
      <c r="A1125" s="30" t="s">
        <v>2423</v>
      </c>
      <c r="B1125" s="30" t="s">
        <v>2424</v>
      </c>
      <c r="C1125" s="30" t="s">
        <v>257</v>
      </c>
      <c r="D1125" s="30" t="s">
        <v>232</v>
      </c>
    </row>
    <row r="1126" spans="1:4" ht="16">
      <c r="A1126" s="30" t="s">
        <v>2425</v>
      </c>
      <c r="B1126" s="30" t="s">
        <v>2426</v>
      </c>
      <c r="C1126" s="30" t="s">
        <v>176</v>
      </c>
      <c r="D1126" s="30" t="s">
        <v>82</v>
      </c>
    </row>
    <row r="1127" spans="1:4" ht="16">
      <c r="A1127" s="30" t="s">
        <v>2427</v>
      </c>
      <c r="B1127" s="30" t="s">
        <v>2428</v>
      </c>
      <c r="C1127" s="30" t="s">
        <v>61</v>
      </c>
      <c r="D1127" s="30" t="s">
        <v>103</v>
      </c>
    </row>
    <row r="1128" spans="1:4" ht="16">
      <c r="A1128" s="30" t="s">
        <v>2429</v>
      </c>
      <c r="B1128" s="30" t="s">
        <v>2430</v>
      </c>
      <c r="C1128" s="30" t="s">
        <v>65</v>
      </c>
      <c r="D1128" s="30" t="s">
        <v>66</v>
      </c>
    </row>
    <row r="1129" spans="1:4" ht="16">
      <c r="A1129" s="30" t="s">
        <v>2431</v>
      </c>
      <c r="B1129" s="30" t="s">
        <v>2432</v>
      </c>
      <c r="C1129" s="30" t="s">
        <v>65</v>
      </c>
      <c r="D1129" s="30" t="s">
        <v>341</v>
      </c>
    </row>
    <row r="1130" spans="1:4" ht="16">
      <c r="A1130" s="30" t="s">
        <v>2433</v>
      </c>
      <c r="B1130" s="30" t="s">
        <v>2434</v>
      </c>
      <c r="C1130" s="30" t="s">
        <v>61</v>
      </c>
      <c r="D1130" s="30" t="s">
        <v>160</v>
      </c>
    </row>
    <row r="1131" spans="1:4" ht="16">
      <c r="A1131" s="30" t="s">
        <v>2435</v>
      </c>
      <c r="B1131" s="30" t="s">
        <v>2436</v>
      </c>
      <c r="C1131" s="30" t="s">
        <v>59</v>
      </c>
      <c r="D1131" s="30" t="s">
        <v>82</v>
      </c>
    </row>
    <row r="1132" spans="1:4" ht="16">
      <c r="A1132" s="30" t="s">
        <v>2437</v>
      </c>
      <c r="B1132" s="30" t="s">
        <v>2438</v>
      </c>
      <c r="C1132" s="30" t="s">
        <v>124</v>
      </c>
      <c r="D1132" s="30" t="s">
        <v>75</v>
      </c>
    </row>
    <row r="1133" spans="1:4" ht="16">
      <c r="A1133" s="30" t="s">
        <v>2439</v>
      </c>
      <c r="B1133" s="30" t="s">
        <v>2440</v>
      </c>
      <c r="C1133" s="30" t="s">
        <v>257</v>
      </c>
      <c r="D1133" s="30" t="s">
        <v>232</v>
      </c>
    </row>
    <row r="1134" spans="1:4" ht="16">
      <c r="A1134" s="30" t="s">
        <v>2441</v>
      </c>
      <c r="B1134" s="30" t="s">
        <v>2442</v>
      </c>
      <c r="C1134" s="30" t="s">
        <v>65</v>
      </c>
      <c r="D1134" s="30" t="s">
        <v>66</v>
      </c>
    </row>
    <row r="1135" spans="1:4" ht="16">
      <c r="A1135" s="30" t="s">
        <v>2443</v>
      </c>
      <c r="B1135" s="30" t="s">
        <v>2444</v>
      </c>
      <c r="C1135" s="30" t="s">
        <v>1017</v>
      </c>
      <c r="D1135" s="30" t="s">
        <v>605</v>
      </c>
    </row>
    <row r="1136" spans="1:4" ht="16">
      <c r="A1136" s="30" t="s">
        <v>2445</v>
      </c>
      <c r="B1136" s="30" t="s">
        <v>2446</v>
      </c>
      <c r="C1136" s="30" t="s">
        <v>61</v>
      </c>
      <c r="D1136" s="30" t="s">
        <v>131</v>
      </c>
    </row>
    <row r="1137" spans="1:4" ht="16">
      <c r="A1137" s="30" t="s">
        <v>2447</v>
      </c>
      <c r="B1137" s="30" t="s">
        <v>2448</v>
      </c>
      <c r="C1137" s="30" t="s">
        <v>100</v>
      </c>
      <c r="D1137" s="30" t="s">
        <v>75</v>
      </c>
    </row>
    <row r="1138" spans="1:4" ht="16">
      <c r="A1138" s="30" t="s">
        <v>2449</v>
      </c>
      <c r="B1138" s="30" t="s">
        <v>2450</v>
      </c>
      <c r="C1138" s="30" t="s">
        <v>61</v>
      </c>
      <c r="D1138" s="30" t="s">
        <v>341</v>
      </c>
    </row>
    <row r="1139" spans="1:4" ht="16">
      <c r="A1139" s="30" t="s">
        <v>2451</v>
      </c>
      <c r="B1139" s="30" t="s">
        <v>2452</v>
      </c>
      <c r="C1139" s="30" t="s">
        <v>1195</v>
      </c>
      <c r="D1139" s="30" t="s">
        <v>125</v>
      </c>
    </row>
    <row r="1140" spans="1:4" ht="16">
      <c r="A1140" s="30" t="s">
        <v>2453</v>
      </c>
      <c r="B1140" s="30" t="s">
        <v>2454</v>
      </c>
      <c r="C1140" s="30" t="s">
        <v>61</v>
      </c>
      <c r="D1140" s="30" t="s">
        <v>92</v>
      </c>
    </row>
    <row r="1141" spans="1:4" ht="16">
      <c r="A1141" s="30" t="s">
        <v>2455</v>
      </c>
      <c r="B1141" s="30" t="s">
        <v>2456</v>
      </c>
      <c r="C1141" s="30" t="s">
        <v>61</v>
      </c>
      <c r="D1141" s="30" t="s">
        <v>62</v>
      </c>
    </row>
    <row r="1142" spans="1:4" ht="16">
      <c r="A1142" s="30" t="s">
        <v>2457</v>
      </c>
      <c r="B1142" s="30" t="s">
        <v>2458</v>
      </c>
      <c r="C1142" s="30" t="s">
        <v>61</v>
      </c>
      <c r="D1142" s="30" t="s">
        <v>1490</v>
      </c>
    </row>
    <row r="1143" spans="1:4" ht="16">
      <c r="A1143" s="30" t="s">
        <v>2459</v>
      </c>
      <c r="B1143" s="30" t="s">
        <v>2460</v>
      </c>
      <c r="C1143" s="30" t="s">
        <v>124</v>
      </c>
      <c r="D1143" s="30" t="s">
        <v>69</v>
      </c>
    </row>
    <row r="1144" spans="1:4" ht="16">
      <c r="A1144" s="30" t="s">
        <v>2461</v>
      </c>
      <c r="B1144" s="30" t="s">
        <v>2462</v>
      </c>
      <c r="C1144" s="30" t="s">
        <v>61</v>
      </c>
      <c r="D1144" s="30" t="s">
        <v>346</v>
      </c>
    </row>
    <row r="1145" spans="1:4" ht="16">
      <c r="A1145" s="30" t="s">
        <v>2463</v>
      </c>
      <c r="B1145" s="30" t="s">
        <v>2464</v>
      </c>
      <c r="C1145" s="30" t="s">
        <v>59</v>
      </c>
      <c r="D1145" s="30" t="s">
        <v>82</v>
      </c>
    </row>
    <row r="1146" spans="1:4" ht="16">
      <c r="A1146" s="30" t="s">
        <v>2465</v>
      </c>
      <c r="B1146" s="30" t="s">
        <v>2466</v>
      </c>
      <c r="C1146" s="30" t="s">
        <v>100</v>
      </c>
      <c r="D1146" s="30" t="s">
        <v>75</v>
      </c>
    </row>
    <row r="1147" spans="1:4" ht="16">
      <c r="A1147" s="30" t="s">
        <v>2467</v>
      </c>
      <c r="B1147" s="30" t="s">
        <v>2468</v>
      </c>
      <c r="C1147" s="30" t="s">
        <v>61</v>
      </c>
      <c r="D1147" s="30" t="s">
        <v>103</v>
      </c>
    </row>
    <row r="1148" spans="1:4" ht="16">
      <c r="A1148" s="30" t="s">
        <v>2469</v>
      </c>
      <c r="B1148" s="30" t="s">
        <v>2470</v>
      </c>
      <c r="C1148" s="30" t="s">
        <v>65</v>
      </c>
      <c r="D1148" s="30" t="s">
        <v>66</v>
      </c>
    </row>
    <row r="1149" spans="1:4" ht="16">
      <c r="A1149" s="30" t="s">
        <v>2471</v>
      </c>
      <c r="B1149" s="30" t="s">
        <v>2472</v>
      </c>
      <c r="C1149" s="30" t="s">
        <v>61</v>
      </c>
      <c r="D1149" s="30" t="s">
        <v>232</v>
      </c>
    </row>
    <row r="1150" spans="1:4" ht="16">
      <c r="A1150" s="30" t="s">
        <v>2473</v>
      </c>
      <c r="B1150" s="30" t="s">
        <v>2474</v>
      </c>
      <c r="C1150" s="30" t="s">
        <v>59</v>
      </c>
      <c r="D1150" s="30" t="s">
        <v>82</v>
      </c>
    </row>
    <row r="1151" spans="1:4" ht="16">
      <c r="A1151" s="30" t="s">
        <v>2475</v>
      </c>
      <c r="B1151" s="30" t="s">
        <v>2476</v>
      </c>
      <c r="C1151" s="30" t="s">
        <v>452</v>
      </c>
      <c r="D1151" s="30" t="s">
        <v>2477</v>
      </c>
    </row>
    <row r="1152" spans="1:4" ht="16">
      <c r="A1152" s="30" t="s">
        <v>2475</v>
      </c>
      <c r="B1152" s="30" t="s">
        <v>2476</v>
      </c>
      <c r="C1152" s="30" t="s">
        <v>452</v>
      </c>
      <c r="D1152" s="30" t="s">
        <v>152</v>
      </c>
    </row>
    <row r="1153" spans="1:4" ht="16">
      <c r="A1153" s="30" t="s">
        <v>2478</v>
      </c>
      <c r="B1153" s="30" t="s">
        <v>2479</v>
      </c>
      <c r="C1153" s="30" t="s">
        <v>61</v>
      </c>
      <c r="D1153" s="30" t="s">
        <v>128</v>
      </c>
    </row>
    <row r="1154" spans="1:4" ht="16">
      <c r="A1154" s="30" t="s">
        <v>2480</v>
      </c>
      <c r="B1154" s="30" t="s">
        <v>2481</v>
      </c>
      <c r="C1154" s="30" t="s">
        <v>61</v>
      </c>
      <c r="D1154" s="30" t="s">
        <v>95</v>
      </c>
    </row>
    <row r="1155" spans="1:4" ht="16">
      <c r="A1155" s="30" t="s">
        <v>2482</v>
      </c>
      <c r="B1155" s="30" t="s">
        <v>2483</v>
      </c>
      <c r="C1155" s="30" t="s">
        <v>100</v>
      </c>
      <c r="D1155" s="30" t="s">
        <v>75</v>
      </c>
    </row>
    <row r="1156" spans="1:4" ht="16">
      <c r="A1156" s="30" t="s">
        <v>2484</v>
      </c>
      <c r="B1156" s="30" t="s">
        <v>2485</v>
      </c>
      <c r="C1156" s="30" t="s">
        <v>61</v>
      </c>
      <c r="D1156" s="30" t="s">
        <v>210</v>
      </c>
    </row>
    <row r="1157" spans="1:4" ht="16">
      <c r="A1157" s="30" t="s">
        <v>2486</v>
      </c>
      <c r="B1157" s="30" t="s">
        <v>2487</v>
      </c>
      <c r="C1157" s="30" t="s">
        <v>176</v>
      </c>
      <c r="D1157" s="30" t="s">
        <v>177</v>
      </c>
    </row>
    <row r="1158" spans="1:4" ht="16">
      <c r="A1158" s="30" t="s">
        <v>2488</v>
      </c>
      <c r="B1158" s="30" t="s">
        <v>2489</v>
      </c>
      <c r="C1158" s="30" t="s">
        <v>59</v>
      </c>
      <c r="D1158" s="30" t="s">
        <v>82</v>
      </c>
    </row>
    <row r="1159" spans="1:4" ht="16">
      <c r="A1159" s="30" t="s">
        <v>2490</v>
      </c>
      <c r="B1159" s="30" t="s">
        <v>2491</v>
      </c>
      <c r="C1159" s="30" t="s">
        <v>65</v>
      </c>
      <c r="D1159" s="30" t="s">
        <v>69</v>
      </c>
    </row>
    <row r="1160" spans="1:4" ht="16">
      <c r="A1160" s="30" t="s">
        <v>2492</v>
      </c>
      <c r="B1160" s="30" t="s">
        <v>2493</v>
      </c>
      <c r="C1160" s="30" t="s">
        <v>61</v>
      </c>
      <c r="D1160" s="30" t="s">
        <v>69</v>
      </c>
    </row>
    <row r="1161" spans="1:4" ht="16">
      <c r="A1161" s="30" t="s">
        <v>2494</v>
      </c>
      <c r="B1161" s="30" t="s">
        <v>2495</v>
      </c>
      <c r="C1161" s="30" t="s">
        <v>389</v>
      </c>
      <c r="D1161" s="30" t="s">
        <v>78</v>
      </c>
    </row>
    <row r="1162" spans="1:4" ht="16">
      <c r="A1162" s="30" t="s">
        <v>2496</v>
      </c>
      <c r="B1162" s="30" t="s">
        <v>2497</v>
      </c>
      <c r="C1162" s="30" t="s">
        <v>85</v>
      </c>
      <c r="D1162" s="30" t="s">
        <v>82</v>
      </c>
    </row>
    <row r="1163" spans="1:4" ht="16">
      <c r="A1163" s="30" t="s">
        <v>2498</v>
      </c>
      <c r="B1163" s="30" t="s">
        <v>2499</v>
      </c>
      <c r="C1163" s="30" t="s">
        <v>389</v>
      </c>
      <c r="D1163" s="30" t="s">
        <v>66</v>
      </c>
    </row>
    <row r="1164" spans="1:4" ht="16">
      <c r="A1164" s="30" t="s">
        <v>2498</v>
      </c>
      <c r="B1164" s="30" t="s">
        <v>2499</v>
      </c>
      <c r="C1164" s="30" t="s">
        <v>389</v>
      </c>
      <c r="D1164" s="30" t="s">
        <v>305</v>
      </c>
    </row>
    <row r="1165" spans="1:4" ht="16">
      <c r="A1165" s="30" t="s">
        <v>2500</v>
      </c>
      <c r="B1165" s="30" t="s">
        <v>2501</v>
      </c>
      <c r="C1165" s="30" t="s">
        <v>61</v>
      </c>
      <c r="D1165" s="30" t="s">
        <v>595</v>
      </c>
    </row>
    <row r="1166" spans="1:4" ht="16">
      <c r="A1166" s="30" t="s">
        <v>2502</v>
      </c>
      <c r="B1166" s="30" t="s">
        <v>2503</v>
      </c>
      <c r="C1166" s="30" t="s">
        <v>452</v>
      </c>
      <c r="D1166" s="30" t="s">
        <v>62</v>
      </c>
    </row>
    <row r="1167" spans="1:4" ht="16">
      <c r="A1167" s="30" t="s">
        <v>2504</v>
      </c>
      <c r="B1167" s="30" t="s">
        <v>2505</v>
      </c>
      <c r="C1167" s="30" t="s">
        <v>134</v>
      </c>
      <c r="D1167" s="30" t="s">
        <v>171</v>
      </c>
    </row>
    <row r="1168" spans="1:4" ht="16">
      <c r="A1168" s="30" t="s">
        <v>2506</v>
      </c>
      <c r="B1168" s="30" t="s">
        <v>2507</v>
      </c>
      <c r="C1168" s="30" t="s">
        <v>257</v>
      </c>
      <c r="D1168" s="30" t="s">
        <v>160</v>
      </c>
    </row>
    <row r="1169" spans="1:4" ht="16">
      <c r="A1169" s="30" t="s">
        <v>2508</v>
      </c>
      <c r="B1169" s="30" t="s">
        <v>2509</v>
      </c>
      <c r="C1169" s="30" t="s">
        <v>61</v>
      </c>
      <c r="D1169" s="30" t="s">
        <v>280</v>
      </c>
    </row>
    <row r="1170" spans="1:4" ht="16">
      <c r="A1170" s="30" t="s">
        <v>2510</v>
      </c>
      <c r="B1170" s="30" t="s">
        <v>2511</v>
      </c>
      <c r="C1170" s="30" t="s">
        <v>59</v>
      </c>
      <c r="D1170" s="30" t="s">
        <v>82</v>
      </c>
    </row>
    <row r="1171" spans="1:4" ht="16">
      <c r="A1171" s="30" t="s">
        <v>2512</v>
      </c>
      <c r="B1171" s="30" t="s">
        <v>2513</v>
      </c>
      <c r="C1171" s="30" t="s">
        <v>59</v>
      </c>
      <c r="D1171" s="30" t="s">
        <v>82</v>
      </c>
    </row>
    <row r="1172" spans="1:4" ht="16">
      <c r="A1172" s="30" t="s">
        <v>2514</v>
      </c>
      <c r="B1172" s="30" t="s">
        <v>2515</v>
      </c>
      <c r="C1172" s="30" t="s">
        <v>61</v>
      </c>
      <c r="D1172" s="30" t="s">
        <v>78</v>
      </c>
    </row>
    <row r="1173" spans="1:4" ht="16">
      <c r="A1173" s="30" t="s">
        <v>2516</v>
      </c>
      <c r="B1173" s="30" t="s">
        <v>2517</v>
      </c>
      <c r="C1173" s="30" t="s">
        <v>59</v>
      </c>
      <c r="D1173" s="30" t="s">
        <v>82</v>
      </c>
    </row>
    <row r="1174" spans="1:4" ht="16">
      <c r="A1174" s="30" t="s">
        <v>2518</v>
      </c>
      <c r="B1174" s="30" t="s">
        <v>2519</v>
      </c>
      <c r="C1174" s="30" t="s">
        <v>2520</v>
      </c>
      <c r="D1174" s="30" t="s">
        <v>300</v>
      </c>
    </row>
    <row r="1175" spans="1:4" ht="16">
      <c r="A1175" s="30" t="s">
        <v>2521</v>
      </c>
      <c r="B1175" s="30" t="s">
        <v>2522</v>
      </c>
      <c r="C1175" s="30" t="s">
        <v>65</v>
      </c>
      <c r="D1175" s="30" t="s">
        <v>66</v>
      </c>
    </row>
    <row r="1176" spans="1:4" ht="16">
      <c r="A1176" s="30" t="s">
        <v>2523</v>
      </c>
      <c r="B1176" s="30" t="s">
        <v>2524</v>
      </c>
      <c r="C1176" s="30" t="s">
        <v>85</v>
      </c>
      <c r="D1176" s="30" t="s">
        <v>78</v>
      </c>
    </row>
    <row r="1177" spans="1:4" ht="16">
      <c r="A1177" s="30" t="s">
        <v>2525</v>
      </c>
      <c r="B1177" s="30" t="s">
        <v>2526</v>
      </c>
      <c r="C1177" s="30" t="s">
        <v>61</v>
      </c>
      <c r="D1177" s="30" t="s">
        <v>78</v>
      </c>
    </row>
    <row r="1178" spans="1:4" ht="16">
      <c r="A1178" s="30" t="s">
        <v>2527</v>
      </c>
      <c r="B1178" s="30" t="s">
        <v>2528</v>
      </c>
      <c r="C1178" s="30" t="s">
        <v>59</v>
      </c>
      <c r="D1178" s="30" t="s">
        <v>82</v>
      </c>
    </row>
    <row r="1179" spans="1:4" ht="16">
      <c r="A1179" s="30" t="s">
        <v>2529</v>
      </c>
      <c r="B1179" s="30" t="s">
        <v>2530</v>
      </c>
      <c r="C1179" s="30" t="s">
        <v>141</v>
      </c>
      <c r="D1179" s="30" t="s">
        <v>82</v>
      </c>
    </row>
    <row r="1180" spans="1:4" ht="16">
      <c r="A1180" s="30" t="s">
        <v>2531</v>
      </c>
      <c r="B1180" s="30" t="s">
        <v>2532</v>
      </c>
      <c r="C1180" s="30" t="s">
        <v>61</v>
      </c>
      <c r="D1180" s="30" t="s">
        <v>62</v>
      </c>
    </row>
    <row r="1181" spans="1:4" ht="16">
      <c r="A1181" s="30" t="s">
        <v>2533</v>
      </c>
      <c r="B1181" s="30" t="s">
        <v>2534</v>
      </c>
      <c r="C1181" s="30" t="s">
        <v>176</v>
      </c>
      <c r="D1181" s="30" t="s">
        <v>82</v>
      </c>
    </row>
    <row r="1182" spans="1:4" ht="16">
      <c r="A1182" s="30" t="s">
        <v>2535</v>
      </c>
      <c r="B1182" s="30" t="s">
        <v>2536</v>
      </c>
      <c r="C1182" s="30" t="s">
        <v>61</v>
      </c>
      <c r="D1182" s="30" t="s">
        <v>89</v>
      </c>
    </row>
    <row r="1183" spans="1:4" ht="16">
      <c r="A1183" s="30" t="s">
        <v>2537</v>
      </c>
      <c r="B1183" s="30" t="s">
        <v>2538</v>
      </c>
      <c r="C1183" s="30" t="s">
        <v>61</v>
      </c>
      <c r="D1183" s="30" t="s">
        <v>761</v>
      </c>
    </row>
    <row r="1184" spans="1:4" ht="16">
      <c r="A1184" s="30" t="s">
        <v>2539</v>
      </c>
      <c r="B1184" s="30" t="s">
        <v>2540</v>
      </c>
      <c r="C1184" s="30" t="s">
        <v>61</v>
      </c>
      <c r="D1184" s="30" t="s">
        <v>766</v>
      </c>
    </row>
    <row r="1185" spans="1:4" ht="16">
      <c r="A1185" s="30" t="s">
        <v>2541</v>
      </c>
      <c r="B1185" s="30" t="s">
        <v>2542</v>
      </c>
      <c r="C1185" s="30" t="s">
        <v>61</v>
      </c>
      <c r="D1185" s="30" t="s">
        <v>103</v>
      </c>
    </row>
    <row r="1186" spans="1:4" ht="16">
      <c r="A1186" s="30" t="s">
        <v>2543</v>
      </c>
      <c r="B1186" s="30" t="s">
        <v>2544</v>
      </c>
      <c r="C1186" s="30" t="s">
        <v>59</v>
      </c>
      <c r="D1186" s="30" t="s">
        <v>82</v>
      </c>
    </row>
    <row r="1187" spans="1:4" ht="16">
      <c r="A1187" s="30" t="s">
        <v>2545</v>
      </c>
      <c r="B1187" s="30" t="s">
        <v>2546</v>
      </c>
      <c r="C1187" s="30" t="s">
        <v>61</v>
      </c>
      <c r="D1187" s="30" t="s">
        <v>69</v>
      </c>
    </row>
    <row r="1188" spans="1:4" ht="16">
      <c r="A1188" s="30" t="s">
        <v>2547</v>
      </c>
      <c r="B1188" s="30" t="s">
        <v>2548</v>
      </c>
      <c r="C1188" s="30" t="s">
        <v>61</v>
      </c>
      <c r="D1188" s="30" t="s">
        <v>103</v>
      </c>
    </row>
    <row r="1189" spans="1:4" ht="16">
      <c r="A1189" s="30" t="s">
        <v>2549</v>
      </c>
      <c r="B1189" s="30" t="s">
        <v>2550</v>
      </c>
      <c r="C1189" s="30" t="s">
        <v>81</v>
      </c>
      <c r="D1189" s="30" t="s">
        <v>82</v>
      </c>
    </row>
    <row r="1190" spans="1:4" ht="16">
      <c r="A1190" s="30" t="s">
        <v>2551</v>
      </c>
      <c r="B1190" s="30" t="s">
        <v>2552</v>
      </c>
      <c r="C1190" s="30" t="s">
        <v>100</v>
      </c>
      <c r="D1190" s="30" t="s">
        <v>75</v>
      </c>
    </row>
    <row r="1191" spans="1:4" ht="16">
      <c r="A1191" s="30" t="s">
        <v>2553</v>
      </c>
      <c r="B1191" s="30" t="s">
        <v>2554</v>
      </c>
      <c r="C1191" s="30" t="s">
        <v>61</v>
      </c>
      <c r="D1191" s="30" t="s">
        <v>92</v>
      </c>
    </row>
    <row r="1192" spans="1:4" ht="16">
      <c r="A1192" s="30" t="s">
        <v>2555</v>
      </c>
      <c r="B1192" s="30" t="s">
        <v>2556</v>
      </c>
      <c r="C1192" s="30" t="s">
        <v>176</v>
      </c>
      <c r="D1192" s="30" t="s">
        <v>171</v>
      </c>
    </row>
    <row r="1193" spans="1:4" ht="16">
      <c r="A1193" s="30" t="s">
        <v>2557</v>
      </c>
      <c r="B1193" s="30" t="s">
        <v>2558</v>
      </c>
      <c r="C1193" s="30" t="s">
        <v>257</v>
      </c>
      <c r="D1193" s="30" t="s">
        <v>232</v>
      </c>
    </row>
    <row r="1194" spans="1:4" ht="16">
      <c r="A1194" s="30" t="s">
        <v>2559</v>
      </c>
      <c r="B1194" s="30" t="s">
        <v>2560</v>
      </c>
      <c r="C1194" s="30" t="s">
        <v>65</v>
      </c>
      <c r="D1194" s="30" t="s">
        <v>66</v>
      </c>
    </row>
    <row r="1195" spans="1:4" ht="16">
      <c r="A1195" s="30" t="s">
        <v>2561</v>
      </c>
      <c r="B1195" s="30" t="s">
        <v>2562</v>
      </c>
      <c r="C1195" s="30" t="s">
        <v>61</v>
      </c>
      <c r="D1195" s="30" t="s">
        <v>157</v>
      </c>
    </row>
    <row r="1196" spans="1:4" ht="16">
      <c r="A1196" s="30" t="s">
        <v>2563</v>
      </c>
      <c r="B1196" s="30" t="s">
        <v>2564</v>
      </c>
      <c r="C1196" s="30" t="s">
        <v>59</v>
      </c>
      <c r="D1196" s="30" t="s">
        <v>82</v>
      </c>
    </row>
    <row r="1197" spans="1:4" ht="16">
      <c r="A1197" s="30" t="s">
        <v>2565</v>
      </c>
      <c r="B1197" s="30" t="s">
        <v>2566</v>
      </c>
      <c r="C1197" s="30" t="s">
        <v>59</v>
      </c>
      <c r="D1197" s="30" t="s">
        <v>82</v>
      </c>
    </row>
    <row r="1198" spans="1:4" ht="16">
      <c r="A1198" s="30" t="s">
        <v>2567</v>
      </c>
      <c r="B1198" s="30" t="s">
        <v>2568</v>
      </c>
      <c r="C1198" s="30" t="s">
        <v>61</v>
      </c>
      <c r="D1198" s="30" t="s">
        <v>86</v>
      </c>
    </row>
    <row r="1199" spans="1:4" ht="16">
      <c r="A1199" s="30" t="s">
        <v>2569</v>
      </c>
      <c r="B1199" s="30" t="s">
        <v>2570</v>
      </c>
      <c r="C1199" s="30" t="s">
        <v>651</v>
      </c>
      <c r="D1199" s="30" t="s">
        <v>232</v>
      </c>
    </row>
    <row r="1200" spans="1:4" ht="16">
      <c r="A1200" s="30" t="s">
        <v>2571</v>
      </c>
      <c r="B1200" s="30" t="s">
        <v>2572</v>
      </c>
      <c r="C1200" s="30" t="s">
        <v>61</v>
      </c>
      <c r="D1200" s="30" t="s">
        <v>346</v>
      </c>
    </row>
    <row r="1201" spans="1:4" ht="16">
      <c r="A1201" s="30" t="s">
        <v>2573</v>
      </c>
      <c r="B1201" s="30" t="s">
        <v>2574</v>
      </c>
      <c r="C1201" s="30" t="s">
        <v>141</v>
      </c>
      <c r="D1201" s="30" t="s">
        <v>82</v>
      </c>
    </row>
    <row r="1202" spans="1:4" ht="16">
      <c r="A1202" s="30" t="s">
        <v>2575</v>
      </c>
      <c r="B1202" s="30" t="s">
        <v>2576</v>
      </c>
      <c r="C1202" s="30" t="s">
        <v>61</v>
      </c>
      <c r="D1202" s="30" t="s">
        <v>761</v>
      </c>
    </row>
    <row r="1203" spans="1:4" ht="16">
      <c r="A1203" s="30" t="s">
        <v>2577</v>
      </c>
      <c r="B1203" s="30" t="s">
        <v>2578</v>
      </c>
      <c r="C1203" s="30" t="s">
        <v>59</v>
      </c>
      <c r="D1203" s="30" t="s">
        <v>82</v>
      </c>
    </row>
    <row r="1204" spans="1:4" ht="16">
      <c r="A1204" s="30" t="s">
        <v>2579</v>
      </c>
      <c r="B1204" s="30" t="s">
        <v>2580</v>
      </c>
      <c r="C1204" s="30" t="s">
        <v>59</v>
      </c>
      <c r="D1204" s="30" t="s">
        <v>82</v>
      </c>
    </row>
    <row r="1205" spans="1:4" ht="16">
      <c r="A1205" s="30" t="s">
        <v>2581</v>
      </c>
      <c r="B1205" s="30" t="s">
        <v>2582</v>
      </c>
      <c r="C1205" s="30" t="s">
        <v>59</v>
      </c>
      <c r="D1205" s="30" t="s">
        <v>82</v>
      </c>
    </row>
    <row r="1206" spans="1:4" ht="16">
      <c r="A1206" s="30" t="s">
        <v>2583</v>
      </c>
      <c r="B1206" s="30" t="s">
        <v>2584</v>
      </c>
      <c r="C1206" s="30" t="s">
        <v>176</v>
      </c>
      <c r="D1206" s="30" t="s">
        <v>648</v>
      </c>
    </row>
    <row r="1207" spans="1:4" ht="16">
      <c r="A1207" s="30" t="s">
        <v>2585</v>
      </c>
      <c r="B1207" s="30" t="s">
        <v>2586</v>
      </c>
      <c r="C1207" s="30" t="s">
        <v>141</v>
      </c>
      <c r="D1207" s="30" t="s">
        <v>82</v>
      </c>
    </row>
    <row r="1208" spans="1:4" ht="16">
      <c r="A1208" s="30" t="s">
        <v>2587</v>
      </c>
      <c r="B1208" s="30" t="s">
        <v>2588</v>
      </c>
      <c r="C1208" s="30" t="s">
        <v>452</v>
      </c>
      <c r="D1208" s="30" t="s">
        <v>882</v>
      </c>
    </row>
    <row r="1209" spans="1:4" ht="16">
      <c r="A1209" s="30" t="s">
        <v>2589</v>
      </c>
      <c r="B1209" s="30" t="s">
        <v>2590</v>
      </c>
      <c r="C1209" s="30" t="s">
        <v>257</v>
      </c>
      <c r="D1209" s="30" t="s">
        <v>232</v>
      </c>
    </row>
    <row r="1210" spans="1:4" ht="16">
      <c r="A1210" s="30" t="s">
        <v>2591</v>
      </c>
      <c r="B1210" s="30" t="s">
        <v>2592</v>
      </c>
      <c r="C1210" s="30" t="s">
        <v>65</v>
      </c>
      <c r="D1210" s="30" t="s">
        <v>160</v>
      </c>
    </row>
    <row r="1211" spans="1:4" ht="16">
      <c r="A1211" s="30" t="s">
        <v>2593</v>
      </c>
      <c r="B1211" s="30" t="s">
        <v>2594</v>
      </c>
      <c r="C1211" s="30" t="s">
        <v>65</v>
      </c>
      <c r="D1211" s="30" t="s">
        <v>66</v>
      </c>
    </row>
    <row r="1212" spans="1:4" ht="16">
      <c r="A1212" s="30" t="s">
        <v>2595</v>
      </c>
      <c r="B1212" s="30" t="s">
        <v>2596</v>
      </c>
      <c r="C1212" s="30" t="s">
        <v>124</v>
      </c>
      <c r="D1212" s="30" t="s">
        <v>69</v>
      </c>
    </row>
    <row r="1213" spans="1:4" ht="16">
      <c r="A1213" s="30" t="s">
        <v>2597</v>
      </c>
      <c r="B1213" s="30" t="s">
        <v>2598</v>
      </c>
      <c r="C1213" s="30" t="s">
        <v>65</v>
      </c>
      <c r="D1213" s="30" t="s">
        <v>66</v>
      </c>
    </row>
    <row r="1214" spans="1:4" ht="16">
      <c r="A1214" s="30" t="s">
        <v>2599</v>
      </c>
      <c r="B1214" s="30" t="s">
        <v>2600</v>
      </c>
      <c r="C1214" s="30" t="s">
        <v>61</v>
      </c>
      <c r="D1214" s="30" t="s">
        <v>86</v>
      </c>
    </row>
    <row r="1215" spans="1:4" ht="16">
      <c r="A1215" s="30" t="s">
        <v>2601</v>
      </c>
      <c r="B1215" s="30" t="s">
        <v>2602</v>
      </c>
      <c r="C1215" s="30" t="s">
        <v>61</v>
      </c>
      <c r="D1215" s="30" t="s">
        <v>761</v>
      </c>
    </row>
    <row r="1216" spans="1:4" ht="16">
      <c r="A1216" s="30" t="s">
        <v>2603</v>
      </c>
      <c r="B1216" s="30" t="s">
        <v>2604</v>
      </c>
      <c r="C1216" s="30" t="s">
        <v>2605</v>
      </c>
      <c r="D1216" s="30" t="s">
        <v>605</v>
      </c>
    </row>
    <row r="1217" spans="1:4" ht="16">
      <c r="A1217" s="30" t="s">
        <v>2606</v>
      </c>
      <c r="B1217" s="30" t="s">
        <v>2607</v>
      </c>
      <c r="C1217" s="30" t="s">
        <v>61</v>
      </c>
      <c r="D1217" s="30" t="s">
        <v>92</v>
      </c>
    </row>
    <row r="1218" spans="1:4" ht="16">
      <c r="A1218" s="30" t="s">
        <v>2608</v>
      </c>
      <c r="B1218" s="30" t="s">
        <v>2609</v>
      </c>
      <c r="C1218" s="30" t="s">
        <v>878</v>
      </c>
      <c r="D1218" s="30" t="s">
        <v>879</v>
      </c>
    </row>
    <row r="1219" spans="1:4" ht="16">
      <c r="A1219" s="30" t="s">
        <v>2610</v>
      </c>
      <c r="B1219" s="30" t="s">
        <v>2611</v>
      </c>
      <c r="C1219" s="30" t="s">
        <v>61</v>
      </c>
      <c r="D1219" s="30" t="s">
        <v>232</v>
      </c>
    </row>
    <row r="1220" spans="1:4" ht="16">
      <c r="A1220" s="30" t="s">
        <v>2612</v>
      </c>
      <c r="B1220" s="30" t="s">
        <v>2613</v>
      </c>
      <c r="C1220" s="30" t="s">
        <v>2614</v>
      </c>
      <c r="D1220" s="30" t="s">
        <v>75</v>
      </c>
    </row>
    <row r="1221" spans="1:4" ht="16">
      <c r="A1221" s="30" t="s">
        <v>2615</v>
      </c>
      <c r="B1221" s="30" t="s">
        <v>2616</v>
      </c>
      <c r="C1221" s="30" t="s">
        <v>176</v>
      </c>
      <c r="D1221" s="30" t="s">
        <v>232</v>
      </c>
    </row>
    <row r="1222" spans="1:4" ht="16">
      <c r="A1222" s="30" t="s">
        <v>2615</v>
      </c>
      <c r="B1222" s="30" t="s">
        <v>2616</v>
      </c>
      <c r="C1222" s="30" t="s">
        <v>2278</v>
      </c>
      <c r="D1222" s="30" t="s">
        <v>232</v>
      </c>
    </row>
    <row r="1223" spans="1:4" ht="16">
      <c r="A1223" s="30" t="s">
        <v>2617</v>
      </c>
      <c r="B1223" s="30" t="s">
        <v>2618</v>
      </c>
      <c r="C1223" s="30" t="s">
        <v>134</v>
      </c>
      <c r="D1223" s="30" t="s">
        <v>135</v>
      </c>
    </row>
    <row r="1224" spans="1:4" ht="16">
      <c r="A1224" s="30" t="s">
        <v>2619</v>
      </c>
      <c r="B1224" s="30" t="s">
        <v>2620</v>
      </c>
      <c r="C1224" s="30" t="s">
        <v>124</v>
      </c>
      <c r="D1224" s="30" t="s">
        <v>75</v>
      </c>
    </row>
    <row r="1225" spans="1:4" ht="16">
      <c r="A1225" s="30" t="s">
        <v>2621</v>
      </c>
      <c r="B1225" s="30" t="s">
        <v>2622</v>
      </c>
      <c r="C1225" s="30" t="s">
        <v>59</v>
      </c>
      <c r="D1225" s="30" t="s">
        <v>82</v>
      </c>
    </row>
    <row r="1226" spans="1:4" ht="16">
      <c r="A1226" s="30" t="s">
        <v>2623</v>
      </c>
      <c r="B1226" s="30" t="s">
        <v>2624</v>
      </c>
      <c r="C1226" s="30" t="s">
        <v>141</v>
      </c>
      <c r="D1226" s="30" t="s">
        <v>82</v>
      </c>
    </row>
    <row r="1227" spans="1:4" ht="16">
      <c r="A1227" s="30" t="s">
        <v>2625</v>
      </c>
      <c r="B1227" s="30" t="s">
        <v>2626</v>
      </c>
      <c r="C1227" s="30" t="s">
        <v>61</v>
      </c>
      <c r="D1227" s="30" t="s">
        <v>152</v>
      </c>
    </row>
    <row r="1228" spans="1:4" ht="16">
      <c r="A1228" s="30" t="s">
        <v>2627</v>
      </c>
      <c r="B1228" s="30" t="s">
        <v>2628</v>
      </c>
      <c r="C1228" s="30" t="s">
        <v>59</v>
      </c>
      <c r="D1228" s="30" t="s">
        <v>82</v>
      </c>
    </row>
    <row r="1229" spans="1:4" ht="16">
      <c r="A1229" s="30" t="s">
        <v>2629</v>
      </c>
      <c r="B1229" s="30" t="s">
        <v>2630</v>
      </c>
      <c r="C1229" s="30" t="s">
        <v>59</v>
      </c>
      <c r="D1229" s="30" t="s">
        <v>82</v>
      </c>
    </row>
    <row r="1230" spans="1:4" ht="16">
      <c r="A1230" s="30" t="s">
        <v>2631</v>
      </c>
      <c r="B1230" s="30" t="s">
        <v>2632</v>
      </c>
      <c r="C1230" s="30" t="s">
        <v>61</v>
      </c>
      <c r="D1230" s="30" t="s">
        <v>232</v>
      </c>
    </row>
    <row r="1231" spans="1:4" ht="16">
      <c r="A1231" s="30" t="s">
        <v>2633</v>
      </c>
      <c r="B1231" s="30" t="s">
        <v>2634</v>
      </c>
      <c r="C1231" s="30" t="s">
        <v>619</v>
      </c>
      <c r="D1231" s="30" t="s">
        <v>75</v>
      </c>
    </row>
    <row r="1232" spans="1:4" ht="16">
      <c r="A1232" s="30" t="s">
        <v>2635</v>
      </c>
      <c r="B1232" s="30" t="s">
        <v>2636</v>
      </c>
      <c r="C1232" s="30" t="s">
        <v>61</v>
      </c>
      <c r="D1232" s="30" t="s">
        <v>294</v>
      </c>
    </row>
    <row r="1233" spans="1:4" ht="16">
      <c r="A1233" s="30" t="s">
        <v>2637</v>
      </c>
      <c r="B1233" s="30" t="s">
        <v>2638</v>
      </c>
      <c r="C1233" s="30" t="s">
        <v>452</v>
      </c>
      <c r="D1233" s="30" t="s">
        <v>103</v>
      </c>
    </row>
    <row r="1234" spans="1:4" ht="16">
      <c r="A1234" s="30" t="s">
        <v>2639</v>
      </c>
      <c r="B1234" s="30" t="s">
        <v>2640</v>
      </c>
      <c r="C1234" s="30" t="s">
        <v>176</v>
      </c>
      <c r="D1234" s="30" t="s">
        <v>82</v>
      </c>
    </row>
    <row r="1235" spans="1:4" ht="16">
      <c r="A1235" s="30" t="s">
        <v>2641</v>
      </c>
      <c r="B1235" s="30" t="s">
        <v>2642</v>
      </c>
      <c r="C1235" s="30" t="s">
        <v>65</v>
      </c>
      <c r="D1235" s="30" t="s">
        <v>66</v>
      </c>
    </row>
    <row r="1236" spans="1:4" ht="16">
      <c r="A1236" s="30" t="s">
        <v>2643</v>
      </c>
      <c r="B1236" s="30" t="s">
        <v>2644</v>
      </c>
      <c r="C1236" s="30" t="s">
        <v>61</v>
      </c>
      <c r="D1236" s="30" t="s">
        <v>160</v>
      </c>
    </row>
    <row r="1237" spans="1:4" ht="16">
      <c r="A1237" s="30" t="s">
        <v>2645</v>
      </c>
      <c r="B1237" s="30" t="s">
        <v>2646</v>
      </c>
      <c r="C1237" s="30" t="s">
        <v>65</v>
      </c>
      <c r="D1237" s="30" t="s">
        <v>66</v>
      </c>
    </row>
    <row r="1238" spans="1:4" ht="16">
      <c r="A1238" s="30" t="s">
        <v>2647</v>
      </c>
      <c r="B1238" s="30" t="s">
        <v>2648</v>
      </c>
      <c r="C1238" s="30" t="s">
        <v>257</v>
      </c>
      <c r="D1238" s="30" t="s">
        <v>232</v>
      </c>
    </row>
    <row r="1239" spans="1:4" ht="16">
      <c r="A1239" s="30" t="s">
        <v>2649</v>
      </c>
      <c r="B1239" s="30" t="s">
        <v>2650</v>
      </c>
      <c r="C1239" s="30" t="s">
        <v>59</v>
      </c>
      <c r="D1239" s="30" t="s">
        <v>82</v>
      </c>
    </row>
    <row r="1240" spans="1:4" ht="16">
      <c r="A1240" s="30" t="s">
        <v>2651</v>
      </c>
      <c r="B1240" s="30" t="s">
        <v>2652</v>
      </c>
      <c r="C1240" s="30" t="s">
        <v>59</v>
      </c>
      <c r="D1240" s="30" t="s">
        <v>82</v>
      </c>
    </row>
    <row r="1241" spans="1:4" ht="16">
      <c r="A1241" s="30" t="s">
        <v>2653</v>
      </c>
      <c r="B1241" s="30" t="s">
        <v>2654</v>
      </c>
      <c r="C1241" s="30" t="s">
        <v>65</v>
      </c>
      <c r="D1241" s="30" t="s">
        <v>66</v>
      </c>
    </row>
    <row r="1242" spans="1:4" ht="16">
      <c r="A1242" s="30" t="s">
        <v>2655</v>
      </c>
      <c r="B1242" s="30" t="s">
        <v>2656</v>
      </c>
      <c r="C1242" s="30" t="s">
        <v>176</v>
      </c>
      <c r="D1242" s="30" t="s">
        <v>82</v>
      </c>
    </row>
    <row r="1243" spans="1:4" ht="16">
      <c r="A1243" s="30" t="s">
        <v>2657</v>
      </c>
      <c r="B1243" s="30" t="s">
        <v>2658</v>
      </c>
      <c r="C1243" s="30" t="s">
        <v>59</v>
      </c>
      <c r="D1243" s="30" t="s">
        <v>82</v>
      </c>
    </row>
    <row r="1244" spans="1:4" ht="16">
      <c r="A1244" s="30" t="s">
        <v>2659</v>
      </c>
      <c r="B1244" s="30" t="s">
        <v>2660</v>
      </c>
      <c r="C1244" s="30" t="s">
        <v>61</v>
      </c>
      <c r="D1244" s="30" t="s">
        <v>72</v>
      </c>
    </row>
    <row r="1245" spans="1:4" ht="16">
      <c r="A1245" s="30" t="s">
        <v>2661</v>
      </c>
      <c r="B1245" s="30" t="s">
        <v>2662</v>
      </c>
      <c r="C1245" s="30" t="s">
        <v>878</v>
      </c>
      <c r="D1245" s="30" t="s">
        <v>879</v>
      </c>
    </row>
    <row r="1246" spans="1:4" ht="16">
      <c r="A1246" s="30" t="s">
        <v>2663</v>
      </c>
      <c r="B1246" s="30" t="s">
        <v>2664</v>
      </c>
      <c r="C1246" s="30" t="s">
        <v>141</v>
      </c>
      <c r="D1246" s="30" t="s">
        <v>82</v>
      </c>
    </row>
    <row r="1247" spans="1:4" ht="16">
      <c r="A1247" s="30" t="s">
        <v>2665</v>
      </c>
      <c r="B1247" s="30" t="s">
        <v>2666</v>
      </c>
      <c r="C1247" s="30" t="s">
        <v>287</v>
      </c>
      <c r="D1247" s="30" t="s">
        <v>82</v>
      </c>
    </row>
    <row r="1248" spans="1:4" ht="16">
      <c r="A1248" s="30" t="s">
        <v>2667</v>
      </c>
      <c r="B1248" s="30" t="s">
        <v>2668</v>
      </c>
      <c r="C1248" s="30" t="s">
        <v>65</v>
      </c>
      <c r="D1248" s="30" t="s">
        <v>305</v>
      </c>
    </row>
    <row r="1249" spans="1:4" ht="16">
      <c r="A1249" s="30" t="s">
        <v>2669</v>
      </c>
      <c r="B1249" s="30" t="s">
        <v>2670</v>
      </c>
      <c r="C1249" s="30" t="s">
        <v>138</v>
      </c>
      <c r="D1249" s="30" t="s">
        <v>171</v>
      </c>
    </row>
    <row r="1250" spans="1:4" ht="16">
      <c r="A1250" s="30" t="s">
        <v>2671</v>
      </c>
      <c r="B1250" s="30" t="s">
        <v>2672</v>
      </c>
      <c r="C1250" s="30" t="s">
        <v>1195</v>
      </c>
      <c r="D1250" s="30" t="s">
        <v>125</v>
      </c>
    </row>
    <row r="1251" spans="1:4" ht="16">
      <c r="A1251" s="30" t="s">
        <v>2673</v>
      </c>
      <c r="B1251" s="30" t="s">
        <v>2674</v>
      </c>
      <c r="C1251" s="30" t="s">
        <v>257</v>
      </c>
      <c r="D1251" s="30" t="s">
        <v>232</v>
      </c>
    </row>
    <row r="1252" spans="1:4" ht="16">
      <c r="A1252" s="30" t="s">
        <v>2675</v>
      </c>
      <c r="B1252" s="30" t="s">
        <v>2676</v>
      </c>
      <c r="C1252" s="30" t="s">
        <v>61</v>
      </c>
      <c r="D1252" s="30" t="s">
        <v>95</v>
      </c>
    </row>
    <row r="1253" spans="1:4" ht="16">
      <c r="A1253" s="30" t="s">
        <v>2677</v>
      </c>
      <c r="B1253" s="30" t="s">
        <v>2678</v>
      </c>
      <c r="C1253" s="30" t="s">
        <v>61</v>
      </c>
      <c r="D1253" s="30" t="s">
        <v>232</v>
      </c>
    </row>
    <row r="1254" spans="1:4" ht="16">
      <c r="A1254" s="30" t="s">
        <v>2679</v>
      </c>
      <c r="B1254" s="30" t="s">
        <v>2680</v>
      </c>
      <c r="C1254" s="30" t="s">
        <v>61</v>
      </c>
      <c r="D1254" s="30" t="s">
        <v>103</v>
      </c>
    </row>
    <row r="1255" spans="1:4" ht="16">
      <c r="A1255" s="30" t="s">
        <v>2681</v>
      </c>
      <c r="B1255" s="30" t="s">
        <v>2682</v>
      </c>
      <c r="C1255" s="30" t="s">
        <v>141</v>
      </c>
      <c r="D1255" s="30" t="s">
        <v>82</v>
      </c>
    </row>
    <row r="1256" spans="1:4" ht="16">
      <c r="A1256" s="30" t="s">
        <v>2683</v>
      </c>
      <c r="B1256" s="30" t="s">
        <v>2684</v>
      </c>
      <c r="C1256" s="30" t="s">
        <v>61</v>
      </c>
      <c r="D1256" s="30" t="s">
        <v>128</v>
      </c>
    </row>
    <row r="1257" spans="1:4" ht="16">
      <c r="A1257" s="30" t="s">
        <v>2685</v>
      </c>
      <c r="B1257" s="30" t="s">
        <v>2686</v>
      </c>
      <c r="C1257" s="30" t="s">
        <v>65</v>
      </c>
      <c r="D1257" s="30" t="s">
        <v>66</v>
      </c>
    </row>
    <row r="1258" spans="1:4" ht="16">
      <c r="A1258" s="30" t="s">
        <v>2687</v>
      </c>
      <c r="B1258" s="30" t="s">
        <v>2688</v>
      </c>
      <c r="C1258" s="30" t="s">
        <v>2689</v>
      </c>
      <c r="D1258" s="30" t="s">
        <v>300</v>
      </c>
    </row>
    <row r="1259" spans="1:4" ht="16">
      <c r="A1259" s="30" t="s">
        <v>2690</v>
      </c>
      <c r="B1259" s="30" t="s">
        <v>2691</v>
      </c>
      <c r="C1259" s="30" t="s">
        <v>257</v>
      </c>
      <c r="D1259" s="30" t="s">
        <v>232</v>
      </c>
    </row>
    <row r="1260" spans="1:4" ht="16">
      <c r="A1260" s="30" t="s">
        <v>2692</v>
      </c>
      <c r="B1260" s="30" t="s">
        <v>2693</v>
      </c>
      <c r="C1260" s="30" t="s">
        <v>61</v>
      </c>
      <c r="D1260" s="30" t="s">
        <v>148</v>
      </c>
    </row>
    <row r="1261" spans="1:4" ht="16">
      <c r="A1261" s="30" t="s">
        <v>2694</v>
      </c>
      <c r="B1261" s="30" t="s">
        <v>2695</v>
      </c>
      <c r="C1261" s="30" t="s">
        <v>124</v>
      </c>
      <c r="D1261" s="30" t="s">
        <v>75</v>
      </c>
    </row>
    <row r="1262" spans="1:4" ht="16">
      <c r="A1262" s="30" t="s">
        <v>2696</v>
      </c>
      <c r="B1262" s="30" t="s">
        <v>2697</v>
      </c>
      <c r="C1262" s="30" t="s">
        <v>138</v>
      </c>
      <c r="D1262" s="30" t="s">
        <v>62</v>
      </c>
    </row>
    <row r="1263" spans="1:4" ht="16">
      <c r="A1263" s="30" t="s">
        <v>2698</v>
      </c>
      <c r="B1263" s="30" t="s">
        <v>2699</v>
      </c>
      <c r="C1263" s="30" t="s">
        <v>61</v>
      </c>
      <c r="D1263" s="30" t="s">
        <v>103</v>
      </c>
    </row>
    <row r="1264" spans="1:4" ht="16">
      <c r="A1264" s="30" t="s">
        <v>2700</v>
      </c>
      <c r="B1264" s="30" t="s">
        <v>2701</v>
      </c>
      <c r="C1264" s="30" t="s">
        <v>100</v>
      </c>
      <c r="D1264" s="30" t="s">
        <v>75</v>
      </c>
    </row>
    <row r="1265" spans="1:4" ht="16">
      <c r="A1265" s="30" t="s">
        <v>2702</v>
      </c>
      <c r="B1265" s="30" t="s">
        <v>2703</v>
      </c>
      <c r="C1265" s="30" t="s">
        <v>619</v>
      </c>
      <c r="D1265" s="30" t="s">
        <v>75</v>
      </c>
    </row>
    <row r="1266" spans="1:4" ht="16">
      <c r="A1266" s="30" t="s">
        <v>2704</v>
      </c>
      <c r="B1266" s="30" t="s">
        <v>2705</v>
      </c>
      <c r="C1266" s="30" t="s">
        <v>813</v>
      </c>
      <c r="D1266" s="30" t="s">
        <v>160</v>
      </c>
    </row>
    <row r="1267" spans="1:4" ht="16">
      <c r="A1267" s="30" t="s">
        <v>2706</v>
      </c>
      <c r="B1267" s="30" t="s">
        <v>2707</v>
      </c>
      <c r="C1267" s="30" t="s">
        <v>61</v>
      </c>
      <c r="D1267" s="30" t="s">
        <v>1414</v>
      </c>
    </row>
    <row r="1268" spans="1:4" ht="16">
      <c r="A1268" s="30" t="s">
        <v>2708</v>
      </c>
      <c r="B1268" s="30" t="s">
        <v>2709</v>
      </c>
      <c r="C1268" s="30" t="s">
        <v>61</v>
      </c>
      <c r="D1268" s="30" t="s">
        <v>404</v>
      </c>
    </row>
    <row r="1269" spans="1:4" ht="16">
      <c r="A1269" s="30" t="s">
        <v>2710</v>
      </c>
      <c r="B1269" s="30" t="s">
        <v>2711</v>
      </c>
      <c r="C1269" s="30" t="s">
        <v>873</v>
      </c>
      <c r="D1269" s="30" t="s">
        <v>2099</v>
      </c>
    </row>
    <row r="1270" spans="1:4" ht="16">
      <c r="A1270" s="30" t="s">
        <v>2712</v>
      </c>
      <c r="B1270" s="30" t="s">
        <v>2713</v>
      </c>
      <c r="C1270" s="30" t="s">
        <v>176</v>
      </c>
      <c r="D1270" s="30" t="s">
        <v>177</v>
      </c>
    </row>
    <row r="1271" spans="1:4" ht="16">
      <c r="A1271" s="30" t="s">
        <v>2714</v>
      </c>
      <c r="B1271" s="30" t="s">
        <v>2715</v>
      </c>
      <c r="C1271" s="30" t="s">
        <v>215</v>
      </c>
      <c r="D1271" s="30" t="s">
        <v>75</v>
      </c>
    </row>
    <row r="1272" spans="1:4" ht="16">
      <c r="A1272" s="30" t="s">
        <v>2716</v>
      </c>
      <c r="B1272" s="30" t="s">
        <v>2717</v>
      </c>
      <c r="C1272" s="30" t="s">
        <v>61</v>
      </c>
      <c r="D1272" s="30" t="s">
        <v>896</v>
      </c>
    </row>
    <row r="1273" spans="1:4" ht="16">
      <c r="A1273" s="30" t="s">
        <v>2718</v>
      </c>
      <c r="B1273" s="30" t="s">
        <v>2719</v>
      </c>
      <c r="C1273" s="30" t="s">
        <v>59</v>
      </c>
      <c r="D1273" s="30" t="s">
        <v>82</v>
      </c>
    </row>
    <row r="1274" spans="1:4" ht="16">
      <c r="A1274" s="30" t="s">
        <v>2720</v>
      </c>
      <c r="B1274" s="30" t="s">
        <v>2721</v>
      </c>
      <c r="C1274" s="30" t="s">
        <v>100</v>
      </c>
      <c r="D1274" s="30" t="s">
        <v>75</v>
      </c>
    </row>
    <row r="1275" spans="1:4" ht="16">
      <c r="A1275" s="30" t="s">
        <v>2722</v>
      </c>
      <c r="B1275" s="30" t="s">
        <v>2723</v>
      </c>
      <c r="C1275" s="30" t="s">
        <v>65</v>
      </c>
      <c r="D1275" s="30" t="s">
        <v>69</v>
      </c>
    </row>
    <row r="1276" spans="1:4" ht="16">
      <c r="A1276" s="30" t="s">
        <v>2724</v>
      </c>
      <c r="B1276" s="30" t="s">
        <v>2725</v>
      </c>
      <c r="C1276" s="30" t="s">
        <v>61</v>
      </c>
      <c r="D1276" s="30" t="s">
        <v>210</v>
      </c>
    </row>
    <row r="1277" spans="1:4" ht="16">
      <c r="A1277" s="30" t="s">
        <v>2726</v>
      </c>
      <c r="B1277" s="30" t="s">
        <v>2727</v>
      </c>
      <c r="C1277" s="30" t="s">
        <v>65</v>
      </c>
      <c r="D1277" s="30" t="s">
        <v>66</v>
      </c>
    </row>
    <row r="1278" spans="1:4" ht="16">
      <c r="A1278" s="30" t="s">
        <v>2728</v>
      </c>
      <c r="B1278" s="30" t="s">
        <v>2729</v>
      </c>
      <c r="C1278" s="30" t="s">
        <v>61</v>
      </c>
      <c r="D1278" s="30" t="s">
        <v>103</v>
      </c>
    </row>
    <row r="1279" spans="1:4" ht="16">
      <c r="A1279" s="30" t="s">
        <v>2730</v>
      </c>
      <c r="B1279" s="30" t="s">
        <v>2731</v>
      </c>
      <c r="C1279" s="30" t="s">
        <v>252</v>
      </c>
      <c r="D1279" s="30" t="s">
        <v>69</v>
      </c>
    </row>
    <row r="1280" spans="1:4" ht="16">
      <c r="A1280" s="30" t="s">
        <v>2732</v>
      </c>
      <c r="B1280" s="30" t="s">
        <v>2733</v>
      </c>
      <c r="C1280" s="30" t="s">
        <v>124</v>
      </c>
      <c r="D1280" s="30" t="s">
        <v>69</v>
      </c>
    </row>
    <row r="1281" spans="1:4" ht="16">
      <c r="A1281" s="30" t="s">
        <v>2734</v>
      </c>
      <c r="B1281" s="30" t="s">
        <v>2735</v>
      </c>
      <c r="C1281" s="30" t="s">
        <v>59</v>
      </c>
      <c r="D1281" s="30" t="s">
        <v>82</v>
      </c>
    </row>
    <row r="1282" spans="1:4" ht="16">
      <c r="A1282" s="30" t="s">
        <v>2736</v>
      </c>
      <c r="B1282" s="30" t="s">
        <v>2737</v>
      </c>
      <c r="C1282" s="30" t="s">
        <v>134</v>
      </c>
      <c r="D1282" s="30" t="s">
        <v>62</v>
      </c>
    </row>
    <row r="1283" spans="1:4" ht="16">
      <c r="A1283" s="30" t="s">
        <v>2738</v>
      </c>
      <c r="B1283" s="30" t="s">
        <v>2739</v>
      </c>
      <c r="C1283" s="30" t="s">
        <v>61</v>
      </c>
      <c r="D1283" s="30" t="s">
        <v>69</v>
      </c>
    </row>
    <row r="1284" spans="1:4" ht="16">
      <c r="A1284" s="30" t="s">
        <v>2740</v>
      </c>
      <c r="B1284" s="30" t="s">
        <v>2741</v>
      </c>
      <c r="C1284" s="30" t="s">
        <v>61</v>
      </c>
      <c r="D1284" s="30" t="s">
        <v>260</v>
      </c>
    </row>
    <row r="1285" spans="1:4" ht="16">
      <c r="A1285" s="30" t="s">
        <v>2742</v>
      </c>
      <c r="B1285" s="30" t="s">
        <v>2743</v>
      </c>
      <c r="C1285" s="30" t="s">
        <v>65</v>
      </c>
      <c r="D1285" s="30" t="s">
        <v>66</v>
      </c>
    </row>
    <row r="1286" spans="1:4" ht="16">
      <c r="A1286" s="30" t="s">
        <v>2744</v>
      </c>
      <c r="B1286" s="30" t="s">
        <v>2745</v>
      </c>
      <c r="C1286" s="30" t="s">
        <v>141</v>
      </c>
      <c r="D1286" s="30" t="s">
        <v>82</v>
      </c>
    </row>
    <row r="1287" spans="1:4" ht="16">
      <c r="A1287" s="30" t="s">
        <v>2746</v>
      </c>
      <c r="B1287" s="30" t="s">
        <v>2747</v>
      </c>
      <c r="C1287" s="30" t="s">
        <v>65</v>
      </c>
      <c r="D1287" s="30" t="s">
        <v>160</v>
      </c>
    </row>
    <row r="1288" spans="1:4" ht="16">
      <c r="A1288" s="30" t="s">
        <v>2748</v>
      </c>
      <c r="B1288" s="30" t="s">
        <v>2749</v>
      </c>
      <c r="C1288" s="30" t="s">
        <v>65</v>
      </c>
      <c r="D1288" s="30" t="s">
        <v>66</v>
      </c>
    </row>
    <row r="1289" spans="1:4" ht="16">
      <c r="A1289" s="30" t="s">
        <v>2750</v>
      </c>
      <c r="B1289" s="30" t="s">
        <v>2751</v>
      </c>
      <c r="C1289" s="30" t="s">
        <v>59</v>
      </c>
      <c r="D1289" s="30" t="s">
        <v>82</v>
      </c>
    </row>
    <row r="1290" spans="1:4" ht="16">
      <c r="A1290" s="30" t="s">
        <v>2752</v>
      </c>
      <c r="B1290" s="30" t="s">
        <v>2753</v>
      </c>
      <c r="C1290" s="30" t="s">
        <v>134</v>
      </c>
      <c r="D1290" s="30" t="s">
        <v>171</v>
      </c>
    </row>
    <row r="1291" spans="1:4" ht="16">
      <c r="A1291" s="30" t="s">
        <v>2754</v>
      </c>
      <c r="B1291" s="30" t="s">
        <v>2755</v>
      </c>
      <c r="C1291" s="30" t="s">
        <v>61</v>
      </c>
      <c r="D1291" s="30" t="s">
        <v>562</v>
      </c>
    </row>
    <row r="1292" spans="1:4" ht="16">
      <c r="A1292" s="30" t="s">
        <v>2756</v>
      </c>
      <c r="B1292" s="30" t="s">
        <v>2757</v>
      </c>
      <c r="C1292" s="30" t="s">
        <v>257</v>
      </c>
      <c r="D1292" s="30" t="s">
        <v>232</v>
      </c>
    </row>
    <row r="1293" spans="1:4" ht="16">
      <c r="A1293" s="30" t="s">
        <v>2758</v>
      </c>
      <c r="B1293" s="30" t="s">
        <v>2759</v>
      </c>
      <c r="C1293" s="30" t="s">
        <v>452</v>
      </c>
      <c r="D1293" s="30" t="s">
        <v>69</v>
      </c>
    </row>
    <row r="1294" spans="1:4" ht="16">
      <c r="A1294" s="30" t="s">
        <v>2760</v>
      </c>
      <c r="B1294" s="30" t="s">
        <v>2761</v>
      </c>
      <c r="C1294" s="30" t="s">
        <v>81</v>
      </c>
      <c r="D1294" s="30" t="s">
        <v>82</v>
      </c>
    </row>
    <row r="1295" spans="1:4" ht="16">
      <c r="A1295" s="30" t="s">
        <v>2762</v>
      </c>
      <c r="B1295" s="30" t="s">
        <v>2763</v>
      </c>
      <c r="C1295" s="30" t="s">
        <v>257</v>
      </c>
      <c r="D1295" s="30" t="s">
        <v>232</v>
      </c>
    </row>
    <row r="1296" spans="1:4" ht="16">
      <c r="A1296" s="30" t="s">
        <v>2764</v>
      </c>
      <c r="B1296" s="30" t="s">
        <v>2765</v>
      </c>
      <c r="C1296" s="30" t="s">
        <v>124</v>
      </c>
      <c r="D1296" s="30" t="s">
        <v>69</v>
      </c>
    </row>
    <row r="1297" spans="1:4" ht="16">
      <c r="A1297" s="30" t="s">
        <v>2766</v>
      </c>
      <c r="B1297" s="30" t="s">
        <v>2767</v>
      </c>
      <c r="C1297" s="30" t="s">
        <v>61</v>
      </c>
      <c r="D1297" s="30" t="s">
        <v>232</v>
      </c>
    </row>
    <row r="1298" spans="1:4" ht="16">
      <c r="A1298" s="30" t="s">
        <v>2768</v>
      </c>
      <c r="B1298" s="30" t="s">
        <v>2769</v>
      </c>
      <c r="C1298" s="30" t="s">
        <v>257</v>
      </c>
      <c r="D1298" s="30" t="s">
        <v>322</v>
      </c>
    </row>
    <row r="1299" spans="1:4" ht="16">
      <c r="A1299" s="30" t="s">
        <v>2770</v>
      </c>
      <c r="B1299" s="30" t="s">
        <v>2771</v>
      </c>
      <c r="C1299" s="30" t="s">
        <v>65</v>
      </c>
      <c r="D1299" s="30" t="s">
        <v>66</v>
      </c>
    </row>
    <row r="1300" spans="1:4" ht="16">
      <c r="A1300" s="30" t="s">
        <v>2772</v>
      </c>
      <c r="B1300" s="30" t="s">
        <v>2773</v>
      </c>
      <c r="C1300" s="30" t="s">
        <v>61</v>
      </c>
      <c r="D1300" s="30" t="s">
        <v>232</v>
      </c>
    </row>
    <row r="1301" spans="1:4" ht="16">
      <c r="A1301" s="30" t="s">
        <v>2772</v>
      </c>
      <c r="B1301" s="30" t="s">
        <v>2773</v>
      </c>
      <c r="C1301" s="30" t="s">
        <v>61</v>
      </c>
      <c r="D1301" s="30" t="s">
        <v>62</v>
      </c>
    </row>
    <row r="1302" spans="1:4" ht="16">
      <c r="A1302" s="30" t="s">
        <v>2774</v>
      </c>
      <c r="B1302" s="30" t="s">
        <v>2775</v>
      </c>
      <c r="C1302" s="30" t="s">
        <v>61</v>
      </c>
      <c r="D1302" s="30" t="s">
        <v>86</v>
      </c>
    </row>
    <row r="1303" spans="1:4" ht="16">
      <c r="A1303" s="30" t="s">
        <v>2776</v>
      </c>
      <c r="B1303" s="30" t="s">
        <v>2777</v>
      </c>
      <c r="C1303" s="30" t="s">
        <v>85</v>
      </c>
      <c r="D1303" s="30" t="s">
        <v>62</v>
      </c>
    </row>
    <row r="1304" spans="1:4" ht="16">
      <c r="A1304" s="30" t="s">
        <v>2778</v>
      </c>
      <c r="B1304" s="30" t="s">
        <v>2779</v>
      </c>
      <c r="C1304" s="30" t="s">
        <v>59</v>
      </c>
      <c r="D1304" s="30" t="s">
        <v>82</v>
      </c>
    </row>
    <row r="1305" spans="1:4" ht="16">
      <c r="A1305" s="30" t="s">
        <v>2780</v>
      </c>
      <c r="B1305" s="30" t="s">
        <v>2781</v>
      </c>
      <c r="C1305" s="30" t="s">
        <v>215</v>
      </c>
      <c r="D1305" s="30" t="s">
        <v>148</v>
      </c>
    </row>
    <row r="1306" spans="1:4" ht="16">
      <c r="A1306" s="30" t="s">
        <v>2782</v>
      </c>
      <c r="B1306" s="30" t="s">
        <v>2783</v>
      </c>
      <c r="C1306" s="30" t="s">
        <v>81</v>
      </c>
      <c r="D1306" s="30" t="s">
        <v>82</v>
      </c>
    </row>
    <row r="1307" spans="1:4" ht="16">
      <c r="A1307" s="30" t="s">
        <v>2784</v>
      </c>
      <c r="B1307" s="30" t="s">
        <v>2785</v>
      </c>
      <c r="C1307" s="30" t="s">
        <v>61</v>
      </c>
      <c r="D1307" s="30" t="s">
        <v>69</v>
      </c>
    </row>
    <row r="1308" spans="1:4" ht="16">
      <c r="A1308" s="30" t="s">
        <v>2786</v>
      </c>
      <c r="B1308" s="30" t="s">
        <v>2787</v>
      </c>
      <c r="C1308" s="30" t="s">
        <v>59</v>
      </c>
      <c r="D1308" s="30" t="s">
        <v>82</v>
      </c>
    </row>
    <row r="1309" spans="1:4" ht="16">
      <c r="A1309" s="30" t="s">
        <v>2788</v>
      </c>
      <c r="B1309" s="30" t="s">
        <v>2789</v>
      </c>
      <c r="C1309" s="30" t="s">
        <v>81</v>
      </c>
      <c r="D1309" s="30" t="s">
        <v>82</v>
      </c>
    </row>
    <row r="1310" spans="1:4" ht="16">
      <c r="A1310" s="30" t="s">
        <v>2790</v>
      </c>
      <c r="B1310" s="30" t="s">
        <v>2791</v>
      </c>
      <c r="C1310" s="30" t="s">
        <v>59</v>
      </c>
      <c r="D1310" s="30" t="s">
        <v>82</v>
      </c>
    </row>
    <row r="1311" spans="1:4" ht="16">
      <c r="A1311" s="30" t="s">
        <v>2792</v>
      </c>
      <c r="B1311" s="30" t="s">
        <v>2793</v>
      </c>
      <c r="C1311" s="30" t="s">
        <v>978</v>
      </c>
      <c r="D1311" s="30" t="s">
        <v>82</v>
      </c>
    </row>
    <row r="1312" spans="1:4" ht="16">
      <c r="A1312" s="30" t="s">
        <v>2794</v>
      </c>
      <c r="B1312" s="30" t="s">
        <v>2795</v>
      </c>
      <c r="C1312" s="30" t="s">
        <v>61</v>
      </c>
      <c r="D1312" s="30" t="s">
        <v>128</v>
      </c>
    </row>
    <row r="1313" spans="1:4" ht="16">
      <c r="A1313" s="30" t="s">
        <v>2796</v>
      </c>
      <c r="B1313" s="30" t="s">
        <v>2797</v>
      </c>
      <c r="C1313" s="30" t="s">
        <v>61</v>
      </c>
      <c r="D1313" s="30" t="s">
        <v>148</v>
      </c>
    </row>
    <row r="1314" spans="1:4" ht="16">
      <c r="A1314" s="30" t="s">
        <v>2798</v>
      </c>
      <c r="B1314" s="30" t="s">
        <v>2799</v>
      </c>
      <c r="C1314" s="30" t="s">
        <v>176</v>
      </c>
      <c r="D1314" s="30" t="s">
        <v>177</v>
      </c>
    </row>
    <row r="1315" spans="1:4" ht="16">
      <c r="A1315" s="30" t="s">
        <v>2800</v>
      </c>
      <c r="B1315" s="30" t="s">
        <v>2801</v>
      </c>
      <c r="C1315" s="30" t="s">
        <v>134</v>
      </c>
      <c r="D1315" s="30" t="s">
        <v>69</v>
      </c>
    </row>
    <row r="1316" spans="1:4" ht="16">
      <c r="A1316" s="30" t="s">
        <v>2802</v>
      </c>
      <c r="B1316" s="30" t="s">
        <v>2803</v>
      </c>
      <c r="C1316" s="30" t="s">
        <v>582</v>
      </c>
      <c r="D1316" s="30" t="s">
        <v>69</v>
      </c>
    </row>
    <row r="1317" spans="1:4" ht="16">
      <c r="A1317" s="30" t="s">
        <v>2804</v>
      </c>
      <c r="B1317" s="30" t="s">
        <v>2805</v>
      </c>
      <c r="C1317" s="30" t="s">
        <v>81</v>
      </c>
      <c r="D1317" s="30" t="s">
        <v>82</v>
      </c>
    </row>
    <row r="1318" spans="1:4" ht="16">
      <c r="A1318" s="30" t="s">
        <v>2806</v>
      </c>
      <c r="B1318" s="30" t="s">
        <v>2807</v>
      </c>
      <c r="C1318" s="30" t="s">
        <v>151</v>
      </c>
      <c r="D1318" s="30" t="s">
        <v>2116</v>
      </c>
    </row>
    <row r="1319" spans="1:4" ht="16">
      <c r="A1319" s="30" t="s">
        <v>2808</v>
      </c>
      <c r="B1319" s="30" t="s">
        <v>2809</v>
      </c>
      <c r="C1319" s="30" t="s">
        <v>124</v>
      </c>
      <c r="D1319" s="30" t="s">
        <v>75</v>
      </c>
    </row>
    <row r="1320" spans="1:4" ht="16">
      <c r="A1320" s="30" t="s">
        <v>2810</v>
      </c>
      <c r="B1320" s="30" t="s">
        <v>2811</v>
      </c>
      <c r="C1320" s="30" t="s">
        <v>61</v>
      </c>
      <c r="D1320" s="30" t="s">
        <v>1490</v>
      </c>
    </row>
    <row r="1321" spans="1:4" ht="16">
      <c r="A1321" s="30" t="s">
        <v>2810</v>
      </c>
      <c r="B1321" s="30" t="s">
        <v>2811</v>
      </c>
      <c r="C1321" s="30" t="s">
        <v>61</v>
      </c>
      <c r="D1321" s="30" t="s">
        <v>62</v>
      </c>
    </row>
    <row r="1322" spans="1:4" ht="16">
      <c r="A1322" s="30" t="s">
        <v>2812</v>
      </c>
      <c r="B1322" s="30" t="s">
        <v>2813</v>
      </c>
      <c r="C1322" s="30" t="s">
        <v>401</v>
      </c>
      <c r="D1322" s="30" t="s">
        <v>82</v>
      </c>
    </row>
    <row r="1323" spans="1:4" ht="16">
      <c r="A1323" s="30" t="s">
        <v>2814</v>
      </c>
      <c r="B1323" s="30" t="s">
        <v>2815</v>
      </c>
      <c r="C1323" s="30" t="s">
        <v>61</v>
      </c>
      <c r="D1323" s="30" t="s">
        <v>62</v>
      </c>
    </row>
    <row r="1324" spans="1:4" ht="16">
      <c r="A1324" s="30" t="s">
        <v>2816</v>
      </c>
      <c r="B1324" s="30" t="s">
        <v>2817</v>
      </c>
      <c r="C1324" s="30" t="s">
        <v>176</v>
      </c>
      <c r="D1324" s="30" t="s">
        <v>177</v>
      </c>
    </row>
    <row r="1325" spans="1:4" ht="16">
      <c r="A1325" s="30" t="s">
        <v>2818</v>
      </c>
      <c r="B1325" s="30" t="s">
        <v>2819</v>
      </c>
      <c r="C1325" s="30" t="s">
        <v>151</v>
      </c>
      <c r="D1325" s="30" t="s">
        <v>75</v>
      </c>
    </row>
    <row r="1326" spans="1:4" ht="16">
      <c r="A1326" s="30" t="s">
        <v>2820</v>
      </c>
      <c r="B1326" s="30" t="s">
        <v>2821</v>
      </c>
      <c r="C1326" s="30" t="s">
        <v>215</v>
      </c>
      <c r="D1326" s="30" t="s">
        <v>103</v>
      </c>
    </row>
    <row r="1327" spans="1:4" ht="16">
      <c r="A1327" s="30" t="s">
        <v>2822</v>
      </c>
      <c r="B1327" s="30" t="s">
        <v>2823</v>
      </c>
      <c r="C1327" s="30" t="s">
        <v>61</v>
      </c>
      <c r="D1327" s="30" t="s">
        <v>125</v>
      </c>
    </row>
    <row r="1328" spans="1:4" ht="16">
      <c r="A1328" s="30" t="s">
        <v>2824</v>
      </c>
      <c r="B1328" s="30" t="s">
        <v>2825</v>
      </c>
      <c r="C1328" s="30" t="s">
        <v>61</v>
      </c>
      <c r="D1328" s="30" t="s">
        <v>69</v>
      </c>
    </row>
    <row r="1329" spans="1:4" ht="16">
      <c r="A1329" s="30" t="s">
        <v>2826</v>
      </c>
      <c r="B1329" s="30" t="s">
        <v>2827</v>
      </c>
      <c r="C1329" s="30" t="s">
        <v>257</v>
      </c>
      <c r="D1329" s="30" t="s">
        <v>232</v>
      </c>
    </row>
    <row r="1330" spans="1:4" ht="16">
      <c r="A1330" s="30" t="s">
        <v>2828</v>
      </c>
      <c r="B1330" s="30" t="s">
        <v>2829</v>
      </c>
      <c r="C1330" s="30" t="s">
        <v>2830</v>
      </c>
      <c r="D1330" s="30" t="s">
        <v>605</v>
      </c>
    </row>
    <row r="1331" spans="1:4" ht="16">
      <c r="A1331" s="30" t="s">
        <v>2831</v>
      </c>
      <c r="B1331" s="30" t="s">
        <v>2832</v>
      </c>
      <c r="C1331" s="30" t="s">
        <v>61</v>
      </c>
      <c r="D1331" s="30" t="s">
        <v>148</v>
      </c>
    </row>
    <row r="1332" spans="1:4" ht="16">
      <c r="A1332" s="30" t="s">
        <v>2833</v>
      </c>
      <c r="B1332" s="30" t="s">
        <v>2834</v>
      </c>
      <c r="C1332" s="30" t="s">
        <v>85</v>
      </c>
      <c r="D1332" s="30" t="s">
        <v>62</v>
      </c>
    </row>
    <row r="1333" spans="1:4" ht="16">
      <c r="A1333" s="30" t="s">
        <v>2835</v>
      </c>
      <c r="B1333" s="30" t="s">
        <v>2836</v>
      </c>
      <c r="C1333" s="30" t="s">
        <v>61</v>
      </c>
      <c r="D1333" s="30" t="s">
        <v>69</v>
      </c>
    </row>
    <row r="1334" spans="1:4" ht="16">
      <c r="A1334" s="30" t="s">
        <v>2837</v>
      </c>
      <c r="B1334" s="30" t="s">
        <v>2838</v>
      </c>
      <c r="C1334" s="30" t="s">
        <v>59</v>
      </c>
      <c r="D1334" s="30" t="s">
        <v>82</v>
      </c>
    </row>
    <row r="1335" spans="1:4" ht="16">
      <c r="A1335" s="30" t="s">
        <v>2839</v>
      </c>
      <c r="B1335" s="30" t="s">
        <v>2840</v>
      </c>
      <c r="C1335" s="30" t="s">
        <v>61</v>
      </c>
      <c r="D1335" s="30" t="s">
        <v>180</v>
      </c>
    </row>
    <row r="1336" spans="1:4" ht="16">
      <c r="A1336" s="30" t="s">
        <v>2841</v>
      </c>
      <c r="B1336" s="30" t="s">
        <v>2842</v>
      </c>
      <c r="C1336" s="30" t="s">
        <v>176</v>
      </c>
      <c r="D1336" s="30" t="s">
        <v>160</v>
      </c>
    </row>
    <row r="1337" spans="1:4" ht="16">
      <c r="A1337" s="30" t="s">
        <v>2843</v>
      </c>
      <c r="B1337" s="30" t="s">
        <v>2844</v>
      </c>
      <c r="C1337" s="30" t="s">
        <v>61</v>
      </c>
      <c r="D1337" s="30" t="s">
        <v>103</v>
      </c>
    </row>
    <row r="1338" spans="1:4" ht="16">
      <c r="A1338" s="30" t="s">
        <v>2845</v>
      </c>
      <c r="B1338" s="30" t="s">
        <v>2846</v>
      </c>
      <c r="C1338" s="30" t="s">
        <v>61</v>
      </c>
      <c r="D1338" s="30" t="s">
        <v>69</v>
      </c>
    </row>
    <row r="1339" spans="1:4" ht="16">
      <c r="A1339" s="30" t="s">
        <v>2847</v>
      </c>
      <c r="B1339" s="30" t="s">
        <v>2848</v>
      </c>
      <c r="C1339" s="30" t="s">
        <v>257</v>
      </c>
      <c r="D1339" s="30" t="s">
        <v>232</v>
      </c>
    </row>
    <row r="1340" spans="1:4" ht="16">
      <c r="A1340" s="30" t="s">
        <v>2849</v>
      </c>
      <c r="B1340" s="30" t="s">
        <v>2850</v>
      </c>
      <c r="C1340" s="30" t="s">
        <v>59</v>
      </c>
      <c r="D1340" s="30" t="s">
        <v>82</v>
      </c>
    </row>
    <row r="1341" spans="1:4" ht="16">
      <c r="A1341" s="30" t="s">
        <v>2849</v>
      </c>
      <c r="B1341" s="30" t="s">
        <v>2850</v>
      </c>
      <c r="C1341" s="30" t="s">
        <v>61</v>
      </c>
      <c r="D1341" s="30" t="s">
        <v>62</v>
      </c>
    </row>
    <row r="1342" spans="1:4" ht="16">
      <c r="A1342" s="30" t="s">
        <v>2851</v>
      </c>
      <c r="B1342" s="30" t="s">
        <v>2852</v>
      </c>
      <c r="C1342" s="30" t="s">
        <v>61</v>
      </c>
      <c r="D1342" s="30" t="s">
        <v>69</v>
      </c>
    </row>
    <row r="1343" spans="1:4" ht="16">
      <c r="A1343" s="30" t="s">
        <v>2853</v>
      </c>
      <c r="B1343" s="30" t="s">
        <v>2854</v>
      </c>
      <c r="C1343" s="30" t="s">
        <v>61</v>
      </c>
      <c r="D1343" s="30" t="s">
        <v>160</v>
      </c>
    </row>
    <row r="1344" spans="1:4" ht="16">
      <c r="A1344" s="30" t="s">
        <v>2855</v>
      </c>
      <c r="B1344" s="30" t="s">
        <v>2856</v>
      </c>
      <c r="C1344" s="30" t="s">
        <v>138</v>
      </c>
      <c r="D1344" s="30" t="s">
        <v>62</v>
      </c>
    </row>
    <row r="1345" spans="1:4" ht="16">
      <c r="A1345" s="30" t="s">
        <v>2857</v>
      </c>
      <c r="B1345" s="30" t="s">
        <v>2858</v>
      </c>
      <c r="C1345" s="30" t="s">
        <v>59</v>
      </c>
      <c r="D1345" s="30" t="s">
        <v>82</v>
      </c>
    </row>
    <row r="1346" spans="1:4" ht="16">
      <c r="A1346" s="30" t="s">
        <v>2859</v>
      </c>
      <c r="B1346" s="30" t="s">
        <v>2860</v>
      </c>
      <c r="C1346" s="30" t="s">
        <v>61</v>
      </c>
      <c r="D1346" s="30" t="s">
        <v>160</v>
      </c>
    </row>
    <row r="1347" spans="1:4" ht="16">
      <c r="A1347" s="30" t="s">
        <v>2861</v>
      </c>
      <c r="B1347" s="30" t="s">
        <v>2862</v>
      </c>
      <c r="C1347" s="30" t="s">
        <v>231</v>
      </c>
      <c r="D1347" s="30" t="s">
        <v>232</v>
      </c>
    </row>
    <row r="1348" spans="1:4" ht="16">
      <c r="A1348" s="30" t="s">
        <v>2863</v>
      </c>
      <c r="B1348" s="30" t="s">
        <v>2864</v>
      </c>
      <c r="C1348" s="30" t="s">
        <v>61</v>
      </c>
      <c r="D1348" s="30" t="s">
        <v>69</v>
      </c>
    </row>
    <row r="1349" spans="1:4" ht="16">
      <c r="A1349" s="30" t="s">
        <v>2865</v>
      </c>
      <c r="B1349" s="30" t="s">
        <v>2866</v>
      </c>
      <c r="C1349" s="30" t="s">
        <v>61</v>
      </c>
      <c r="D1349" s="30" t="s">
        <v>232</v>
      </c>
    </row>
    <row r="1350" spans="1:4" ht="16">
      <c r="A1350" s="30" t="s">
        <v>2867</v>
      </c>
      <c r="B1350" s="30" t="s">
        <v>2868</v>
      </c>
      <c r="C1350" s="30" t="s">
        <v>873</v>
      </c>
      <c r="D1350" s="30" t="s">
        <v>440</v>
      </c>
    </row>
    <row r="1351" spans="1:4" ht="16">
      <c r="A1351" s="30" t="s">
        <v>2869</v>
      </c>
      <c r="B1351" s="30" t="s">
        <v>2870</v>
      </c>
      <c r="C1351" s="30" t="s">
        <v>61</v>
      </c>
      <c r="D1351" s="30" t="s">
        <v>160</v>
      </c>
    </row>
    <row r="1352" spans="1:4" ht="16">
      <c r="A1352" s="30" t="s">
        <v>2871</v>
      </c>
      <c r="B1352" s="30" t="s">
        <v>2872</v>
      </c>
      <c r="C1352" s="30" t="s">
        <v>65</v>
      </c>
      <c r="D1352" s="30" t="s">
        <v>66</v>
      </c>
    </row>
    <row r="1353" spans="1:4" ht="16">
      <c r="A1353" s="30" t="s">
        <v>2873</v>
      </c>
      <c r="B1353" s="30" t="s">
        <v>2874</v>
      </c>
      <c r="C1353" s="30" t="s">
        <v>61</v>
      </c>
      <c r="D1353" s="30" t="s">
        <v>346</v>
      </c>
    </row>
    <row r="1354" spans="1:4" ht="16">
      <c r="A1354" s="30" t="s">
        <v>2875</v>
      </c>
      <c r="B1354" s="30" t="s">
        <v>2876</v>
      </c>
      <c r="C1354" s="30" t="s">
        <v>134</v>
      </c>
      <c r="D1354" s="30" t="s">
        <v>92</v>
      </c>
    </row>
    <row r="1355" spans="1:4" ht="16">
      <c r="A1355" s="30" t="s">
        <v>2877</v>
      </c>
      <c r="B1355" s="30" t="s">
        <v>2878</v>
      </c>
      <c r="C1355" s="30" t="s">
        <v>59</v>
      </c>
      <c r="D1355" s="30" t="s">
        <v>82</v>
      </c>
    </row>
    <row r="1356" spans="1:4" ht="16">
      <c r="A1356" s="30" t="s">
        <v>2879</v>
      </c>
      <c r="B1356" s="30" t="s">
        <v>2880</v>
      </c>
      <c r="C1356" s="30" t="s">
        <v>65</v>
      </c>
      <c r="D1356" s="30" t="s">
        <v>66</v>
      </c>
    </row>
    <row r="1357" spans="1:4" ht="16">
      <c r="A1357" s="30" t="s">
        <v>2881</v>
      </c>
      <c r="B1357" s="30" t="s">
        <v>2882</v>
      </c>
      <c r="C1357" s="30" t="s">
        <v>81</v>
      </c>
      <c r="D1357" s="30" t="s">
        <v>82</v>
      </c>
    </row>
    <row r="1358" spans="1:4" ht="16">
      <c r="A1358" s="30" t="s">
        <v>2883</v>
      </c>
      <c r="B1358" s="30" t="s">
        <v>2884</v>
      </c>
      <c r="C1358" s="30" t="s">
        <v>257</v>
      </c>
      <c r="D1358" s="30" t="s">
        <v>160</v>
      </c>
    </row>
    <row r="1359" spans="1:4" ht="16">
      <c r="A1359" s="30" t="s">
        <v>2885</v>
      </c>
      <c r="B1359" s="30" t="s">
        <v>2886</v>
      </c>
      <c r="C1359" s="30" t="s">
        <v>1285</v>
      </c>
      <c r="D1359" s="30" t="s">
        <v>177</v>
      </c>
    </row>
    <row r="1360" spans="1:4" ht="16">
      <c r="A1360" s="30" t="s">
        <v>2887</v>
      </c>
      <c r="B1360" s="30" t="s">
        <v>2888</v>
      </c>
      <c r="C1360" s="30" t="s">
        <v>176</v>
      </c>
      <c r="D1360" s="30" t="s">
        <v>171</v>
      </c>
    </row>
    <row r="1361" spans="1:4" ht="16">
      <c r="A1361" s="30" t="s">
        <v>2889</v>
      </c>
      <c r="B1361" s="30" t="s">
        <v>2890</v>
      </c>
      <c r="C1361" s="30" t="s">
        <v>176</v>
      </c>
      <c r="D1361" s="30" t="s">
        <v>69</v>
      </c>
    </row>
    <row r="1362" spans="1:4" ht="16">
      <c r="A1362" s="30" t="s">
        <v>2891</v>
      </c>
      <c r="B1362" s="30" t="s">
        <v>2892</v>
      </c>
      <c r="C1362" s="30" t="s">
        <v>59</v>
      </c>
      <c r="D1362" s="30" t="s">
        <v>82</v>
      </c>
    </row>
    <row r="1363" spans="1:4" ht="16">
      <c r="A1363" s="30" t="s">
        <v>2893</v>
      </c>
      <c r="B1363" s="30" t="s">
        <v>2894</v>
      </c>
      <c r="C1363" s="30" t="s">
        <v>516</v>
      </c>
      <c r="D1363" s="30" t="s">
        <v>171</v>
      </c>
    </row>
    <row r="1364" spans="1:4" ht="16">
      <c r="A1364" s="30" t="s">
        <v>2895</v>
      </c>
      <c r="B1364" s="30" t="s">
        <v>2896</v>
      </c>
      <c r="C1364" s="30" t="s">
        <v>65</v>
      </c>
      <c r="D1364" s="30" t="s">
        <v>69</v>
      </c>
    </row>
    <row r="1365" spans="1:4" ht="16">
      <c r="A1365" s="30" t="s">
        <v>2897</v>
      </c>
      <c r="B1365" s="30" t="s">
        <v>2898</v>
      </c>
      <c r="C1365" s="30" t="s">
        <v>61</v>
      </c>
      <c r="D1365" s="30" t="s">
        <v>128</v>
      </c>
    </row>
    <row r="1366" spans="1:4" ht="16">
      <c r="A1366" s="30" t="s">
        <v>2899</v>
      </c>
      <c r="B1366" s="30" t="s">
        <v>2900</v>
      </c>
      <c r="C1366" s="30" t="s">
        <v>81</v>
      </c>
      <c r="D1366" s="30" t="s">
        <v>82</v>
      </c>
    </row>
    <row r="1367" spans="1:4" ht="16">
      <c r="A1367" s="30" t="s">
        <v>2901</v>
      </c>
      <c r="B1367" s="30" t="s">
        <v>2902</v>
      </c>
      <c r="C1367" s="30" t="s">
        <v>124</v>
      </c>
      <c r="D1367" s="30" t="s">
        <v>210</v>
      </c>
    </row>
    <row r="1368" spans="1:4" ht="16">
      <c r="A1368" s="30" t="s">
        <v>2903</v>
      </c>
      <c r="B1368" s="30" t="s">
        <v>2904</v>
      </c>
      <c r="C1368" s="30" t="s">
        <v>61</v>
      </c>
      <c r="D1368" s="30" t="s">
        <v>75</v>
      </c>
    </row>
    <row r="1369" spans="1:4" ht="16">
      <c r="A1369" s="30" t="s">
        <v>2905</v>
      </c>
      <c r="B1369" s="30" t="s">
        <v>2906</v>
      </c>
      <c r="C1369" s="30" t="s">
        <v>61</v>
      </c>
      <c r="D1369" s="30" t="s">
        <v>103</v>
      </c>
    </row>
    <row r="1370" spans="1:4" ht="16">
      <c r="A1370" s="30" t="s">
        <v>2907</v>
      </c>
      <c r="B1370" s="30" t="s">
        <v>2908</v>
      </c>
      <c r="C1370" s="30" t="s">
        <v>61</v>
      </c>
      <c r="D1370" s="30" t="s">
        <v>404</v>
      </c>
    </row>
    <row r="1371" spans="1:4" ht="16">
      <c r="A1371" s="30" t="s">
        <v>2909</v>
      </c>
      <c r="B1371" s="30" t="s">
        <v>2910</v>
      </c>
      <c r="C1371" s="30" t="s">
        <v>65</v>
      </c>
      <c r="D1371" s="30" t="s">
        <v>66</v>
      </c>
    </row>
    <row r="1372" spans="1:4" ht="16">
      <c r="A1372" s="30" t="s">
        <v>2911</v>
      </c>
      <c r="B1372" s="30" t="s">
        <v>2912</v>
      </c>
      <c r="C1372" s="30" t="s">
        <v>176</v>
      </c>
      <c r="D1372" s="30" t="s">
        <v>171</v>
      </c>
    </row>
    <row r="1373" spans="1:4" ht="16">
      <c r="A1373" s="30" t="s">
        <v>2913</v>
      </c>
      <c r="B1373" s="30" t="s">
        <v>2914</v>
      </c>
      <c r="C1373" s="30" t="s">
        <v>1260</v>
      </c>
      <c r="D1373" s="30" t="s">
        <v>62</v>
      </c>
    </row>
    <row r="1374" spans="1:4" ht="16">
      <c r="A1374" s="30" t="s">
        <v>2915</v>
      </c>
      <c r="B1374" s="30" t="s">
        <v>2916</v>
      </c>
      <c r="C1374" s="30" t="s">
        <v>176</v>
      </c>
      <c r="D1374" s="30" t="s">
        <v>171</v>
      </c>
    </row>
    <row r="1375" spans="1:4" ht="16">
      <c r="A1375" s="30" t="s">
        <v>2917</v>
      </c>
      <c r="B1375" s="30" t="s">
        <v>2918</v>
      </c>
      <c r="C1375" s="30" t="s">
        <v>608</v>
      </c>
      <c r="D1375" s="30" t="s">
        <v>82</v>
      </c>
    </row>
    <row r="1376" spans="1:4" ht="16">
      <c r="A1376" s="30" t="s">
        <v>2919</v>
      </c>
      <c r="B1376" s="30" t="s">
        <v>2920</v>
      </c>
      <c r="C1376" s="30" t="s">
        <v>619</v>
      </c>
      <c r="D1376" s="30" t="s">
        <v>840</v>
      </c>
    </row>
    <row r="1377" spans="1:4" ht="16">
      <c r="A1377" s="30" t="s">
        <v>2921</v>
      </c>
      <c r="B1377" s="30" t="s">
        <v>2922</v>
      </c>
      <c r="C1377" s="30" t="s">
        <v>65</v>
      </c>
      <c r="D1377" s="30" t="s">
        <v>160</v>
      </c>
    </row>
    <row r="1378" spans="1:4" ht="16">
      <c r="A1378" s="30" t="s">
        <v>2923</v>
      </c>
      <c r="B1378" s="30" t="s">
        <v>2924</v>
      </c>
      <c r="C1378" s="30" t="s">
        <v>176</v>
      </c>
      <c r="D1378" s="30" t="s">
        <v>86</v>
      </c>
    </row>
    <row r="1379" spans="1:4" ht="16">
      <c r="A1379" s="30" t="s">
        <v>2925</v>
      </c>
      <c r="B1379" s="30" t="s">
        <v>2926</v>
      </c>
      <c r="C1379" s="30" t="s">
        <v>65</v>
      </c>
      <c r="D1379" s="30" t="s">
        <v>66</v>
      </c>
    </row>
    <row r="1380" spans="1:4" ht="16">
      <c r="A1380" s="30" t="s">
        <v>2927</v>
      </c>
      <c r="B1380" s="30" t="s">
        <v>2928</v>
      </c>
      <c r="C1380" s="30" t="s">
        <v>257</v>
      </c>
      <c r="D1380" s="30" t="s">
        <v>1345</v>
      </c>
    </row>
    <row r="1381" spans="1:4" ht="16">
      <c r="A1381" s="30" t="s">
        <v>2929</v>
      </c>
      <c r="B1381" s="30" t="s">
        <v>2930</v>
      </c>
      <c r="C1381" s="30" t="s">
        <v>2931</v>
      </c>
      <c r="D1381" s="30" t="s">
        <v>605</v>
      </c>
    </row>
    <row r="1382" spans="1:4" ht="16">
      <c r="A1382" s="30" t="s">
        <v>2932</v>
      </c>
      <c r="B1382" s="30" t="s">
        <v>2933</v>
      </c>
      <c r="C1382" s="30" t="s">
        <v>59</v>
      </c>
      <c r="D1382" s="30" t="s">
        <v>82</v>
      </c>
    </row>
    <row r="1383" spans="1:4" ht="16">
      <c r="A1383" s="30" t="s">
        <v>2934</v>
      </c>
      <c r="B1383" s="30" t="s">
        <v>2935</v>
      </c>
      <c r="C1383" s="30" t="s">
        <v>59</v>
      </c>
      <c r="D1383" s="30" t="s">
        <v>82</v>
      </c>
    </row>
    <row r="1384" spans="1:4" ht="16">
      <c r="A1384" s="30" t="s">
        <v>2936</v>
      </c>
      <c r="B1384" s="30" t="s">
        <v>2937</v>
      </c>
      <c r="C1384" s="30" t="s">
        <v>873</v>
      </c>
      <c r="D1384" s="30" t="s">
        <v>440</v>
      </c>
    </row>
    <row r="1385" spans="1:4" ht="16">
      <c r="A1385" s="30" t="s">
        <v>2938</v>
      </c>
      <c r="B1385" s="30" t="s">
        <v>2939</v>
      </c>
      <c r="C1385" s="30" t="s">
        <v>65</v>
      </c>
      <c r="D1385" s="30" t="s">
        <v>232</v>
      </c>
    </row>
    <row r="1386" spans="1:4" ht="16">
      <c r="A1386" s="30" t="s">
        <v>2940</v>
      </c>
      <c r="B1386" s="30" t="s">
        <v>2941</v>
      </c>
      <c r="C1386" s="30" t="s">
        <v>65</v>
      </c>
      <c r="D1386" s="30" t="s">
        <v>232</v>
      </c>
    </row>
    <row r="1387" spans="1:4" ht="16">
      <c r="A1387" s="30" t="s">
        <v>2942</v>
      </c>
      <c r="B1387" s="30" t="s">
        <v>2943</v>
      </c>
      <c r="C1387" s="30" t="s">
        <v>604</v>
      </c>
      <c r="D1387" s="30" t="s">
        <v>800</v>
      </c>
    </row>
    <row r="1388" spans="1:4" ht="16">
      <c r="A1388" s="30" t="s">
        <v>2944</v>
      </c>
      <c r="B1388" s="30" t="s">
        <v>2945</v>
      </c>
      <c r="C1388" s="30" t="s">
        <v>978</v>
      </c>
      <c r="D1388" s="30" t="s">
        <v>879</v>
      </c>
    </row>
    <row r="1389" spans="1:4" ht="16">
      <c r="A1389" s="30" t="s">
        <v>2946</v>
      </c>
      <c r="B1389" s="30" t="s">
        <v>2947</v>
      </c>
      <c r="C1389" s="30" t="s">
        <v>61</v>
      </c>
      <c r="D1389" s="30" t="s">
        <v>840</v>
      </c>
    </row>
    <row r="1390" spans="1:4" ht="16">
      <c r="A1390" s="30" t="s">
        <v>2948</v>
      </c>
      <c r="B1390" s="30" t="s">
        <v>2949</v>
      </c>
      <c r="C1390" s="30" t="s">
        <v>368</v>
      </c>
      <c r="D1390" s="30" t="s">
        <v>369</v>
      </c>
    </row>
    <row r="1391" spans="1:4" ht="16">
      <c r="A1391" s="30" t="s">
        <v>2950</v>
      </c>
      <c r="B1391" s="30" t="s">
        <v>2951</v>
      </c>
      <c r="C1391" s="30" t="s">
        <v>100</v>
      </c>
      <c r="D1391" s="30" t="s">
        <v>75</v>
      </c>
    </row>
    <row r="1392" spans="1:4" ht="16">
      <c r="A1392" s="30" t="s">
        <v>2952</v>
      </c>
      <c r="B1392" s="30" t="s">
        <v>2953</v>
      </c>
      <c r="C1392" s="30" t="s">
        <v>61</v>
      </c>
      <c r="D1392" s="30" t="s">
        <v>232</v>
      </c>
    </row>
    <row r="1393" spans="1:4" ht="16">
      <c r="A1393" s="30" t="s">
        <v>2954</v>
      </c>
      <c r="B1393" s="30" t="s">
        <v>2955</v>
      </c>
      <c r="C1393" s="30" t="s">
        <v>257</v>
      </c>
      <c r="D1393" s="30" t="s">
        <v>232</v>
      </c>
    </row>
    <row r="1394" spans="1:4" ht="16">
      <c r="A1394" s="30" t="s">
        <v>2956</v>
      </c>
      <c r="B1394" s="30" t="s">
        <v>2957</v>
      </c>
      <c r="C1394" s="30" t="s">
        <v>59</v>
      </c>
      <c r="D1394" s="30" t="s">
        <v>82</v>
      </c>
    </row>
    <row r="1395" spans="1:4" ht="16">
      <c r="A1395" s="30" t="s">
        <v>2958</v>
      </c>
      <c r="B1395" s="30" t="s">
        <v>2959</v>
      </c>
      <c r="C1395" s="30" t="s">
        <v>59</v>
      </c>
      <c r="D1395" s="30" t="s">
        <v>82</v>
      </c>
    </row>
    <row r="1396" spans="1:4" ht="16">
      <c r="A1396" s="30" t="s">
        <v>2960</v>
      </c>
      <c r="B1396" s="30" t="s">
        <v>2961</v>
      </c>
      <c r="C1396" s="30" t="s">
        <v>61</v>
      </c>
      <c r="D1396" s="30" t="s">
        <v>1034</v>
      </c>
    </row>
    <row r="1397" spans="1:4" ht="16">
      <c r="A1397" s="30" t="s">
        <v>2962</v>
      </c>
      <c r="B1397" s="30" t="s">
        <v>2963</v>
      </c>
      <c r="C1397" s="30" t="s">
        <v>2964</v>
      </c>
      <c r="D1397" s="30" t="s">
        <v>605</v>
      </c>
    </row>
    <row r="1398" spans="1:4" ht="16">
      <c r="A1398" s="30" t="s">
        <v>2965</v>
      </c>
      <c r="B1398" s="30" t="s">
        <v>2966</v>
      </c>
      <c r="C1398" s="30" t="s">
        <v>61</v>
      </c>
      <c r="D1398" s="30" t="s">
        <v>180</v>
      </c>
    </row>
    <row r="1399" spans="1:4" ht="16">
      <c r="A1399" s="30" t="s">
        <v>2967</v>
      </c>
      <c r="B1399" s="30" t="s">
        <v>2968</v>
      </c>
      <c r="C1399" s="30" t="s">
        <v>61</v>
      </c>
      <c r="D1399" s="30" t="s">
        <v>232</v>
      </c>
    </row>
    <row r="1400" spans="1:4" ht="16">
      <c r="A1400" s="30" t="s">
        <v>2969</v>
      </c>
      <c r="B1400" s="30" t="s">
        <v>2970</v>
      </c>
      <c r="C1400" s="30" t="s">
        <v>134</v>
      </c>
      <c r="D1400" s="30" t="s">
        <v>82</v>
      </c>
    </row>
    <row r="1401" spans="1:4" ht="16">
      <c r="A1401" s="30" t="s">
        <v>2971</v>
      </c>
      <c r="B1401" s="30" t="s">
        <v>2972</v>
      </c>
      <c r="C1401" s="30" t="s">
        <v>257</v>
      </c>
      <c r="D1401" s="30" t="s">
        <v>232</v>
      </c>
    </row>
    <row r="1402" spans="1:4" ht="16">
      <c r="A1402" s="30" t="s">
        <v>2973</v>
      </c>
      <c r="B1402" s="30" t="s">
        <v>2974</v>
      </c>
      <c r="C1402" s="30" t="s">
        <v>2975</v>
      </c>
      <c r="D1402" s="30" t="s">
        <v>160</v>
      </c>
    </row>
    <row r="1403" spans="1:4" ht="16">
      <c r="A1403" s="30" t="s">
        <v>2976</v>
      </c>
      <c r="B1403" s="30" t="s">
        <v>2977</v>
      </c>
      <c r="C1403" s="30" t="s">
        <v>61</v>
      </c>
      <c r="D1403" s="30" t="s">
        <v>62</v>
      </c>
    </row>
    <row r="1404" spans="1:4" ht="16">
      <c r="A1404" s="30" t="s">
        <v>2978</v>
      </c>
      <c r="B1404" s="30" t="s">
        <v>2979</v>
      </c>
      <c r="C1404" s="30" t="s">
        <v>59</v>
      </c>
      <c r="D1404" s="30" t="s">
        <v>82</v>
      </c>
    </row>
    <row r="1405" spans="1:4" ht="16">
      <c r="A1405" s="30" t="s">
        <v>2980</v>
      </c>
      <c r="B1405" s="30" t="s">
        <v>2981</v>
      </c>
      <c r="C1405" s="30" t="s">
        <v>59</v>
      </c>
      <c r="D1405" s="30" t="s">
        <v>82</v>
      </c>
    </row>
    <row r="1406" spans="1:4" ht="16">
      <c r="A1406" s="30" t="s">
        <v>2982</v>
      </c>
      <c r="B1406" s="30" t="s">
        <v>2983</v>
      </c>
      <c r="C1406" s="30" t="s">
        <v>2984</v>
      </c>
      <c r="D1406" s="30" t="s">
        <v>171</v>
      </c>
    </row>
    <row r="1407" spans="1:4" ht="16">
      <c r="A1407" s="30" t="s">
        <v>2985</v>
      </c>
      <c r="B1407" s="30" t="s">
        <v>2986</v>
      </c>
      <c r="C1407" s="30" t="s">
        <v>61</v>
      </c>
      <c r="D1407" s="30" t="s">
        <v>160</v>
      </c>
    </row>
    <row r="1408" spans="1:4" ht="16">
      <c r="A1408" s="30" t="s">
        <v>2987</v>
      </c>
      <c r="B1408" s="30" t="s">
        <v>2988</v>
      </c>
      <c r="C1408" s="30" t="s">
        <v>59</v>
      </c>
      <c r="D1408" s="30" t="s">
        <v>82</v>
      </c>
    </row>
    <row r="1409" spans="1:4" ht="16">
      <c r="A1409" s="30" t="s">
        <v>2989</v>
      </c>
      <c r="B1409" s="30" t="s">
        <v>2990</v>
      </c>
      <c r="C1409" s="30" t="s">
        <v>141</v>
      </c>
      <c r="D1409" s="30" t="s">
        <v>82</v>
      </c>
    </row>
    <row r="1410" spans="1:4" ht="16">
      <c r="A1410" s="30" t="s">
        <v>2991</v>
      </c>
      <c r="B1410" s="30" t="s">
        <v>2992</v>
      </c>
      <c r="C1410" s="30" t="s">
        <v>61</v>
      </c>
      <c r="D1410" s="30" t="s">
        <v>152</v>
      </c>
    </row>
    <row r="1411" spans="1:4" ht="16">
      <c r="A1411" s="30" t="s">
        <v>2993</v>
      </c>
      <c r="B1411" s="30" t="s">
        <v>2994</v>
      </c>
      <c r="C1411" s="30" t="s">
        <v>61</v>
      </c>
      <c r="D1411" s="30" t="s">
        <v>69</v>
      </c>
    </row>
    <row r="1412" spans="1:4" ht="16">
      <c r="A1412" s="30" t="s">
        <v>2995</v>
      </c>
      <c r="B1412" s="30" t="s">
        <v>2996</v>
      </c>
      <c r="C1412" s="30" t="s">
        <v>61</v>
      </c>
      <c r="D1412" s="30" t="s">
        <v>103</v>
      </c>
    </row>
    <row r="1413" spans="1:4" ht="16">
      <c r="A1413" s="30" t="s">
        <v>2997</v>
      </c>
      <c r="B1413" s="30" t="s">
        <v>2998</v>
      </c>
      <c r="C1413" s="30" t="s">
        <v>61</v>
      </c>
      <c r="D1413" s="30" t="s">
        <v>1490</v>
      </c>
    </row>
    <row r="1414" spans="1:4" ht="16">
      <c r="A1414" s="30" t="s">
        <v>2999</v>
      </c>
      <c r="B1414" s="30" t="s">
        <v>3000</v>
      </c>
      <c r="C1414" s="30" t="s">
        <v>516</v>
      </c>
      <c r="D1414" s="30" t="s">
        <v>171</v>
      </c>
    </row>
    <row r="1415" spans="1:4" ht="16">
      <c r="A1415" s="30" t="s">
        <v>3001</v>
      </c>
      <c r="B1415" s="30" t="s">
        <v>3002</v>
      </c>
      <c r="C1415" s="30" t="s">
        <v>124</v>
      </c>
      <c r="D1415" s="30" t="s">
        <v>75</v>
      </c>
    </row>
    <row r="1416" spans="1:4" ht="16">
      <c r="A1416" s="30" t="s">
        <v>3003</v>
      </c>
      <c r="B1416" s="30" t="s">
        <v>3004</v>
      </c>
      <c r="C1416" s="30" t="s">
        <v>141</v>
      </c>
      <c r="D1416" s="30" t="s">
        <v>82</v>
      </c>
    </row>
    <row r="1417" spans="1:4" ht="16">
      <c r="A1417" s="30" t="s">
        <v>3005</v>
      </c>
      <c r="B1417" s="30" t="s">
        <v>3006</v>
      </c>
      <c r="C1417" s="30" t="s">
        <v>61</v>
      </c>
      <c r="D1417" s="30" t="s">
        <v>346</v>
      </c>
    </row>
    <row r="1418" spans="1:4" ht="16">
      <c r="A1418" s="30" t="s">
        <v>3007</v>
      </c>
      <c r="B1418" s="30" t="s">
        <v>3008</v>
      </c>
      <c r="C1418" s="30" t="s">
        <v>61</v>
      </c>
      <c r="D1418" s="30" t="s">
        <v>160</v>
      </c>
    </row>
    <row r="1419" spans="1:4" ht="16">
      <c r="A1419" s="30" t="s">
        <v>3009</v>
      </c>
      <c r="B1419" s="30" t="s">
        <v>3010</v>
      </c>
      <c r="C1419" s="30" t="s">
        <v>1180</v>
      </c>
      <c r="D1419" s="30" t="s">
        <v>75</v>
      </c>
    </row>
    <row r="1420" spans="1:4" ht="16">
      <c r="A1420" s="30" t="s">
        <v>3011</v>
      </c>
      <c r="B1420" s="30" t="s">
        <v>3012</v>
      </c>
      <c r="C1420" s="30" t="s">
        <v>65</v>
      </c>
      <c r="D1420" s="30" t="s">
        <v>994</v>
      </c>
    </row>
    <row r="1421" spans="1:4" ht="16">
      <c r="A1421" s="30" t="s">
        <v>3013</v>
      </c>
      <c r="B1421" s="30" t="s">
        <v>3014</v>
      </c>
      <c r="C1421" s="30" t="s">
        <v>61</v>
      </c>
      <c r="D1421" s="30" t="s">
        <v>66</v>
      </c>
    </row>
    <row r="1422" spans="1:4" ht="16">
      <c r="A1422" s="30" t="s">
        <v>3015</v>
      </c>
      <c r="B1422" s="30" t="s">
        <v>3016</v>
      </c>
      <c r="C1422" s="30" t="s">
        <v>61</v>
      </c>
      <c r="D1422" s="30" t="s">
        <v>86</v>
      </c>
    </row>
    <row r="1423" spans="1:4" ht="16">
      <c r="A1423" s="30" t="s">
        <v>3017</v>
      </c>
      <c r="B1423" s="30" t="s">
        <v>3018</v>
      </c>
      <c r="C1423" s="30" t="s">
        <v>176</v>
      </c>
      <c r="D1423" s="30" t="s">
        <v>171</v>
      </c>
    </row>
    <row r="1424" spans="1:4" ht="16">
      <c r="A1424" s="30" t="s">
        <v>3019</v>
      </c>
      <c r="B1424" s="30" t="s">
        <v>3020</v>
      </c>
      <c r="C1424" s="30" t="s">
        <v>61</v>
      </c>
      <c r="D1424" s="30" t="s">
        <v>185</v>
      </c>
    </row>
    <row r="1425" spans="1:4" ht="16">
      <c r="A1425" s="30" t="s">
        <v>3021</v>
      </c>
      <c r="B1425" s="30" t="s">
        <v>3022</v>
      </c>
      <c r="C1425" s="30" t="s">
        <v>257</v>
      </c>
      <c r="D1425" s="30" t="s">
        <v>232</v>
      </c>
    </row>
    <row r="1426" spans="1:4" ht="16">
      <c r="A1426" s="30" t="s">
        <v>3023</v>
      </c>
      <c r="B1426" s="30" t="s">
        <v>3024</v>
      </c>
      <c r="C1426" s="30" t="s">
        <v>61</v>
      </c>
      <c r="D1426" s="30" t="s">
        <v>62</v>
      </c>
    </row>
    <row r="1427" spans="1:4" ht="16">
      <c r="A1427" s="30" t="s">
        <v>3025</v>
      </c>
      <c r="B1427" s="30" t="s">
        <v>3026</v>
      </c>
      <c r="C1427" s="30" t="s">
        <v>61</v>
      </c>
      <c r="D1427" s="30" t="s">
        <v>228</v>
      </c>
    </row>
    <row r="1428" spans="1:4" ht="16">
      <c r="A1428" s="30" t="s">
        <v>3027</v>
      </c>
      <c r="B1428" s="30" t="s">
        <v>3028</v>
      </c>
      <c r="C1428" s="30" t="s">
        <v>141</v>
      </c>
      <c r="D1428" s="30" t="s">
        <v>82</v>
      </c>
    </row>
    <row r="1429" spans="1:4" ht="16">
      <c r="A1429" s="30" t="s">
        <v>3029</v>
      </c>
      <c r="B1429" s="30" t="s">
        <v>3030</v>
      </c>
      <c r="C1429" s="30" t="s">
        <v>3031</v>
      </c>
      <c r="D1429" s="30" t="s">
        <v>62</v>
      </c>
    </row>
    <row r="1430" spans="1:4" ht="16">
      <c r="A1430" s="30" t="s">
        <v>3032</v>
      </c>
      <c r="B1430" s="30" t="s">
        <v>3033</v>
      </c>
      <c r="C1430" s="30" t="s">
        <v>134</v>
      </c>
      <c r="D1430" s="30" t="s">
        <v>82</v>
      </c>
    </row>
    <row r="1431" spans="1:4" ht="16">
      <c r="A1431" s="30" t="s">
        <v>3034</v>
      </c>
      <c r="B1431" s="30" t="s">
        <v>3035</v>
      </c>
      <c r="C1431" s="30" t="s">
        <v>65</v>
      </c>
      <c r="D1431" s="30" t="s">
        <v>69</v>
      </c>
    </row>
    <row r="1432" spans="1:4" ht="16">
      <c r="A1432" s="30" t="s">
        <v>3036</v>
      </c>
      <c r="B1432" s="30" t="s">
        <v>3037</v>
      </c>
      <c r="C1432" s="30" t="s">
        <v>231</v>
      </c>
      <c r="D1432" s="30" t="s">
        <v>341</v>
      </c>
    </row>
    <row r="1433" spans="1:4" ht="16">
      <c r="A1433" s="30" t="s">
        <v>3038</v>
      </c>
      <c r="B1433" s="30" t="s">
        <v>3039</v>
      </c>
      <c r="C1433" s="30" t="s">
        <v>138</v>
      </c>
      <c r="D1433" s="30" t="s">
        <v>171</v>
      </c>
    </row>
    <row r="1434" spans="1:4" ht="16">
      <c r="A1434" s="30" t="s">
        <v>3040</v>
      </c>
      <c r="B1434" s="30" t="s">
        <v>3041</v>
      </c>
      <c r="C1434" s="30" t="s">
        <v>85</v>
      </c>
      <c r="D1434" s="30" t="s">
        <v>69</v>
      </c>
    </row>
    <row r="1435" spans="1:4" ht="16">
      <c r="A1435" s="30" t="s">
        <v>3042</v>
      </c>
      <c r="B1435" s="30" t="s">
        <v>3043</v>
      </c>
      <c r="C1435" s="30" t="s">
        <v>61</v>
      </c>
      <c r="D1435" s="30" t="s">
        <v>89</v>
      </c>
    </row>
    <row r="1436" spans="1:4" ht="16">
      <c r="A1436" s="30" t="s">
        <v>3044</v>
      </c>
      <c r="B1436" s="30" t="s">
        <v>3045</v>
      </c>
      <c r="C1436" s="30" t="s">
        <v>61</v>
      </c>
      <c r="D1436" s="30" t="s">
        <v>896</v>
      </c>
    </row>
    <row r="1437" spans="1:4" ht="16">
      <c r="A1437" s="30" t="s">
        <v>3046</v>
      </c>
      <c r="B1437" s="30" t="s">
        <v>3047</v>
      </c>
      <c r="C1437" s="30" t="s">
        <v>61</v>
      </c>
      <c r="D1437" s="30" t="s">
        <v>62</v>
      </c>
    </row>
    <row r="1438" spans="1:4" ht="16">
      <c r="A1438" s="30" t="s">
        <v>3048</v>
      </c>
      <c r="B1438" s="30" t="s">
        <v>3049</v>
      </c>
      <c r="C1438" s="30" t="s">
        <v>59</v>
      </c>
      <c r="D1438" s="30" t="s">
        <v>82</v>
      </c>
    </row>
    <row r="1439" spans="1:4" ht="16">
      <c r="A1439" s="30" t="s">
        <v>3050</v>
      </c>
      <c r="B1439" s="30" t="s">
        <v>3051</v>
      </c>
      <c r="C1439" s="30" t="s">
        <v>61</v>
      </c>
      <c r="D1439" s="30" t="s">
        <v>232</v>
      </c>
    </row>
    <row r="1440" spans="1:4" ht="16">
      <c r="A1440" s="30" t="s">
        <v>3052</v>
      </c>
      <c r="B1440" s="30" t="s">
        <v>3053</v>
      </c>
      <c r="C1440" s="30" t="s">
        <v>61</v>
      </c>
      <c r="D1440" s="30" t="s">
        <v>69</v>
      </c>
    </row>
    <row r="1441" spans="1:4" ht="16">
      <c r="A1441" s="30" t="s">
        <v>3054</v>
      </c>
      <c r="B1441" s="30" t="s">
        <v>3055</v>
      </c>
      <c r="C1441" s="30" t="s">
        <v>61</v>
      </c>
      <c r="D1441" s="30" t="s">
        <v>125</v>
      </c>
    </row>
    <row r="1442" spans="1:4" ht="16">
      <c r="A1442" s="30" t="s">
        <v>3056</v>
      </c>
      <c r="B1442" s="30" t="s">
        <v>3057</v>
      </c>
      <c r="C1442" s="30" t="s">
        <v>59</v>
      </c>
      <c r="D1442" s="30" t="s">
        <v>82</v>
      </c>
    </row>
    <row r="1443" spans="1:4" ht="16">
      <c r="A1443" s="30" t="s">
        <v>3058</v>
      </c>
      <c r="B1443" s="30" t="s">
        <v>3059</v>
      </c>
      <c r="C1443" s="30" t="s">
        <v>65</v>
      </c>
      <c r="D1443" s="30" t="s">
        <v>994</v>
      </c>
    </row>
    <row r="1444" spans="1:4" ht="16">
      <c r="A1444" s="30" t="s">
        <v>3060</v>
      </c>
      <c r="B1444" s="30" t="s">
        <v>3061</v>
      </c>
      <c r="C1444" s="30" t="s">
        <v>3062</v>
      </c>
      <c r="D1444" s="30" t="s">
        <v>82</v>
      </c>
    </row>
    <row r="1445" spans="1:4" ht="16">
      <c r="A1445" s="30" t="s">
        <v>3063</v>
      </c>
      <c r="B1445" s="30" t="s">
        <v>3064</v>
      </c>
      <c r="C1445" s="30" t="s">
        <v>65</v>
      </c>
      <c r="D1445" s="30" t="s">
        <v>994</v>
      </c>
    </row>
    <row r="1446" spans="1:4" ht="16">
      <c r="A1446" s="30" t="s">
        <v>3065</v>
      </c>
      <c r="B1446" s="30" t="s">
        <v>3066</v>
      </c>
      <c r="C1446" s="30" t="s">
        <v>59</v>
      </c>
      <c r="D1446" s="30" t="s">
        <v>82</v>
      </c>
    </row>
    <row r="1447" spans="1:4" ht="16">
      <c r="A1447" s="30" t="s">
        <v>3067</v>
      </c>
      <c r="B1447" s="30" t="s">
        <v>3068</v>
      </c>
      <c r="C1447" s="30" t="s">
        <v>59</v>
      </c>
      <c r="D1447" s="30" t="s">
        <v>82</v>
      </c>
    </row>
    <row r="1448" spans="1:4" ht="16">
      <c r="A1448" s="30" t="s">
        <v>3069</v>
      </c>
      <c r="B1448" s="30" t="s">
        <v>3070</v>
      </c>
      <c r="C1448" s="30" t="s">
        <v>61</v>
      </c>
      <c r="D1448" s="30" t="s">
        <v>62</v>
      </c>
    </row>
    <row r="1449" spans="1:4" ht="16">
      <c r="A1449" s="30" t="s">
        <v>3071</v>
      </c>
      <c r="B1449" s="30" t="s">
        <v>3072</v>
      </c>
      <c r="C1449" s="30" t="s">
        <v>61</v>
      </c>
      <c r="D1449" s="30" t="s">
        <v>103</v>
      </c>
    </row>
    <row r="1450" spans="1:4" ht="16">
      <c r="A1450" s="30" t="s">
        <v>3073</v>
      </c>
      <c r="B1450" s="30" t="s">
        <v>3074</v>
      </c>
      <c r="C1450" s="30" t="s">
        <v>61</v>
      </c>
      <c r="D1450" s="30" t="s">
        <v>232</v>
      </c>
    </row>
    <row r="1451" spans="1:4" ht="16">
      <c r="A1451" s="30" t="s">
        <v>3075</v>
      </c>
      <c r="B1451" s="30" t="s">
        <v>3076</v>
      </c>
      <c r="C1451" s="30" t="s">
        <v>987</v>
      </c>
      <c r="D1451" s="30" t="s">
        <v>575</v>
      </c>
    </row>
    <row r="1452" spans="1:4" ht="16">
      <c r="A1452" s="30" t="s">
        <v>3077</v>
      </c>
      <c r="B1452" s="30" t="s">
        <v>3078</v>
      </c>
      <c r="C1452" s="30" t="s">
        <v>287</v>
      </c>
      <c r="D1452" s="30" t="s">
        <v>82</v>
      </c>
    </row>
    <row r="1453" spans="1:4" ht="16">
      <c r="A1453" s="30" t="s">
        <v>3079</v>
      </c>
      <c r="B1453" s="30" t="s">
        <v>3080</v>
      </c>
      <c r="C1453" s="30" t="s">
        <v>59</v>
      </c>
      <c r="D1453" s="30" t="s">
        <v>82</v>
      </c>
    </row>
    <row r="1454" spans="1:4" ht="16">
      <c r="A1454" s="30" t="s">
        <v>3081</v>
      </c>
      <c r="B1454" s="30" t="s">
        <v>3082</v>
      </c>
      <c r="C1454" s="30" t="s">
        <v>65</v>
      </c>
      <c r="D1454" s="30" t="s">
        <v>346</v>
      </c>
    </row>
    <row r="1455" spans="1:4" ht="16">
      <c r="A1455" s="30" t="s">
        <v>3083</v>
      </c>
      <c r="B1455" s="30" t="s">
        <v>3084</v>
      </c>
      <c r="C1455" s="30" t="s">
        <v>61</v>
      </c>
      <c r="D1455" s="30" t="s">
        <v>62</v>
      </c>
    </row>
    <row r="1456" spans="1:4" ht="16">
      <c r="A1456" s="30" t="s">
        <v>3085</v>
      </c>
      <c r="B1456" s="30" t="s">
        <v>3086</v>
      </c>
      <c r="C1456" s="30" t="s">
        <v>61</v>
      </c>
      <c r="D1456" s="30" t="s">
        <v>75</v>
      </c>
    </row>
    <row r="1457" spans="1:4" ht="16">
      <c r="A1457" s="30" t="s">
        <v>3087</v>
      </c>
      <c r="B1457" s="30" t="s">
        <v>3088</v>
      </c>
      <c r="C1457" s="30" t="s">
        <v>61</v>
      </c>
      <c r="D1457" s="30" t="s">
        <v>896</v>
      </c>
    </row>
    <row r="1458" spans="1:4" ht="16">
      <c r="A1458" s="30" t="s">
        <v>3089</v>
      </c>
      <c r="B1458" s="30" t="s">
        <v>3090</v>
      </c>
      <c r="C1458" s="30" t="s">
        <v>59</v>
      </c>
      <c r="D1458" s="30" t="s">
        <v>82</v>
      </c>
    </row>
    <row r="1459" spans="1:4" ht="16">
      <c r="A1459" s="30" t="s">
        <v>3091</v>
      </c>
      <c r="B1459" s="30" t="s">
        <v>3092</v>
      </c>
      <c r="C1459" s="30" t="s">
        <v>61</v>
      </c>
      <c r="D1459" s="30" t="s">
        <v>260</v>
      </c>
    </row>
    <row r="1460" spans="1:4" ht="16">
      <c r="A1460" s="30" t="s">
        <v>3093</v>
      </c>
      <c r="B1460" s="30" t="s">
        <v>3094</v>
      </c>
      <c r="C1460" s="30" t="s">
        <v>85</v>
      </c>
      <c r="D1460" s="30" t="s">
        <v>82</v>
      </c>
    </row>
    <row r="1461" spans="1:4" ht="16">
      <c r="A1461" s="30" t="s">
        <v>3095</v>
      </c>
      <c r="B1461" s="30" t="s">
        <v>3096</v>
      </c>
      <c r="C1461" s="30" t="s">
        <v>59</v>
      </c>
      <c r="D1461" s="30" t="s">
        <v>82</v>
      </c>
    </row>
    <row r="1462" spans="1:4" ht="16">
      <c r="A1462" s="30" t="s">
        <v>3097</v>
      </c>
      <c r="B1462" s="30" t="s">
        <v>3098</v>
      </c>
      <c r="C1462" s="30" t="s">
        <v>59</v>
      </c>
      <c r="D1462" s="30" t="s">
        <v>82</v>
      </c>
    </row>
    <row r="1463" spans="1:4" ht="16">
      <c r="A1463" s="30" t="s">
        <v>3099</v>
      </c>
      <c r="B1463" s="30" t="s">
        <v>3100</v>
      </c>
      <c r="C1463" s="30" t="s">
        <v>61</v>
      </c>
      <c r="D1463" s="30" t="s">
        <v>210</v>
      </c>
    </row>
    <row r="1464" spans="1:4" ht="16">
      <c r="A1464" s="30" t="s">
        <v>3101</v>
      </c>
      <c r="B1464" s="30" t="s">
        <v>3102</v>
      </c>
      <c r="C1464" s="30" t="s">
        <v>61</v>
      </c>
      <c r="D1464" s="30" t="s">
        <v>86</v>
      </c>
    </row>
    <row r="1465" spans="1:4" ht="16">
      <c r="A1465" s="30" t="s">
        <v>3103</v>
      </c>
      <c r="B1465" s="30" t="s">
        <v>3104</v>
      </c>
      <c r="C1465" s="30" t="s">
        <v>61</v>
      </c>
      <c r="D1465" s="30" t="s">
        <v>117</v>
      </c>
    </row>
    <row r="1466" spans="1:4" ht="16">
      <c r="A1466" s="30" t="s">
        <v>3105</v>
      </c>
      <c r="B1466" s="30" t="s">
        <v>3106</v>
      </c>
      <c r="C1466" s="30" t="s">
        <v>61</v>
      </c>
      <c r="D1466" s="30" t="s">
        <v>232</v>
      </c>
    </row>
    <row r="1467" spans="1:4" ht="16">
      <c r="A1467" s="30" t="s">
        <v>3107</v>
      </c>
      <c r="B1467" s="30" t="s">
        <v>3108</v>
      </c>
      <c r="C1467" s="30" t="s">
        <v>252</v>
      </c>
      <c r="D1467" s="30" t="s">
        <v>82</v>
      </c>
    </row>
    <row r="1468" spans="1:4" ht="16">
      <c r="A1468" s="30" t="s">
        <v>3109</v>
      </c>
      <c r="B1468" s="30" t="s">
        <v>3110</v>
      </c>
      <c r="C1468" s="30" t="s">
        <v>61</v>
      </c>
      <c r="D1468" s="30" t="s">
        <v>210</v>
      </c>
    </row>
    <row r="1469" spans="1:4" ht="16">
      <c r="A1469" s="30" t="s">
        <v>3111</v>
      </c>
      <c r="B1469" s="30" t="s">
        <v>3112</v>
      </c>
      <c r="C1469" s="30" t="s">
        <v>61</v>
      </c>
      <c r="D1469" s="30" t="s">
        <v>69</v>
      </c>
    </row>
    <row r="1470" spans="1:4" ht="16">
      <c r="A1470" s="30" t="s">
        <v>3113</v>
      </c>
      <c r="B1470" s="30" t="s">
        <v>3114</v>
      </c>
      <c r="C1470" s="30" t="s">
        <v>257</v>
      </c>
      <c r="D1470" s="30" t="s">
        <v>232</v>
      </c>
    </row>
    <row r="1471" spans="1:4" ht="16">
      <c r="A1471" s="30" t="s">
        <v>3115</v>
      </c>
      <c r="B1471" s="30" t="s">
        <v>3116</v>
      </c>
      <c r="C1471" s="30" t="s">
        <v>61</v>
      </c>
      <c r="D1471" s="30" t="s">
        <v>89</v>
      </c>
    </row>
    <row r="1472" spans="1:4" ht="16">
      <c r="A1472" s="30" t="s">
        <v>3117</v>
      </c>
      <c r="B1472" s="30" t="s">
        <v>3118</v>
      </c>
      <c r="C1472" s="30" t="s">
        <v>100</v>
      </c>
      <c r="D1472" s="30" t="s">
        <v>75</v>
      </c>
    </row>
    <row r="1473" spans="1:4" ht="16">
      <c r="A1473" s="30" t="s">
        <v>3119</v>
      </c>
      <c r="B1473" s="30" t="s">
        <v>3120</v>
      </c>
      <c r="C1473" s="30" t="s">
        <v>138</v>
      </c>
      <c r="D1473" s="30" t="s">
        <v>171</v>
      </c>
    </row>
    <row r="1474" spans="1:4" ht="16">
      <c r="A1474" s="30" t="s">
        <v>3121</v>
      </c>
      <c r="B1474" s="30" t="s">
        <v>3122</v>
      </c>
      <c r="C1474" s="30" t="s">
        <v>257</v>
      </c>
      <c r="D1474" s="30" t="s">
        <v>232</v>
      </c>
    </row>
    <row r="1475" spans="1:4" ht="16">
      <c r="A1475" s="30" t="s">
        <v>3123</v>
      </c>
      <c r="B1475" s="30" t="s">
        <v>3124</v>
      </c>
      <c r="C1475" s="30" t="s">
        <v>1380</v>
      </c>
      <c r="D1475" s="30" t="s">
        <v>2099</v>
      </c>
    </row>
    <row r="1476" spans="1:4" ht="16">
      <c r="A1476" s="30" t="s">
        <v>3125</v>
      </c>
      <c r="B1476" s="30" t="s">
        <v>3126</v>
      </c>
      <c r="C1476" s="30" t="s">
        <v>61</v>
      </c>
      <c r="D1476" s="30" t="s">
        <v>232</v>
      </c>
    </row>
    <row r="1477" spans="1:4" ht="16">
      <c r="A1477" s="30" t="s">
        <v>3127</v>
      </c>
      <c r="B1477" s="30" t="s">
        <v>3128</v>
      </c>
      <c r="C1477" s="30" t="s">
        <v>873</v>
      </c>
      <c r="D1477" s="30" t="s">
        <v>440</v>
      </c>
    </row>
    <row r="1478" spans="1:4" ht="16">
      <c r="A1478" s="30" t="s">
        <v>3129</v>
      </c>
      <c r="B1478" s="30" t="s">
        <v>3130</v>
      </c>
      <c r="C1478" s="30" t="s">
        <v>257</v>
      </c>
      <c r="D1478" s="30" t="s">
        <v>160</v>
      </c>
    </row>
    <row r="1479" spans="1:4" ht="16">
      <c r="A1479" s="30" t="s">
        <v>3131</v>
      </c>
      <c r="B1479" s="30" t="s">
        <v>3132</v>
      </c>
      <c r="C1479" s="30" t="s">
        <v>1180</v>
      </c>
      <c r="D1479" s="30" t="s">
        <v>75</v>
      </c>
    </row>
    <row r="1480" spans="1:4" ht="16">
      <c r="A1480" s="30" t="s">
        <v>3133</v>
      </c>
      <c r="B1480" s="30" t="s">
        <v>3134</v>
      </c>
      <c r="C1480" s="30" t="s">
        <v>141</v>
      </c>
      <c r="D1480" s="30" t="s">
        <v>82</v>
      </c>
    </row>
    <row r="1481" spans="1:4" ht="16">
      <c r="A1481" s="30" t="s">
        <v>3135</v>
      </c>
      <c r="B1481" s="30" t="s">
        <v>3136</v>
      </c>
      <c r="C1481" s="30" t="s">
        <v>65</v>
      </c>
      <c r="D1481" s="30" t="s">
        <v>346</v>
      </c>
    </row>
    <row r="1482" spans="1:4" ht="16">
      <c r="A1482" s="30" t="s">
        <v>3137</v>
      </c>
      <c r="B1482" s="30" t="s">
        <v>3138</v>
      </c>
      <c r="C1482" s="30" t="s">
        <v>124</v>
      </c>
      <c r="D1482" s="30" t="s">
        <v>294</v>
      </c>
    </row>
    <row r="1483" spans="1:4" ht="16">
      <c r="A1483" s="30" t="s">
        <v>3139</v>
      </c>
      <c r="B1483" s="30" t="s">
        <v>3140</v>
      </c>
      <c r="C1483" s="30" t="s">
        <v>61</v>
      </c>
      <c r="D1483" s="30" t="s">
        <v>210</v>
      </c>
    </row>
    <row r="1484" spans="1:4" ht="16">
      <c r="A1484" s="30" t="s">
        <v>3141</v>
      </c>
      <c r="B1484" s="30" t="s">
        <v>3142</v>
      </c>
      <c r="C1484" s="30" t="s">
        <v>176</v>
      </c>
      <c r="D1484" s="30" t="s">
        <v>2289</v>
      </c>
    </row>
    <row r="1485" spans="1:4" ht="16">
      <c r="A1485" s="30" t="s">
        <v>3143</v>
      </c>
      <c r="B1485" s="30" t="s">
        <v>3144</v>
      </c>
      <c r="C1485" s="30" t="s">
        <v>61</v>
      </c>
      <c r="D1485" s="30" t="s">
        <v>103</v>
      </c>
    </row>
    <row r="1486" spans="1:4" ht="16">
      <c r="A1486" s="30" t="s">
        <v>3145</v>
      </c>
      <c r="B1486" s="30" t="s">
        <v>3146</v>
      </c>
      <c r="C1486" s="30" t="s">
        <v>1180</v>
      </c>
      <c r="D1486" s="30" t="s">
        <v>75</v>
      </c>
    </row>
    <row r="1487" spans="1:4" ht="16">
      <c r="A1487" s="30" t="s">
        <v>3147</v>
      </c>
      <c r="B1487" s="30" t="s">
        <v>3148</v>
      </c>
      <c r="C1487" s="30" t="s">
        <v>65</v>
      </c>
      <c r="D1487" s="30" t="s">
        <v>994</v>
      </c>
    </row>
    <row r="1488" spans="1:4" ht="16">
      <c r="A1488" s="30" t="s">
        <v>3149</v>
      </c>
      <c r="B1488" s="30" t="s">
        <v>3150</v>
      </c>
      <c r="C1488" s="30" t="s">
        <v>978</v>
      </c>
      <c r="D1488" s="30" t="s">
        <v>82</v>
      </c>
    </row>
    <row r="1489" spans="1:4" ht="16">
      <c r="A1489" s="30" t="s">
        <v>3151</v>
      </c>
      <c r="B1489" s="30" t="s">
        <v>3152</v>
      </c>
      <c r="C1489" s="30" t="s">
        <v>1133</v>
      </c>
      <c r="D1489" s="30" t="s">
        <v>160</v>
      </c>
    </row>
    <row r="1490" spans="1:4" ht="16">
      <c r="A1490" s="30" t="s">
        <v>3153</v>
      </c>
      <c r="B1490" s="30" t="s">
        <v>3154</v>
      </c>
      <c r="C1490" s="30" t="s">
        <v>3155</v>
      </c>
      <c r="D1490" s="30" t="s">
        <v>62</v>
      </c>
    </row>
    <row r="1491" spans="1:4" ht="16">
      <c r="A1491" s="30" t="s">
        <v>3156</v>
      </c>
      <c r="B1491" s="30" t="s">
        <v>3157</v>
      </c>
      <c r="C1491" s="30" t="s">
        <v>65</v>
      </c>
      <c r="D1491" s="30" t="s">
        <v>69</v>
      </c>
    </row>
    <row r="1492" spans="1:4" ht="16">
      <c r="A1492" s="30" t="s">
        <v>3158</v>
      </c>
      <c r="B1492" s="30" t="s">
        <v>3159</v>
      </c>
      <c r="C1492" s="30" t="s">
        <v>61</v>
      </c>
      <c r="D1492" s="30" t="s">
        <v>103</v>
      </c>
    </row>
    <row r="1493" spans="1:4" ht="16">
      <c r="A1493" s="30" t="s">
        <v>3160</v>
      </c>
      <c r="B1493" s="30" t="s">
        <v>3161</v>
      </c>
      <c r="C1493" s="30" t="s">
        <v>61</v>
      </c>
      <c r="D1493" s="30" t="s">
        <v>103</v>
      </c>
    </row>
    <row r="1494" spans="1:4" ht="16">
      <c r="A1494" s="30" t="s">
        <v>3162</v>
      </c>
      <c r="B1494" s="30" t="s">
        <v>3163</v>
      </c>
      <c r="C1494" s="30" t="s">
        <v>61</v>
      </c>
      <c r="D1494" s="30" t="s">
        <v>148</v>
      </c>
    </row>
    <row r="1495" spans="1:4" ht="16">
      <c r="A1495" s="30" t="s">
        <v>3164</v>
      </c>
      <c r="B1495" s="30" t="s">
        <v>3165</v>
      </c>
      <c r="C1495" s="30" t="s">
        <v>61</v>
      </c>
      <c r="D1495" s="30" t="s">
        <v>761</v>
      </c>
    </row>
    <row r="1496" spans="1:4" ht="16">
      <c r="A1496" s="30" t="s">
        <v>3166</v>
      </c>
      <c r="B1496" s="30" t="s">
        <v>3167</v>
      </c>
      <c r="C1496" s="30" t="s">
        <v>65</v>
      </c>
      <c r="D1496" s="30" t="s">
        <v>160</v>
      </c>
    </row>
    <row r="1497" spans="1:4" ht="16">
      <c r="A1497" s="30" t="s">
        <v>3168</v>
      </c>
      <c r="B1497" s="30" t="s">
        <v>3169</v>
      </c>
      <c r="C1497" s="30" t="s">
        <v>619</v>
      </c>
      <c r="D1497" s="30" t="s">
        <v>210</v>
      </c>
    </row>
    <row r="1498" spans="1:4" ht="16">
      <c r="A1498" s="30" t="s">
        <v>3170</v>
      </c>
      <c r="B1498" s="30" t="s">
        <v>3171</v>
      </c>
      <c r="C1498" s="30" t="s">
        <v>65</v>
      </c>
      <c r="D1498" s="30" t="s">
        <v>66</v>
      </c>
    </row>
    <row r="1499" spans="1:4" ht="16">
      <c r="A1499" s="30" t="s">
        <v>3172</v>
      </c>
      <c r="B1499" s="30" t="s">
        <v>3173</v>
      </c>
      <c r="C1499" s="30" t="s">
        <v>61</v>
      </c>
      <c r="D1499" s="30" t="s">
        <v>404</v>
      </c>
    </row>
    <row r="1500" spans="1:4" ht="16">
      <c r="A1500" s="30" t="s">
        <v>3174</v>
      </c>
      <c r="B1500" s="30" t="s">
        <v>3175</v>
      </c>
      <c r="C1500" s="30" t="s">
        <v>141</v>
      </c>
      <c r="D1500" s="30" t="s">
        <v>82</v>
      </c>
    </row>
    <row r="1501" spans="1:4" ht="16">
      <c r="A1501" s="30" t="s">
        <v>3176</v>
      </c>
      <c r="B1501" s="30" t="s">
        <v>3177</v>
      </c>
      <c r="C1501" s="30" t="s">
        <v>65</v>
      </c>
      <c r="D1501" s="30" t="s">
        <v>180</v>
      </c>
    </row>
    <row r="1502" spans="1:4" ht="16">
      <c r="A1502" s="30" t="s">
        <v>3178</v>
      </c>
      <c r="B1502" s="30" t="s">
        <v>3179</v>
      </c>
      <c r="C1502" s="30" t="s">
        <v>65</v>
      </c>
      <c r="D1502" s="30" t="s">
        <v>66</v>
      </c>
    </row>
    <row r="1503" spans="1:4" ht="16">
      <c r="A1503" s="30" t="s">
        <v>3180</v>
      </c>
      <c r="B1503" s="30" t="s">
        <v>3181</v>
      </c>
      <c r="C1503" s="30" t="s">
        <v>257</v>
      </c>
      <c r="D1503" s="30" t="s">
        <v>322</v>
      </c>
    </row>
    <row r="1504" spans="1:4" ht="16">
      <c r="A1504" s="30" t="s">
        <v>3182</v>
      </c>
      <c r="B1504" s="30" t="s">
        <v>3183</v>
      </c>
      <c r="C1504" s="30" t="s">
        <v>65</v>
      </c>
      <c r="D1504" s="30" t="s">
        <v>69</v>
      </c>
    </row>
    <row r="1505" spans="1:4" ht="16">
      <c r="A1505" s="30" t="s">
        <v>3184</v>
      </c>
      <c r="B1505" s="30" t="s">
        <v>3185</v>
      </c>
      <c r="C1505" s="30" t="s">
        <v>59</v>
      </c>
      <c r="D1505" s="30" t="s">
        <v>82</v>
      </c>
    </row>
    <row r="1506" spans="1:4" ht="16">
      <c r="A1506" s="30" t="s">
        <v>3186</v>
      </c>
      <c r="B1506" s="30" t="s">
        <v>27</v>
      </c>
      <c r="C1506" s="30" t="s">
        <v>468</v>
      </c>
      <c r="D1506" s="30" t="s">
        <v>605</v>
      </c>
    </row>
    <row r="1507" spans="1:4" ht="16">
      <c r="A1507" s="30" t="s">
        <v>3187</v>
      </c>
      <c r="B1507" s="30" t="s">
        <v>3188</v>
      </c>
      <c r="C1507" s="30" t="s">
        <v>176</v>
      </c>
      <c r="D1507" s="30" t="s">
        <v>171</v>
      </c>
    </row>
    <row r="1508" spans="1:4" ht="16">
      <c r="A1508" s="30" t="s">
        <v>3189</v>
      </c>
      <c r="B1508" s="30" t="s">
        <v>3190</v>
      </c>
      <c r="C1508" s="30" t="s">
        <v>257</v>
      </c>
      <c r="D1508" s="30" t="s">
        <v>232</v>
      </c>
    </row>
    <row r="1509" spans="1:4" ht="16">
      <c r="A1509" s="30" t="s">
        <v>3191</v>
      </c>
      <c r="B1509" s="30" t="s">
        <v>3192</v>
      </c>
      <c r="C1509" s="30" t="s">
        <v>257</v>
      </c>
      <c r="D1509" s="30" t="s">
        <v>232</v>
      </c>
    </row>
    <row r="1510" spans="1:4" ht="16">
      <c r="A1510" s="30" t="s">
        <v>3193</v>
      </c>
      <c r="B1510" s="30" t="s">
        <v>3194</v>
      </c>
      <c r="C1510" s="30" t="s">
        <v>452</v>
      </c>
      <c r="D1510" s="30" t="s">
        <v>160</v>
      </c>
    </row>
    <row r="1511" spans="1:4" ht="16">
      <c r="A1511" s="30" t="s">
        <v>3195</v>
      </c>
      <c r="B1511" s="30" t="s">
        <v>3196</v>
      </c>
      <c r="C1511" s="30" t="s">
        <v>141</v>
      </c>
      <c r="D1511" s="30" t="s">
        <v>82</v>
      </c>
    </row>
    <row r="1512" spans="1:4" ht="16">
      <c r="A1512" s="30" t="s">
        <v>3197</v>
      </c>
      <c r="B1512" s="30" t="s">
        <v>3198</v>
      </c>
      <c r="C1512" s="30" t="s">
        <v>176</v>
      </c>
      <c r="D1512" s="30" t="s">
        <v>171</v>
      </c>
    </row>
    <row r="1513" spans="1:4" ht="16">
      <c r="A1513" s="30" t="s">
        <v>3199</v>
      </c>
      <c r="B1513" s="30" t="s">
        <v>3200</v>
      </c>
      <c r="C1513" s="30" t="s">
        <v>59</v>
      </c>
      <c r="D1513" s="30" t="s">
        <v>82</v>
      </c>
    </row>
    <row r="1514" spans="1:4" ht="16">
      <c r="A1514" s="30" t="s">
        <v>3199</v>
      </c>
      <c r="B1514" s="30" t="s">
        <v>3200</v>
      </c>
      <c r="C1514" s="30" t="s">
        <v>61</v>
      </c>
      <c r="D1514" s="30" t="s">
        <v>62</v>
      </c>
    </row>
    <row r="1515" spans="1:4" ht="16">
      <c r="A1515" s="30" t="s">
        <v>3201</v>
      </c>
      <c r="B1515" s="30" t="s">
        <v>3202</v>
      </c>
      <c r="C1515" s="30" t="s">
        <v>65</v>
      </c>
      <c r="D1515" s="30" t="s">
        <v>994</v>
      </c>
    </row>
    <row r="1516" spans="1:4" ht="16">
      <c r="A1516" s="30" t="s">
        <v>3203</v>
      </c>
      <c r="B1516" s="30" t="s">
        <v>3204</v>
      </c>
      <c r="C1516" s="30" t="s">
        <v>3205</v>
      </c>
      <c r="D1516" s="30" t="s">
        <v>879</v>
      </c>
    </row>
    <row r="1517" spans="1:4" ht="16">
      <c r="A1517" s="30" t="s">
        <v>3206</v>
      </c>
      <c r="B1517" s="30" t="s">
        <v>3207</v>
      </c>
      <c r="C1517" s="30" t="s">
        <v>61</v>
      </c>
      <c r="D1517" s="30" t="s">
        <v>1490</v>
      </c>
    </row>
    <row r="1518" spans="1:4" ht="16">
      <c r="A1518" s="30" t="s">
        <v>3208</v>
      </c>
      <c r="B1518" s="30" t="s">
        <v>3209</v>
      </c>
      <c r="C1518" s="30" t="s">
        <v>141</v>
      </c>
      <c r="D1518" s="30" t="s">
        <v>82</v>
      </c>
    </row>
    <row r="1519" spans="1:4" ht="16">
      <c r="A1519" s="30" t="s">
        <v>3210</v>
      </c>
      <c r="B1519" s="30" t="s">
        <v>3211</v>
      </c>
      <c r="C1519" s="30" t="s">
        <v>61</v>
      </c>
      <c r="D1519" s="30" t="s">
        <v>86</v>
      </c>
    </row>
    <row r="1520" spans="1:4" ht="16">
      <c r="A1520" s="30" t="s">
        <v>3212</v>
      </c>
      <c r="B1520" s="30" t="s">
        <v>3213</v>
      </c>
      <c r="C1520" s="30" t="s">
        <v>3062</v>
      </c>
      <c r="D1520" s="30" t="s">
        <v>171</v>
      </c>
    </row>
    <row r="1521" spans="1:4" ht="16">
      <c r="A1521" s="30" t="s">
        <v>3214</v>
      </c>
      <c r="B1521" s="30" t="s">
        <v>3215</v>
      </c>
      <c r="C1521" s="30" t="s">
        <v>65</v>
      </c>
      <c r="D1521" s="30" t="s">
        <v>66</v>
      </c>
    </row>
    <row r="1522" spans="1:4" ht="16">
      <c r="A1522" s="30" t="s">
        <v>3216</v>
      </c>
      <c r="B1522" s="30" t="s">
        <v>3217</v>
      </c>
      <c r="C1522" s="30" t="s">
        <v>141</v>
      </c>
      <c r="D1522" s="30" t="s">
        <v>82</v>
      </c>
    </row>
    <row r="1523" spans="1:4" ht="16">
      <c r="A1523" s="30" t="s">
        <v>3218</v>
      </c>
      <c r="B1523" s="30" t="s">
        <v>3219</v>
      </c>
      <c r="C1523" s="30" t="s">
        <v>622</v>
      </c>
      <c r="D1523" s="30" t="s">
        <v>562</v>
      </c>
    </row>
    <row r="1524" spans="1:4" ht="16">
      <c r="A1524" s="30" t="s">
        <v>3220</v>
      </c>
      <c r="B1524" s="30" t="s">
        <v>3221</v>
      </c>
      <c r="C1524" s="30" t="s">
        <v>141</v>
      </c>
      <c r="D1524" s="30" t="s">
        <v>82</v>
      </c>
    </row>
    <row r="1525" spans="1:4" ht="16">
      <c r="A1525" s="30" t="s">
        <v>3222</v>
      </c>
      <c r="B1525" s="30" t="s">
        <v>3223</v>
      </c>
      <c r="C1525" s="30" t="s">
        <v>151</v>
      </c>
      <c r="D1525" s="30" t="s">
        <v>75</v>
      </c>
    </row>
    <row r="1526" spans="1:4" ht="16">
      <c r="A1526" s="30" t="s">
        <v>3224</v>
      </c>
      <c r="B1526" s="30" t="s">
        <v>3225</v>
      </c>
      <c r="C1526" s="30" t="s">
        <v>65</v>
      </c>
      <c r="D1526" s="30" t="s">
        <v>69</v>
      </c>
    </row>
    <row r="1527" spans="1:4" ht="16">
      <c r="A1527" s="30" t="s">
        <v>3226</v>
      </c>
      <c r="B1527" s="30" t="s">
        <v>3227</v>
      </c>
      <c r="C1527" s="30" t="s">
        <v>176</v>
      </c>
      <c r="D1527" s="30" t="s">
        <v>103</v>
      </c>
    </row>
    <row r="1528" spans="1:4" ht="16">
      <c r="A1528" s="30" t="s">
        <v>3228</v>
      </c>
      <c r="B1528" s="30" t="s">
        <v>3229</v>
      </c>
      <c r="C1528" s="30" t="s">
        <v>141</v>
      </c>
      <c r="D1528" s="30" t="s">
        <v>82</v>
      </c>
    </row>
    <row r="1529" spans="1:4" ht="16">
      <c r="A1529" s="30" t="s">
        <v>3230</v>
      </c>
      <c r="B1529" s="30" t="s">
        <v>3231</v>
      </c>
      <c r="C1529" s="30" t="s">
        <v>61</v>
      </c>
      <c r="D1529" s="30" t="s">
        <v>232</v>
      </c>
    </row>
    <row r="1530" spans="1:4" ht="16">
      <c r="A1530" s="30" t="s">
        <v>3230</v>
      </c>
      <c r="B1530" s="30" t="s">
        <v>3231</v>
      </c>
      <c r="C1530" s="30" t="s">
        <v>61</v>
      </c>
      <c r="D1530" s="30" t="s">
        <v>62</v>
      </c>
    </row>
    <row r="1531" spans="1:4" ht="16">
      <c r="A1531" s="30" t="s">
        <v>3232</v>
      </c>
      <c r="B1531" s="30" t="s">
        <v>3233</v>
      </c>
      <c r="C1531" s="30" t="s">
        <v>65</v>
      </c>
      <c r="D1531" s="30" t="s">
        <v>66</v>
      </c>
    </row>
    <row r="1532" spans="1:4" ht="16">
      <c r="A1532" s="30" t="s">
        <v>3234</v>
      </c>
      <c r="B1532" s="30" t="s">
        <v>3235</v>
      </c>
      <c r="C1532" s="30" t="s">
        <v>59</v>
      </c>
      <c r="D1532" s="30" t="s">
        <v>82</v>
      </c>
    </row>
    <row r="1533" spans="1:4" ht="16">
      <c r="A1533" s="30" t="s">
        <v>3236</v>
      </c>
      <c r="B1533" s="30" t="s">
        <v>3237</v>
      </c>
      <c r="C1533" s="30" t="s">
        <v>59</v>
      </c>
      <c r="D1533" s="30" t="s">
        <v>82</v>
      </c>
    </row>
    <row r="1534" spans="1:4" ht="16">
      <c r="A1534" s="30" t="s">
        <v>3238</v>
      </c>
      <c r="B1534" s="30" t="s">
        <v>3239</v>
      </c>
      <c r="C1534" s="30" t="s">
        <v>141</v>
      </c>
      <c r="D1534" s="30" t="s">
        <v>82</v>
      </c>
    </row>
    <row r="1535" spans="1:4" ht="16">
      <c r="A1535" s="30" t="s">
        <v>3240</v>
      </c>
      <c r="B1535" s="30" t="s">
        <v>3241</v>
      </c>
      <c r="C1535" s="30" t="s">
        <v>61</v>
      </c>
      <c r="D1535" s="30" t="s">
        <v>103</v>
      </c>
    </row>
    <row r="1536" spans="1:4" ht="16">
      <c r="A1536" s="30" t="s">
        <v>3242</v>
      </c>
      <c r="B1536" s="30" t="s">
        <v>3243</v>
      </c>
      <c r="C1536" s="30" t="s">
        <v>61</v>
      </c>
      <c r="D1536" s="30" t="s">
        <v>62</v>
      </c>
    </row>
    <row r="1537" spans="1:4" ht="16">
      <c r="A1537" s="30" t="s">
        <v>3244</v>
      </c>
      <c r="B1537" s="30" t="s">
        <v>3245</v>
      </c>
      <c r="C1537" s="30" t="s">
        <v>65</v>
      </c>
      <c r="D1537" s="30" t="s">
        <v>66</v>
      </c>
    </row>
    <row r="1538" spans="1:4" ht="16">
      <c r="A1538" s="30" t="s">
        <v>3246</v>
      </c>
      <c r="B1538" s="30" t="s">
        <v>3247</v>
      </c>
      <c r="C1538" s="30" t="s">
        <v>124</v>
      </c>
      <c r="D1538" s="30" t="s">
        <v>75</v>
      </c>
    </row>
    <row r="1539" spans="1:4" ht="16">
      <c r="A1539" s="30" t="s">
        <v>3248</v>
      </c>
      <c r="B1539" s="30" t="s">
        <v>3249</v>
      </c>
      <c r="C1539" s="30" t="s">
        <v>61</v>
      </c>
      <c r="D1539" s="30" t="s">
        <v>69</v>
      </c>
    </row>
    <row r="1540" spans="1:4" ht="16">
      <c r="A1540" s="30" t="s">
        <v>3250</v>
      </c>
      <c r="B1540" s="30" t="s">
        <v>3251</v>
      </c>
      <c r="C1540" s="30" t="s">
        <v>100</v>
      </c>
      <c r="D1540" s="30" t="s">
        <v>75</v>
      </c>
    </row>
    <row r="1541" spans="1:4" ht="16">
      <c r="A1541" s="30" t="s">
        <v>3252</v>
      </c>
      <c r="B1541" s="30" t="s">
        <v>3253</v>
      </c>
      <c r="C1541" s="30" t="s">
        <v>61</v>
      </c>
      <c r="D1541" s="30" t="s">
        <v>103</v>
      </c>
    </row>
    <row r="1542" spans="1:4" ht="16">
      <c r="A1542" s="30" t="s">
        <v>3254</v>
      </c>
      <c r="B1542" s="30" t="s">
        <v>3255</v>
      </c>
      <c r="C1542" s="30" t="s">
        <v>59</v>
      </c>
      <c r="D1542" s="30" t="s">
        <v>82</v>
      </c>
    </row>
    <row r="1543" spans="1:4" ht="16">
      <c r="A1543" s="30" t="s">
        <v>3256</v>
      </c>
      <c r="B1543" s="30" t="s">
        <v>3257</v>
      </c>
      <c r="C1543" s="30" t="s">
        <v>61</v>
      </c>
      <c r="D1543" s="30" t="s">
        <v>89</v>
      </c>
    </row>
    <row r="1544" spans="1:4" ht="16">
      <c r="A1544" s="30" t="s">
        <v>3258</v>
      </c>
      <c r="B1544" s="30" t="s">
        <v>3259</v>
      </c>
      <c r="C1544" s="30" t="s">
        <v>61</v>
      </c>
      <c r="D1544" s="30" t="s">
        <v>148</v>
      </c>
    </row>
    <row r="1545" spans="1:4" ht="16">
      <c r="A1545" s="30" t="s">
        <v>3260</v>
      </c>
      <c r="B1545" s="30" t="s">
        <v>3261</v>
      </c>
      <c r="C1545" s="30" t="s">
        <v>61</v>
      </c>
      <c r="D1545" s="30" t="s">
        <v>2227</v>
      </c>
    </row>
    <row r="1546" spans="1:4" ht="16">
      <c r="A1546" s="30" t="s">
        <v>3262</v>
      </c>
      <c r="B1546" s="30" t="s">
        <v>3263</v>
      </c>
      <c r="C1546" s="30" t="s">
        <v>141</v>
      </c>
      <c r="D1546" s="30" t="s">
        <v>82</v>
      </c>
    </row>
    <row r="1547" spans="1:4" ht="16">
      <c r="A1547" s="30" t="s">
        <v>3264</v>
      </c>
      <c r="B1547" s="30" t="s">
        <v>3265</v>
      </c>
      <c r="C1547" s="30" t="s">
        <v>61</v>
      </c>
      <c r="D1547" s="30" t="s">
        <v>280</v>
      </c>
    </row>
    <row r="1548" spans="1:4" ht="16">
      <c r="A1548" s="30" t="s">
        <v>3266</v>
      </c>
      <c r="B1548" s="30" t="s">
        <v>3267</v>
      </c>
      <c r="C1548" s="30" t="s">
        <v>59</v>
      </c>
      <c r="D1548" s="30" t="s">
        <v>82</v>
      </c>
    </row>
    <row r="1549" spans="1:4" ht="16">
      <c r="A1549" s="30" t="s">
        <v>3268</v>
      </c>
      <c r="B1549" s="30" t="s">
        <v>3269</v>
      </c>
      <c r="C1549" s="30" t="s">
        <v>257</v>
      </c>
      <c r="D1549" s="30" t="s">
        <v>157</v>
      </c>
    </row>
    <row r="1550" spans="1:4" ht="16">
      <c r="A1550" s="30" t="s">
        <v>3270</v>
      </c>
      <c r="B1550" s="30" t="s">
        <v>3271</v>
      </c>
      <c r="C1550" s="30" t="s">
        <v>61</v>
      </c>
      <c r="D1550" s="30" t="s">
        <v>103</v>
      </c>
    </row>
    <row r="1551" spans="1:4" ht="16">
      <c r="A1551" s="30" t="s">
        <v>3272</v>
      </c>
      <c r="B1551" s="30" t="s">
        <v>3273</v>
      </c>
      <c r="C1551" s="30" t="s">
        <v>61</v>
      </c>
      <c r="D1551" s="30" t="s">
        <v>62</v>
      </c>
    </row>
    <row r="1552" spans="1:4" ht="16">
      <c r="A1552" s="30" t="s">
        <v>3274</v>
      </c>
      <c r="B1552" s="30" t="s">
        <v>3275</v>
      </c>
      <c r="C1552" s="30" t="s">
        <v>59</v>
      </c>
      <c r="D1552" s="30" t="s">
        <v>82</v>
      </c>
    </row>
    <row r="1553" spans="1:4" ht="16">
      <c r="A1553" s="30" t="s">
        <v>3276</v>
      </c>
      <c r="B1553" s="30" t="s">
        <v>3277</v>
      </c>
      <c r="C1553" s="30" t="s">
        <v>65</v>
      </c>
      <c r="D1553" s="30" t="s">
        <v>66</v>
      </c>
    </row>
    <row r="1554" spans="1:4" ht="16">
      <c r="A1554" s="30" t="s">
        <v>3278</v>
      </c>
      <c r="B1554" s="30" t="s">
        <v>3279</v>
      </c>
      <c r="C1554" s="30" t="s">
        <v>59</v>
      </c>
      <c r="D1554" s="30" t="s">
        <v>1883</v>
      </c>
    </row>
    <row r="1555" spans="1:4" ht="16">
      <c r="A1555" s="30" t="s">
        <v>3280</v>
      </c>
      <c r="B1555" s="30" t="s">
        <v>3281</v>
      </c>
      <c r="C1555" s="30" t="s">
        <v>65</v>
      </c>
      <c r="D1555" s="30" t="s">
        <v>69</v>
      </c>
    </row>
    <row r="1556" spans="1:4" ht="16">
      <c r="A1556" s="30" t="s">
        <v>3282</v>
      </c>
      <c r="B1556" s="30" t="s">
        <v>3283</v>
      </c>
      <c r="C1556" s="30" t="s">
        <v>59</v>
      </c>
      <c r="D1556" s="30" t="s">
        <v>82</v>
      </c>
    </row>
    <row r="1557" spans="1:4" ht="16">
      <c r="A1557" s="30" t="s">
        <v>3284</v>
      </c>
      <c r="B1557" s="30" t="s">
        <v>3285</v>
      </c>
      <c r="C1557" s="30" t="s">
        <v>85</v>
      </c>
      <c r="D1557" s="30" t="s">
        <v>152</v>
      </c>
    </row>
    <row r="1558" spans="1:4" ht="16">
      <c r="A1558" s="30" t="s">
        <v>3286</v>
      </c>
      <c r="B1558" s="30" t="s">
        <v>3287</v>
      </c>
      <c r="C1558" s="30" t="s">
        <v>124</v>
      </c>
      <c r="D1558" s="30" t="s">
        <v>210</v>
      </c>
    </row>
    <row r="1559" spans="1:4" ht="16">
      <c r="A1559" s="30" t="s">
        <v>3288</v>
      </c>
      <c r="B1559" s="30" t="s">
        <v>3289</v>
      </c>
      <c r="C1559" s="30" t="s">
        <v>3290</v>
      </c>
      <c r="D1559" s="30" t="s">
        <v>605</v>
      </c>
    </row>
    <row r="1560" spans="1:4" ht="16">
      <c r="A1560" s="30" t="s">
        <v>3291</v>
      </c>
      <c r="B1560" s="30" t="s">
        <v>3292</v>
      </c>
      <c r="C1560" s="30" t="s">
        <v>257</v>
      </c>
      <c r="D1560" s="30" t="s">
        <v>157</v>
      </c>
    </row>
    <row r="1561" spans="1:4" ht="16">
      <c r="A1561" s="30" t="s">
        <v>3293</v>
      </c>
      <c r="B1561" s="30" t="s">
        <v>3294</v>
      </c>
      <c r="C1561" s="30" t="s">
        <v>61</v>
      </c>
      <c r="D1561" s="30" t="s">
        <v>148</v>
      </c>
    </row>
    <row r="1562" spans="1:4" ht="16">
      <c r="A1562" s="30" t="s">
        <v>3295</v>
      </c>
      <c r="B1562" s="30" t="s">
        <v>3296</v>
      </c>
      <c r="C1562" s="30" t="s">
        <v>61</v>
      </c>
      <c r="D1562" s="30" t="s">
        <v>232</v>
      </c>
    </row>
    <row r="1563" spans="1:4" ht="16">
      <c r="A1563" s="30" t="s">
        <v>3297</v>
      </c>
      <c r="B1563" s="30" t="s">
        <v>3298</v>
      </c>
      <c r="C1563" s="30" t="s">
        <v>124</v>
      </c>
      <c r="D1563" s="30" t="s">
        <v>75</v>
      </c>
    </row>
    <row r="1564" spans="1:4" ht="16">
      <c r="A1564" s="30" t="s">
        <v>3299</v>
      </c>
      <c r="B1564" s="30" t="s">
        <v>3300</v>
      </c>
      <c r="C1564" s="30" t="s">
        <v>1133</v>
      </c>
      <c r="D1564" s="30" t="s">
        <v>66</v>
      </c>
    </row>
    <row r="1565" spans="1:4" ht="16">
      <c r="A1565" s="30" t="s">
        <v>3301</v>
      </c>
      <c r="B1565" s="30" t="s">
        <v>3302</v>
      </c>
      <c r="C1565" s="30" t="s">
        <v>61</v>
      </c>
      <c r="D1565" s="30" t="s">
        <v>103</v>
      </c>
    </row>
    <row r="1566" spans="1:4" ht="16">
      <c r="A1566" s="30" t="s">
        <v>3303</v>
      </c>
      <c r="B1566" s="30" t="s">
        <v>3304</v>
      </c>
      <c r="C1566" s="30" t="s">
        <v>65</v>
      </c>
      <c r="D1566" s="30" t="s">
        <v>66</v>
      </c>
    </row>
    <row r="1567" spans="1:4" ht="16">
      <c r="A1567" s="30" t="s">
        <v>3305</v>
      </c>
      <c r="B1567" s="30" t="s">
        <v>3306</v>
      </c>
      <c r="C1567" s="30" t="s">
        <v>257</v>
      </c>
      <c r="D1567" s="30" t="s">
        <v>232</v>
      </c>
    </row>
    <row r="1568" spans="1:4" ht="16">
      <c r="A1568" s="30" t="s">
        <v>3307</v>
      </c>
      <c r="B1568" s="30" t="s">
        <v>3308</v>
      </c>
      <c r="C1568" s="30" t="s">
        <v>61</v>
      </c>
      <c r="D1568" s="30" t="s">
        <v>103</v>
      </c>
    </row>
    <row r="1569" spans="1:4" ht="16">
      <c r="A1569" s="30" t="s">
        <v>3309</v>
      </c>
      <c r="B1569" s="30" t="s">
        <v>3310</v>
      </c>
      <c r="C1569" s="30" t="s">
        <v>61</v>
      </c>
      <c r="D1569" s="30" t="s">
        <v>1110</v>
      </c>
    </row>
    <row r="1570" spans="1:4" ht="16">
      <c r="A1570" s="30" t="s">
        <v>3311</v>
      </c>
      <c r="B1570" s="30" t="s">
        <v>3312</v>
      </c>
      <c r="C1570" s="30" t="s">
        <v>124</v>
      </c>
      <c r="D1570" s="30" t="s">
        <v>210</v>
      </c>
    </row>
    <row r="1571" spans="1:4" ht="16">
      <c r="A1571" s="30" t="s">
        <v>3313</v>
      </c>
      <c r="B1571" s="30" t="s">
        <v>3314</v>
      </c>
      <c r="C1571" s="30" t="s">
        <v>61</v>
      </c>
      <c r="D1571" s="30" t="s">
        <v>62</v>
      </c>
    </row>
    <row r="1572" spans="1:4" ht="16">
      <c r="A1572" s="30" t="s">
        <v>3315</v>
      </c>
      <c r="B1572" s="30" t="s">
        <v>3316</v>
      </c>
      <c r="C1572" s="30" t="s">
        <v>134</v>
      </c>
      <c r="D1572" s="30" t="s">
        <v>135</v>
      </c>
    </row>
    <row r="1573" spans="1:4" ht="16">
      <c r="A1573" s="30" t="s">
        <v>3317</v>
      </c>
      <c r="B1573" s="30" t="s">
        <v>3318</v>
      </c>
      <c r="C1573" s="30" t="s">
        <v>176</v>
      </c>
      <c r="D1573" s="30" t="s">
        <v>69</v>
      </c>
    </row>
    <row r="1574" spans="1:4" ht="16">
      <c r="A1574" s="30" t="s">
        <v>3319</v>
      </c>
      <c r="B1574" s="30" t="s">
        <v>3320</v>
      </c>
      <c r="C1574" s="30" t="s">
        <v>61</v>
      </c>
      <c r="D1574" s="30" t="s">
        <v>160</v>
      </c>
    </row>
    <row r="1575" spans="1:4" ht="16">
      <c r="A1575" s="30" t="s">
        <v>3321</v>
      </c>
      <c r="B1575" s="30" t="s">
        <v>3322</v>
      </c>
      <c r="C1575" s="30" t="s">
        <v>61</v>
      </c>
      <c r="D1575" s="30" t="s">
        <v>78</v>
      </c>
    </row>
    <row r="1576" spans="1:4" ht="16">
      <c r="A1576" s="30" t="s">
        <v>3323</v>
      </c>
      <c r="B1576" s="30" t="s">
        <v>3324</v>
      </c>
      <c r="C1576" s="30" t="s">
        <v>141</v>
      </c>
      <c r="D1576" s="30" t="s">
        <v>82</v>
      </c>
    </row>
    <row r="1577" spans="1:4" ht="16">
      <c r="A1577" s="30" t="s">
        <v>3325</v>
      </c>
      <c r="B1577" s="30" t="s">
        <v>3326</v>
      </c>
      <c r="C1577" s="30" t="s">
        <v>81</v>
      </c>
      <c r="D1577" s="30" t="s">
        <v>82</v>
      </c>
    </row>
    <row r="1578" spans="1:4" ht="16">
      <c r="A1578" s="30" t="s">
        <v>3327</v>
      </c>
      <c r="B1578" s="30" t="s">
        <v>3328</v>
      </c>
      <c r="C1578" s="30" t="s">
        <v>287</v>
      </c>
      <c r="D1578" s="30" t="s">
        <v>82</v>
      </c>
    </row>
    <row r="1579" spans="1:4" ht="16">
      <c r="A1579" s="30" t="s">
        <v>3329</v>
      </c>
      <c r="B1579" s="30" t="s">
        <v>3330</v>
      </c>
      <c r="C1579" s="30" t="s">
        <v>141</v>
      </c>
      <c r="D1579" s="30" t="s">
        <v>82</v>
      </c>
    </row>
    <row r="1580" spans="1:4" ht="16">
      <c r="A1580" s="30" t="s">
        <v>3331</v>
      </c>
      <c r="B1580" s="30" t="s">
        <v>3332</v>
      </c>
      <c r="C1580" s="30" t="s">
        <v>61</v>
      </c>
      <c r="D1580" s="30" t="s">
        <v>103</v>
      </c>
    </row>
    <row r="1581" spans="1:4" ht="16">
      <c r="A1581" s="30" t="s">
        <v>3333</v>
      </c>
      <c r="B1581" s="30" t="s">
        <v>3334</v>
      </c>
      <c r="C1581" s="30" t="s">
        <v>61</v>
      </c>
      <c r="D1581" s="30" t="s">
        <v>232</v>
      </c>
    </row>
    <row r="1582" spans="1:4" ht="16">
      <c r="A1582" s="30" t="s">
        <v>3335</v>
      </c>
      <c r="B1582" s="30" t="s">
        <v>3336</v>
      </c>
      <c r="C1582" s="30" t="s">
        <v>85</v>
      </c>
      <c r="D1582" s="30" t="s">
        <v>69</v>
      </c>
    </row>
    <row r="1583" spans="1:4" ht="16">
      <c r="A1583" s="30" t="s">
        <v>3337</v>
      </c>
      <c r="B1583" s="30" t="s">
        <v>3338</v>
      </c>
      <c r="C1583" s="30" t="s">
        <v>257</v>
      </c>
      <c r="D1583" s="30" t="s">
        <v>232</v>
      </c>
    </row>
    <row r="1584" spans="1:4" ht="16">
      <c r="A1584" s="30" t="s">
        <v>3337</v>
      </c>
      <c r="B1584" s="30" t="s">
        <v>3338</v>
      </c>
      <c r="C1584" s="30" t="s">
        <v>61</v>
      </c>
      <c r="D1584" s="30" t="s">
        <v>160</v>
      </c>
    </row>
    <row r="1585" spans="1:4" ht="16">
      <c r="A1585" s="30" t="s">
        <v>3339</v>
      </c>
      <c r="B1585" s="30" t="s">
        <v>3340</v>
      </c>
      <c r="C1585" s="30" t="s">
        <v>2975</v>
      </c>
      <c r="D1585" s="30" t="s">
        <v>160</v>
      </c>
    </row>
    <row r="1586" spans="1:4" ht="16">
      <c r="A1586" s="30" t="s">
        <v>3341</v>
      </c>
      <c r="B1586" s="30" t="s">
        <v>3342</v>
      </c>
      <c r="C1586" s="30" t="s">
        <v>61</v>
      </c>
      <c r="D1586" s="30" t="s">
        <v>3343</v>
      </c>
    </row>
    <row r="1587" spans="1:4" ht="16">
      <c r="A1587" s="30" t="s">
        <v>3344</v>
      </c>
      <c r="B1587" s="30" t="s">
        <v>3345</v>
      </c>
      <c r="C1587" s="30" t="s">
        <v>65</v>
      </c>
      <c r="D1587" s="30" t="s">
        <v>66</v>
      </c>
    </row>
    <row r="1588" spans="1:4" ht="16">
      <c r="A1588" s="30" t="s">
        <v>3346</v>
      </c>
      <c r="B1588" s="30" t="s">
        <v>3347</v>
      </c>
      <c r="C1588" s="30" t="s">
        <v>85</v>
      </c>
      <c r="D1588" s="30" t="s">
        <v>3343</v>
      </c>
    </row>
    <row r="1589" spans="1:4" ht="16">
      <c r="A1589" s="30" t="s">
        <v>3348</v>
      </c>
      <c r="B1589" s="30" t="s">
        <v>3349</v>
      </c>
      <c r="C1589" s="30" t="s">
        <v>59</v>
      </c>
      <c r="D1589" s="30" t="s">
        <v>82</v>
      </c>
    </row>
    <row r="1590" spans="1:4" ht="16">
      <c r="A1590" s="30" t="s">
        <v>3350</v>
      </c>
      <c r="B1590" s="30" t="s">
        <v>3351</v>
      </c>
      <c r="C1590" s="30" t="s">
        <v>59</v>
      </c>
      <c r="D1590" s="30" t="s">
        <v>82</v>
      </c>
    </row>
    <row r="1591" spans="1:4" ht="16">
      <c r="A1591" s="30" t="s">
        <v>3352</v>
      </c>
      <c r="B1591" s="30" t="s">
        <v>3353</v>
      </c>
      <c r="C1591" s="30" t="s">
        <v>608</v>
      </c>
      <c r="D1591" s="30" t="s">
        <v>82</v>
      </c>
    </row>
    <row r="1592" spans="1:4" ht="16">
      <c r="A1592" s="30" t="s">
        <v>3354</v>
      </c>
      <c r="B1592" s="30" t="s">
        <v>3355</v>
      </c>
      <c r="C1592" s="30" t="s">
        <v>516</v>
      </c>
      <c r="D1592" s="30" t="s">
        <v>177</v>
      </c>
    </row>
    <row r="1593" spans="1:4" ht="16">
      <c r="A1593" s="30" t="s">
        <v>3356</v>
      </c>
      <c r="B1593" s="30" t="s">
        <v>3357</v>
      </c>
      <c r="C1593" s="30" t="s">
        <v>61</v>
      </c>
      <c r="D1593" s="30" t="s">
        <v>396</v>
      </c>
    </row>
    <row r="1594" spans="1:4" ht="16">
      <c r="A1594" s="30" t="s">
        <v>3356</v>
      </c>
      <c r="B1594" s="30" t="s">
        <v>3357</v>
      </c>
      <c r="C1594" s="30" t="s">
        <v>61</v>
      </c>
      <c r="D1594" s="30" t="s">
        <v>160</v>
      </c>
    </row>
    <row r="1595" spans="1:4" ht="16">
      <c r="A1595" s="30" t="s">
        <v>3358</v>
      </c>
      <c r="B1595" s="30" t="s">
        <v>3359</v>
      </c>
      <c r="C1595" s="30" t="s">
        <v>257</v>
      </c>
      <c r="D1595" s="30" t="s">
        <v>232</v>
      </c>
    </row>
    <row r="1596" spans="1:4" ht="16">
      <c r="A1596" s="30" t="s">
        <v>3360</v>
      </c>
      <c r="B1596" s="30" t="s">
        <v>3361</v>
      </c>
      <c r="C1596" s="30" t="s">
        <v>61</v>
      </c>
      <c r="D1596" s="30" t="s">
        <v>72</v>
      </c>
    </row>
    <row r="1597" spans="1:4" ht="16">
      <c r="A1597" s="30" t="s">
        <v>3362</v>
      </c>
      <c r="B1597" s="30" t="s">
        <v>3363</v>
      </c>
      <c r="C1597" s="30" t="s">
        <v>61</v>
      </c>
      <c r="D1597" s="30" t="s">
        <v>232</v>
      </c>
    </row>
    <row r="1598" spans="1:4" ht="16">
      <c r="A1598" s="30" t="s">
        <v>3364</v>
      </c>
      <c r="B1598" s="30" t="s">
        <v>3365</v>
      </c>
      <c r="C1598" s="30" t="s">
        <v>61</v>
      </c>
      <c r="D1598" s="30" t="s">
        <v>78</v>
      </c>
    </row>
    <row r="1599" spans="1:4" ht="16">
      <c r="A1599" s="30" t="s">
        <v>3366</v>
      </c>
      <c r="B1599" s="30" t="s">
        <v>3367</v>
      </c>
      <c r="C1599" s="30" t="s">
        <v>141</v>
      </c>
      <c r="D1599" s="30" t="s">
        <v>82</v>
      </c>
    </row>
    <row r="1600" spans="1:4" ht="16">
      <c r="A1600" s="30" t="s">
        <v>3368</v>
      </c>
      <c r="B1600" s="30" t="s">
        <v>3369</v>
      </c>
      <c r="C1600" s="30" t="s">
        <v>3370</v>
      </c>
      <c r="D1600" s="30" t="s">
        <v>3371</v>
      </c>
    </row>
    <row r="1601" spans="1:4" ht="16">
      <c r="A1601" s="30" t="s">
        <v>3368</v>
      </c>
      <c r="B1601" s="30" t="s">
        <v>3369</v>
      </c>
      <c r="C1601" s="30" t="s">
        <v>3370</v>
      </c>
      <c r="D1601" s="30" t="s">
        <v>605</v>
      </c>
    </row>
    <row r="1602" spans="1:4" ht="16">
      <c r="A1602" s="30" t="s">
        <v>3372</v>
      </c>
      <c r="B1602" s="30" t="s">
        <v>3373</v>
      </c>
      <c r="C1602" s="30" t="s">
        <v>3374</v>
      </c>
      <c r="D1602" s="30" t="s">
        <v>232</v>
      </c>
    </row>
    <row r="1603" spans="1:4" ht="16">
      <c r="A1603" s="30" t="s">
        <v>3375</v>
      </c>
      <c r="B1603" s="30" t="s">
        <v>3376</v>
      </c>
      <c r="C1603" s="30" t="s">
        <v>61</v>
      </c>
      <c r="D1603" s="30" t="s">
        <v>232</v>
      </c>
    </row>
    <row r="1604" spans="1:4" ht="16">
      <c r="A1604" s="30" t="s">
        <v>3377</v>
      </c>
      <c r="B1604" s="30" t="s">
        <v>3378</v>
      </c>
      <c r="C1604" s="30" t="s">
        <v>287</v>
      </c>
      <c r="D1604" s="30" t="s">
        <v>82</v>
      </c>
    </row>
    <row r="1605" spans="1:4" ht="16">
      <c r="A1605" s="30" t="s">
        <v>3379</v>
      </c>
      <c r="B1605" s="30" t="s">
        <v>3380</v>
      </c>
      <c r="C1605" s="30" t="s">
        <v>81</v>
      </c>
      <c r="D1605" s="30" t="s">
        <v>82</v>
      </c>
    </row>
    <row r="1606" spans="1:4" ht="16">
      <c r="A1606" s="30" t="s">
        <v>3381</v>
      </c>
      <c r="B1606" s="30" t="s">
        <v>3382</v>
      </c>
      <c r="C1606" s="30" t="s">
        <v>59</v>
      </c>
      <c r="D1606" s="30" t="s">
        <v>82</v>
      </c>
    </row>
    <row r="1607" spans="1:4" ht="16">
      <c r="A1607" s="30" t="s">
        <v>3383</v>
      </c>
      <c r="B1607" s="30" t="s">
        <v>3384</v>
      </c>
      <c r="C1607" s="30" t="s">
        <v>61</v>
      </c>
      <c r="D1607" s="30" t="s">
        <v>761</v>
      </c>
    </row>
    <row r="1608" spans="1:4" ht="16">
      <c r="A1608" s="30" t="s">
        <v>3385</v>
      </c>
      <c r="B1608" s="30" t="s">
        <v>3386</v>
      </c>
      <c r="C1608" s="30" t="s">
        <v>61</v>
      </c>
      <c r="D1608" s="30" t="s">
        <v>148</v>
      </c>
    </row>
    <row r="1609" spans="1:4" ht="16">
      <c r="A1609" s="30" t="s">
        <v>3387</v>
      </c>
      <c r="B1609" s="30" t="s">
        <v>3388</v>
      </c>
      <c r="C1609" s="30" t="s">
        <v>141</v>
      </c>
      <c r="D1609" s="30" t="s">
        <v>82</v>
      </c>
    </row>
    <row r="1610" spans="1:4" ht="16">
      <c r="A1610" s="30" t="s">
        <v>3389</v>
      </c>
      <c r="B1610" s="30" t="s">
        <v>3390</v>
      </c>
      <c r="C1610" s="30" t="s">
        <v>3391</v>
      </c>
      <c r="D1610" s="30" t="s">
        <v>3392</v>
      </c>
    </row>
    <row r="1611" spans="1:4" ht="16">
      <c r="A1611" s="30" t="s">
        <v>3393</v>
      </c>
      <c r="B1611" s="30" t="s">
        <v>3394</v>
      </c>
      <c r="C1611" s="30" t="s">
        <v>61</v>
      </c>
      <c r="D1611" s="30" t="s">
        <v>232</v>
      </c>
    </row>
    <row r="1612" spans="1:4" ht="16">
      <c r="A1612" s="30" t="s">
        <v>3395</v>
      </c>
      <c r="B1612" s="30" t="s">
        <v>3396</v>
      </c>
      <c r="C1612" s="30" t="s">
        <v>65</v>
      </c>
      <c r="D1612" s="30" t="s">
        <v>69</v>
      </c>
    </row>
    <row r="1613" spans="1:4" ht="16">
      <c r="A1613" s="30" t="s">
        <v>3397</v>
      </c>
      <c r="B1613" s="30" t="s">
        <v>3398</v>
      </c>
      <c r="C1613" s="30" t="s">
        <v>622</v>
      </c>
      <c r="D1613" s="30" t="s">
        <v>305</v>
      </c>
    </row>
    <row r="1614" spans="1:4" ht="16">
      <c r="A1614" s="30" t="s">
        <v>3399</v>
      </c>
      <c r="B1614" s="30" t="s">
        <v>3400</v>
      </c>
      <c r="C1614" s="30" t="s">
        <v>176</v>
      </c>
      <c r="D1614" s="30" t="s">
        <v>82</v>
      </c>
    </row>
    <row r="1615" spans="1:4" ht="16">
      <c r="A1615" s="30" t="s">
        <v>3401</v>
      </c>
      <c r="B1615" s="30" t="s">
        <v>3402</v>
      </c>
      <c r="C1615" s="30" t="s">
        <v>389</v>
      </c>
      <c r="D1615" s="30" t="s">
        <v>62</v>
      </c>
    </row>
    <row r="1616" spans="1:4" ht="16">
      <c r="A1616" s="30" t="s">
        <v>3403</v>
      </c>
      <c r="B1616" s="30" t="s">
        <v>3404</v>
      </c>
      <c r="C1616" s="30" t="s">
        <v>61</v>
      </c>
      <c r="D1616" s="30" t="s">
        <v>62</v>
      </c>
    </row>
    <row r="1617" spans="1:4" ht="16">
      <c r="A1617" s="30" t="s">
        <v>3405</v>
      </c>
      <c r="B1617" s="30" t="s">
        <v>3406</v>
      </c>
      <c r="C1617" s="30" t="s">
        <v>59</v>
      </c>
      <c r="D1617" s="30" t="s">
        <v>82</v>
      </c>
    </row>
    <row r="1618" spans="1:4" ht="16">
      <c r="A1618" s="30" t="s">
        <v>3407</v>
      </c>
      <c r="B1618" s="30" t="s">
        <v>3408</v>
      </c>
      <c r="C1618" s="30" t="s">
        <v>215</v>
      </c>
      <c r="D1618" s="30" t="s">
        <v>92</v>
      </c>
    </row>
    <row r="1619" spans="1:4" ht="16">
      <c r="A1619" s="30" t="s">
        <v>3409</v>
      </c>
      <c r="B1619" s="30" t="s">
        <v>3410</v>
      </c>
      <c r="C1619" s="30" t="s">
        <v>61</v>
      </c>
      <c r="D1619" s="30" t="s">
        <v>69</v>
      </c>
    </row>
    <row r="1620" spans="1:4" ht="16">
      <c r="A1620" s="30" t="s">
        <v>3411</v>
      </c>
      <c r="B1620" s="30" t="s">
        <v>3412</v>
      </c>
      <c r="C1620" s="30" t="s">
        <v>61</v>
      </c>
      <c r="D1620" s="30" t="s">
        <v>160</v>
      </c>
    </row>
    <row r="1621" spans="1:4" ht="16">
      <c r="A1621" s="30" t="s">
        <v>3413</v>
      </c>
      <c r="B1621" s="30" t="s">
        <v>3414</v>
      </c>
      <c r="C1621" s="30" t="s">
        <v>65</v>
      </c>
      <c r="D1621" s="30" t="s">
        <v>66</v>
      </c>
    </row>
    <row r="1622" spans="1:4" ht="16">
      <c r="A1622" s="30" t="s">
        <v>3415</v>
      </c>
      <c r="B1622" s="30" t="s">
        <v>3416</v>
      </c>
      <c r="C1622" s="30" t="s">
        <v>65</v>
      </c>
      <c r="D1622" s="30" t="s">
        <v>66</v>
      </c>
    </row>
    <row r="1623" spans="1:4" ht="16">
      <c r="A1623" s="30" t="s">
        <v>3417</v>
      </c>
      <c r="B1623" s="30" t="s">
        <v>3418</v>
      </c>
      <c r="C1623" s="30" t="s">
        <v>61</v>
      </c>
      <c r="D1623" s="30" t="s">
        <v>69</v>
      </c>
    </row>
    <row r="1624" spans="1:4" ht="16">
      <c r="A1624" s="30" t="s">
        <v>3419</v>
      </c>
      <c r="B1624" s="30" t="s">
        <v>3420</v>
      </c>
      <c r="C1624" s="30" t="s">
        <v>257</v>
      </c>
      <c r="D1624" s="30" t="s">
        <v>69</v>
      </c>
    </row>
    <row r="1625" spans="1:4" ht="16">
      <c r="A1625" s="30" t="s">
        <v>3421</v>
      </c>
      <c r="B1625" s="30" t="s">
        <v>3422</v>
      </c>
      <c r="C1625" s="30" t="s">
        <v>257</v>
      </c>
      <c r="D1625" s="30" t="s">
        <v>69</v>
      </c>
    </row>
    <row r="1626" spans="1:4" ht="16">
      <c r="A1626" s="30" t="s">
        <v>3423</v>
      </c>
      <c r="B1626" s="30" t="s">
        <v>3424</v>
      </c>
      <c r="C1626" s="30" t="s">
        <v>65</v>
      </c>
      <c r="D1626" s="30" t="s">
        <v>232</v>
      </c>
    </row>
    <row r="1627" spans="1:4" ht="16">
      <c r="A1627" s="30" t="s">
        <v>3425</v>
      </c>
      <c r="B1627" s="30" t="s">
        <v>3426</v>
      </c>
      <c r="C1627" s="30" t="s">
        <v>124</v>
      </c>
      <c r="D1627" s="30" t="s">
        <v>75</v>
      </c>
    </row>
    <row r="1628" spans="1:4" ht="16">
      <c r="A1628" s="30" t="s">
        <v>3427</v>
      </c>
      <c r="B1628" s="30" t="s">
        <v>3428</v>
      </c>
      <c r="C1628" s="30" t="s">
        <v>124</v>
      </c>
      <c r="D1628" s="30" t="s">
        <v>125</v>
      </c>
    </row>
    <row r="1629" spans="1:4" ht="16">
      <c r="A1629" s="30" t="s">
        <v>3429</v>
      </c>
      <c r="B1629" s="30" t="s">
        <v>3430</v>
      </c>
      <c r="C1629" s="30" t="s">
        <v>61</v>
      </c>
      <c r="D1629" s="30" t="s">
        <v>160</v>
      </c>
    </row>
    <row r="1630" spans="1:4" ht="16">
      <c r="A1630" s="30" t="s">
        <v>3431</v>
      </c>
      <c r="B1630" s="30" t="s">
        <v>3432</v>
      </c>
      <c r="C1630" s="30" t="s">
        <v>61</v>
      </c>
      <c r="D1630" s="30" t="s">
        <v>89</v>
      </c>
    </row>
    <row r="1631" spans="1:4" ht="16">
      <c r="A1631" s="30" t="s">
        <v>3433</v>
      </c>
      <c r="B1631" s="30" t="s">
        <v>3434</v>
      </c>
      <c r="C1631" s="30" t="s">
        <v>257</v>
      </c>
      <c r="D1631" s="30" t="s">
        <v>232</v>
      </c>
    </row>
    <row r="1632" spans="1:4" ht="16">
      <c r="A1632" s="30" t="s">
        <v>3435</v>
      </c>
      <c r="B1632" s="30" t="s">
        <v>3436</v>
      </c>
      <c r="C1632" s="30" t="s">
        <v>134</v>
      </c>
      <c r="D1632" s="30" t="s">
        <v>160</v>
      </c>
    </row>
    <row r="1633" spans="1:4" ht="16">
      <c r="A1633" s="30" t="s">
        <v>3437</v>
      </c>
      <c r="B1633" s="30" t="s">
        <v>3438</v>
      </c>
      <c r="C1633" s="30" t="s">
        <v>1708</v>
      </c>
      <c r="D1633" s="30" t="s">
        <v>75</v>
      </c>
    </row>
    <row r="1634" spans="1:4" ht="16">
      <c r="A1634" s="30" t="s">
        <v>3439</v>
      </c>
      <c r="B1634" s="30" t="s">
        <v>3440</v>
      </c>
      <c r="C1634" s="30" t="s">
        <v>619</v>
      </c>
      <c r="D1634" s="30" t="s">
        <v>210</v>
      </c>
    </row>
    <row r="1635" spans="1:4" ht="16">
      <c r="A1635" s="30" t="s">
        <v>3441</v>
      </c>
      <c r="B1635" s="30" t="s">
        <v>3442</v>
      </c>
      <c r="C1635" s="30" t="s">
        <v>61</v>
      </c>
      <c r="D1635" s="30" t="s">
        <v>89</v>
      </c>
    </row>
    <row r="1636" spans="1:4" ht="16">
      <c r="A1636" s="30" t="s">
        <v>3443</v>
      </c>
      <c r="B1636" s="30" t="s">
        <v>3444</v>
      </c>
      <c r="C1636" s="30" t="s">
        <v>141</v>
      </c>
      <c r="D1636" s="30" t="s">
        <v>82</v>
      </c>
    </row>
    <row r="1637" spans="1:4" ht="16">
      <c r="A1637" s="30" t="s">
        <v>3445</v>
      </c>
      <c r="B1637" s="30" t="s">
        <v>3446</v>
      </c>
      <c r="C1637" s="30" t="s">
        <v>61</v>
      </c>
      <c r="D1637" s="30" t="s">
        <v>210</v>
      </c>
    </row>
    <row r="1638" spans="1:4" ht="16">
      <c r="A1638" s="30" t="s">
        <v>3447</v>
      </c>
      <c r="B1638" s="30" t="s">
        <v>3448</v>
      </c>
      <c r="C1638" s="30" t="s">
        <v>61</v>
      </c>
      <c r="D1638" s="30" t="s">
        <v>103</v>
      </c>
    </row>
    <row r="1639" spans="1:4" ht="16">
      <c r="A1639" s="30" t="s">
        <v>3449</v>
      </c>
      <c r="B1639" s="30" t="s">
        <v>3450</v>
      </c>
      <c r="C1639" s="30" t="s">
        <v>61</v>
      </c>
      <c r="D1639" s="30" t="s">
        <v>232</v>
      </c>
    </row>
    <row r="1640" spans="1:4" ht="16">
      <c r="A1640" s="30" t="s">
        <v>3451</v>
      </c>
      <c r="B1640" s="30" t="s">
        <v>3452</v>
      </c>
      <c r="C1640" s="30" t="s">
        <v>231</v>
      </c>
      <c r="D1640" s="30" t="s">
        <v>82</v>
      </c>
    </row>
    <row r="1641" spans="1:4" ht="16">
      <c r="A1641" s="30" t="s">
        <v>3453</v>
      </c>
      <c r="B1641" s="30" t="s">
        <v>3454</v>
      </c>
      <c r="C1641" s="30" t="s">
        <v>65</v>
      </c>
      <c r="D1641" s="30" t="s">
        <v>66</v>
      </c>
    </row>
    <row r="1642" spans="1:4" ht="16">
      <c r="A1642" s="30" t="s">
        <v>3455</v>
      </c>
      <c r="B1642" s="30" t="s">
        <v>3456</v>
      </c>
      <c r="C1642" s="30" t="s">
        <v>61</v>
      </c>
      <c r="D1642" s="30" t="s">
        <v>103</v>
      </c>
    </row>
    <row r="1643" spans="1:4" ht="16">
      <c r="A1643" s="30" t="s">
        <v>3457</v>
      </c>
      <c r="B1643" s="30" t="s">
        <v>3458</v>
      </c>
      <c r="C1643" s="30" t="s">
        <v>61</v>
      </c>
      <c r="D1643" s="30" t="s">
        <v>232</v>
      </c>
    </row>
    <row r="1644" spans="1:4" ht="16">
      <c r="A1644" s="30" t="s">
        <v>3459</v>
      </c>
      <c r="B1644" s="30" t="s">
        <v>3460</v>
      </c>
      <c r="C1644" s="30" t="s">
        <v>61</v>
      </c>
      <c r="D1644" s="30" t="s">
        <v>232</v>
      </c>
    </row>
    <row r="1645" spans="1:4" ht="16">
      <c r="A1645" s="30" t="s">
        <v>3461</v>
      </c>
      <c r="B1645" s="30" t="s">
        <v>3462</v>
      </c>
      <c r="C1645" s="30" t="s">
        <v>449</v>
      </c>
      <c r="D1645" s="30" t="s">
        <v>232</v>
      </c>
    </row>
    <row r="1646" spans="1:4" ht="16">
      <c r="A1646" s="30" t="s">
        <v>3463</v>
      </c>
      <c r="B1646" s="30" t="s">
        <v>3464</v>
      </c>
      <c r="C1646" s="30" t="s">
        <v>61</v>
      </c>
      <c r="D1646" s="30" t="s">
        <v>75</v>
      </c>
    </row>
    <row r="1647" spans="1:4" ht="16">
      <c r="A1647" s="30" t="s">
        <v>3465</v>
      </c>
      <c r="B1647" s="30" t="s">
        <v>3466</v>
      </c>
      <c r="C1647" s="30" t="s">
        <v>61</v>
      </c>
      <c r="D1647" s="30" t="s">
        <v>896</v>
      </c>
    </row>
    <row r="1648" spans="1:4" ht="16">
      <c r="A1648" s="30" t="s">
        <v>3467</v>
      </c>
      <c r="B1648" s="30" t="s">
        <v>3468</v>
      </c>
      <c r="C1648" s="30" t="s">
        <v>61</v>
      </c>
      <c r="D1648" s="30" t="s">
        <v>69</v>
      </c>
    </row>
    <row r="1649" spans="1:4" ht="16">
      <c r="A1649" s="30" t="s">
        <v>3469</v>
      </c>
      <c r="B1649" s="30" t="s">
        <v>3470</v>
      </c>
      <c r="C1649" s="30" t="s">
        <v>59</v>
      </c>
      <c r="D1649" s="30" t="s">
        <v>82</v>
      </c>
    </row>
    <row r="1650" spans="1:4" ht="16">
      <c r="A1650" s="30" t="s">
        <v>3471</v>
      </c>
      <c r="B1650" s="30" t="s">
        <v>3472</v>
      </c>
      <c r="C1650" s="30" t="s">
        <v>61</v>
      </c>
      <c r="D1650" s="30" t="s">
        <v>103</v>
      </c>
    </row>
    <row r="1651" spans="1:4" ht="16">
      <c r="A1651" s="30" t="s">
        <v>3473</v>
      </c>
      <c r="B1651" s="30" t="s">
        <v>3474</v>
      </c>
      <c r="C1651" s="30" t="s">
        <v>61</v>
      </c>
      <c r="D1651" s="30" t="s">
        <v>160</v>
      </c>
    </row>
    <row r="1652" spans="1:4" ht="16">
      <c r="A1652" s="30" t="s">
        <v>3475</v>
      </c>
      <c r="B1652" s="30" t="s">
        <v>3476</v>
      </c>
      <c r="C1652" s="30" t="s">
        <v>65</v>
      </c>
      <c r="D1652" s="30" t="s">
        <v>1395</v>
      </c>
    </row>
    <row r="1653" spans="1:4" ht="16">
      <c r="A1653" s="30" t="s">
        <v>3477</v>
      </c>
      <c r="B1653" s="30" t="s">
        <v>3478</v>
      </c>
      <c r="C1653" s="30" t="s">
        <v>61</v>
      </c>
      <c r="D1653" s="30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CF75-2CD3-442A-8C3A-8F63F76E2749}">
  <dimension ref="D2:D5"/>
  <sheetViews>
    <sheetView workbookViewId="0">
      <selection activeCell="D2" sqref="D2"/>
    </sheetView>
  </sheetViews>
  <sheetFormatPr baseColWidth="10" defaultColWidth="9" defaultRowHeight="14"/>
  <cols>
    <col min="4" max="4" width="30.19921875" customWidth="1"/>
  </cols>
  <sheetData>
    <row r="2" spans="4:4" ht="60" customHeight="1">
      <c r="D2" s="17" t="s">
        <v>3479</v>
      </c>
    </row>
    <row r="3" spans="4:4" ht="60" customHeight="1">
      <c r="D3" s="17" t="s">
        <v>3480</v>
      </c>
    </row>
    <row r="4" spans="4:4" ht="60" customHeight="1">
      <c r="D4" s="17" t="s">
        <v>3481</v>
      </c>
    </row>
    <row r="5" spans="4:4" ht="60" customHeight="1">
      <c r="D5" s="17" t="s">
        <v>3482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5BF8-CCD9-4652-830E-ADCF826391BE}">
  <dimension ref="A1:S41"/>
  <sheetViews>
    <sheetView showGridLines="0" tabSelected="1" workbookViewId="0">
      <selection activeCell="B2" sqref="B2"/>
    </sheetView>
  </sheetViews>
  <sheetFormatPr baseColWidth="10" defaultColWidth="11.3984375" defaultRowHeight="14"/>
  <cols>
    <col min="1" max="1" width="36.796875" customWidth="1"/>
    <col min="2" max="2" width="19.19921875" bestFit="1" customWidth="1"/>
    <col min="3" max="3" width="22.19921875" bestFit="1" customWidth="1"/>
    <col min="4" max="4" width="14.19921875" customWidth="1"/>
    <col min="5" max="5" width="22.19921875" customWidth="1"/>
    <col min="6" max="6" width="47.796875" customWidth="1"/>
    <col min="7" max="7" width="19.59765625" style="1" bestFit="1" customWidth="1"/>
    <col min="8" max="8" width="17.796875" bestFit="1" customWidth="1"/>
    <col min="9" max="9" width="12" bestFit="1" customWidth="1"/>
    <col min="10" max="10" width="42.3984375" style="1" bestFit="1" customWidth="1"/>
    <col min="11" max="11" width="40.19921875" bestFit="1" customWidth="1"/>
    <col min="12" max="12" width="42.3984375" bestFit="1" customWidth="1"/>
    <col min="13" max="13" width="82.59765625" customWidth="1"/>
    <col min="14" max="14" width="18.796875" style="22" bestFit="1" customWidth="1"/>
    <col min="15" max="15" width="18.796875" customWidth="1"/>
  </cols>
  <sheetData>
    <row r="1" spans="1:16">
      <c r="A1" s="3" t="s">
        <v>0</v>
      </c>
      <c r="B1" s="1" t="s">
        <v>1</v>
      </c>
      <c r="C1" s="1" t="s">
        <v>2</v>
      </c>
      <c r="D1" s="3" t="s">
        <v>3483</v>
      </c>
      <c r="E1" s="3" t="s">
        <v>3484</v>
      </c>
      <c r="F1" s="3" t="s">
        <v>3485</v>
      </c>
      <c r="G1" s="1" t="s">
        <v>3486</v>
      </c>
      <c r="H1" s="3" t="s">
        <v>3487</v>
      </c>
      <c r="I1" s="3" t="s">
        <v>3488</v>
      </c>
      <c r="J1" s="3" t="s">
        <v>3489</v>
      </c>
      <c r="K1" s="3" t="s">
        <v>3490</v>
      </c>
      <c r="L1" s="3" t="s">
        <v>3491</v>
      </c>
      <c r="M1" s="1" t="s">
        <v>3492</v>
      </c>
      <c r="N1" s="21" t="s">
        <v>3493</v>
      </c>
      <c r="O1" s="6"/>
    </row>
    <row r="2" spans="1:16">
      <c r="A2" s="2"/>
      <c r="B2" s="1" t="str">
        <f>IF(Tabla4[[#This Row],[instructor_]]="","",_xlfn.XLOOKUP(Tabla4[[#This Row],[instructor_]],diccionario_!$A$1:$A$13,diccionario_!$B$1:$B$13,,0))</f>
        <v/>
      </c>
      <c r="C2" s="1" t="str">
        <f>IF(Tabla4[[#This Row],[instructor_]]="","",_xlfn.XLOOKUP(Tabla4[[#This Row],[instructor_]],diccionario_!$A$1:$A$13,diccionario_!$C$1:$C$13,,0))</f>
        <v/>
      </c>
      <c r="D2" s="11"/>
      <c r="E2" s="14"/>
      <c r="F2" s="2"/>
      <c r="G2" s="1" t="str">
        <f>IF(Tabla4[[#This Row],[trabajador_]]="","",_xlfn.XLOOKUP(Tabla4[[#This Row],[trabajador_]],Tabla2[Nombre Completo],Tabla2[Número de Documento],,0))</f>
        <v/>
      </c>
      <c r="H2" s="2"/>
      <c r="I2" s="2"/>
      <c r="J2" s="2"/>
      <c r="K2" s="2"/>
      <c r="L2" s="2"/>
      <c r="M2" s="1" t="str">
        <f>_xlfn.TEXTJOIN(" - ",TRUE,Tabla4[[#This Row],[modelo_1]],Tabla4[[#This Row],[modelo_2]],Tabla4[[#This Row],[modelo_3]])</f>
        <v/>
      </c>
      <c r="N2" s="7"/>
      <c r="O2" s="6"/>
    </row>
    <row r="3" spans="1:16">
      <c r="A3" s="2"/>
      <c r="B3" s="1" t="str">
        <f>IF(Tabla4[[#This Row],[instructor_]]="","",_xlfn.XLOOKUP(Tabla4[[#This Row],[instructor_]],diccionario_!$A$1:$A$13,diccionario_!$B$1:$B$13,,0))</f>
        <v/>
      </c>
      <c r="C3" s="1" t="str">
        <f>IF(Tabla4[[#This Row],[instructor_]]="","",_xlfn.XLOOKUP(Tabla4[[#This Row],[instructor_]],diccionario_!$A$1:$A$13,diccionario_!$C$1:$C$13,,0))</f>
        <v/>
      </c>
      <c r="D3" s="11"/>
      <c r="E3" s="14"/>
      <c r="F3" s="2"/>
      <c r="G3" s="1" t="str">
        <f>IF(Tabla4[[#This Row],[trabajador_]]="","",_xlfn.XLOOKUP(Tabla4[[#This Row],[trabajador_]],Tabla2[Nombre Completo],Tabla2[Número de Documento],,0))</f>
        <v/>
      </c>
      <c r="H3" s="2"/>
      <c r="I3" s="2"/>
      <c r="J3" s="2"/>
      <c r="K3" s="2"/>
      <c r="L3" s="2"/>
      <c r="M3" s="1" t="str">
        <f>_xlfn.TEXTJOIN(" - ",TRUE,Tabla4[[#This Row],[modelo_1]],Tabla4[[#This Row],[modelo_2]],Tabla4[[#This Row],[modelo_3]])</f>
        <v/>
      </c>
      <c r="N3" s="7"/>
      <c r="O3" s="2"/>
    </row>
    <row r="4" spans="1:16">
      <c r="A4" s="2"/>
      <c r="B4" s="1" t="str">
        <f>IF(Tabla4[[#This Row],[instructor_]]="","",_xlfn.XLOOKUP(Tabla4[[#This Row],[instructor_]],diccionario_!$A$1:$A$13,diccionario_!$B$1:$B$13,,0))</f>
        <v/>
      </c>
      <c r="C4" s="1" t="str">
        <f>IF(Tabla4[[#This Row],[instructor_]]="","",_xlfn.XLOOKUP(Tabla4[[#This Row],[instructor_]],diccionario_!$A$1:$A$13,diccionario_!$C$1:$C$13,,0))</f>
        <v/>
      </c>
      <c r="D4" s="11"/>
      <c r="E4" s="14"/>
      <c r="F4" s="2"/>
      <c r="G4" s="1" t="str">
        <f>IF(Tabla4[[#This Row],[trabajador_]]="","",_xlfn.XLOOKUP(Tabla4[[#This Row],[trabajador_]],Tabla2[Nombre Completo],Tabla2[Número de Documento],,0))</f>
        <v/>
      </c>
      <c r="H4" s="2"/>
      <c r="I4" s="2"/>
      <c r="J4" s="2"/>
      <c r="K4" s="2"/>
      <c r="L4" s="2"/>
      <c r="M4" s="1" t="str">
        <f>_xlfn.TEXTJOIN(" - ",TRUE,Tabla4[[#This Row],[modelo_1]],Tabla4[[#This Row],[modelo_2]],Tabla4[[#This Row],[modelo_3]])</f>
        <v/>
      </c>
      <c r="N4" s="7"/>
      <c r="O4" s="2"/>
    </row>
    <row r="5" spans="1:16">
      <c r="A5" s="2"/>
      <c r="B5" s="1" t="str">
        <f>IF(Tabla4[[#This Row],[instructor_]]="","",_xlfn.XLOOKUP(Tabla4[[#This Row],[instructor_]],diccionario_!$A$1:$A$13,diccionario_!$B$1:$B$13,,0))</f>
        <v/>
      </c>
      <c r="C5" s="1" t="str">
        <f>IF(Tabla4[[#This Row],[instructor_]]="","",_xlfn.XLOOKUP(Tabla4[[#This Row],[instructor_]],diccionario_!$A$1:$A$13,diccionario_!$C$1:$C$13,,0))</f>
        <v/>
      </c>
      <c r="D5" s="11"/>
      <c r="E5" s="14"/>
      <c r="F5" s="2"/>
      <c r="G5" s="1" t="str">
        <f>IF(Tabla4[[#This Row],[trabajador_]]="","",_xlfn.XLOOKUP(Tabla4[[#This Row],[trabajador_]],Tabla2[Nombre Completo],Tabla2[Número de Documento],,0))</f>
        <v/>
      </c>
      <c r="H5" s="2"/>
      <c r="I5" s="2"/>
      <c r="J5" s="2"/>
      <c r="K5" s="2"/>
      <c r="L5" s="2"/>
      <c r="M5" s="1" t="str">
        <f>_xlfn.TEXTJOIN(" - ",TRUE,Tabla4[[#This Row],[modelo_1]],Tabla4[[#This Row],[modelo_2]],Tabla4[[#This Row],[modelo_3]])</f>
        <v/>
      </c>
      <c r="N5" s="7"/>
      <c r="O5" s="2"/>
      <c r="P5" s="9"/>
    </row>
    <row r="6" spans="1:16">
      <c r="A6" s="2"/>
      <c r="B6" s="1" t="str">
        <f>IF(Tabla4[[#This Row],[instructor_]]="","",_xlfn.XLOOKUP(Tabla4[[#This Row],[instructor_]],diccionario_!$A$1:$A$13,diccionario_!$B$1:$B$13,,0))</f>
        <v/>
      </c>
      <c r="C6" s="1" t="str">
        <f>IF(Tabla4[[#This Row],[instructor_]]="","",_xlfn.XLOOKUP(Tabla4[[#This Row],[instructor_]],diccionario_!$A$1:$A$13,diccionario_!$C$1:$C$13,,0))</f>
        <v/>
      </c>
      <c r="D6" s="11"/>
      <c r="E6" s="14"/>
      <c r="F6" s="2"/>
      <c r="G6" s="1" t="str">
        <f>IF(Tabla4[[#This Row],[trabajador_]]="","",_xlfn.XLOOKUP(Tabla4[[#This Row],[trabajador_]],Tabla2[Nombre Completo],Tabla2[Número de Documento],,0))</f>
        <v/>
      </c>
      <c r="H6" s="2"/>
      <c r="I6" s="2"/>
      <c r="J6" s="2"/>
      <c r="K6" s="2"/>
      <c r="L6" s="2"/>
      <c r="M6" s="1" t="str">
        <f>_xlfn.TEXTJOIN(" - ",TRUE,Tabla4[[#This Row],[modelo_1]],Tabla4[[#This Row],[modelo_2]],Tabla4[[#This Row],[modelo_3]])</f>
        <v/>
      </c>
      <c r="N6" s="7"/>
      <c r="O6" s="2"/>
    </row>
    <row r="7" spans="1:16">
      <c r="A7" s="2"/>
      <c r="B7" s="1" t="str">
        <f>IF(Tabla4[[#This Row],[instructor_]]="","",_xlfn.XLOOKUP(Tabla4[[#This Row],[instructor_]],diccionario_!$A$1:$A$13,diccionario_!$B$1:$B$13,,0))</f>
        <v/>
      </c>
      <c r="C7" s="1" t="str">
        <f>IF(Tabla4[[#This Row],[instructor_]]="","",_xlfn.XLOOKUP(Tabla4[[#This Row],[instructor_]],diccionario_!$A$1:$A$13,diccionario_!$C$1:$C$13,,0))</f>
        <v/>
      </c>
      <c r="D7" s="11"/>
      <c r="E7" s="14"/>
      <c r="F7" s="2"/>
      <c r="G7" s="1" t="str">
        <f>IF(Tabla4[[#This Row],[trabajador_]]="","",_xlfn.XLOOKUP(Tabla4[[#This Row],[trabajador_]],Tabla2[Nombre Completo],Tabla2[Número de Documento],,0))</f>
        <v/>
      </c>
      <c r="H7" s="2"/>
      <c r="I7" s="2"/>
      <c r="J7" s="2"/>
      <c r="K7" s="2"/>
      <c r="L7" s="2"/>
      <c r="M7" s="1" t="str">
        <f>_xlfn.TEXTJOIN(" - ",TRUE,Tabla4[[#This Row],[modelo_1]],Tabla4[[#This Row],[modelo_2]],Tabla4[[#This Row],[modelo_3]])</f>
        <v/>
      </c>
      <c r="N7" s="7"/>
      <c r="O7" s="2"/>
    </row>
    <row r="8" spans="1:16">
      <c r="A8" s="2"/>
      <c r="B8" s="1" t="str">
        <f>IF(Tabla4[[#This Row],[instructor_]]="","",_xlfn.XLOOKUP(Tabla4[[#This Row],[instructor_]],diccionario_!$A$1:$A$13,diccionario_!$B$1:$B$13,,0))</f>
        <v/>
      </c>
      <c r="C8" s="1" t="str">
        <f>IF(Tabla4[[#This Row],[instructor_]]="","",_xlfn.XLOOKUP(Tabla4[[#This Row],[instructor_]],diccionario_!$A$1:$A$13,diccionario_!$C$1:$C$13,,0))</f>
        <v/>
      </c>
      <c r="D8" s="11"/>
      <c r="E8" s="14"/>
      <c r="F8" s="2"/>
      <c r="G8" s="1" t="str">
        <f>IF(Tabla4[[#This Row],[trabajador_]]="","",_xlfn.XLOOKUP(Tabla4[[#This Row],[trabajador_]],Tabla2[Nombre Completo],Tabla2[Número de Documento],,0))</f>
        <v/>
      </c>
      <c r="H8" s="2"/>
      <c r="I8" s="2"/>
      <c r="J8" s="2"/>
      <c r="K8" s="2"/>
      <c r="L8" s="2"/>
      <c r="M8" s="1" t="str">
        <f>_xlfn.TEXTJOIN(" - ",TRUE,Tabla4[[#This Row],[modelo_1]],Tabla4[[#This Row],[modelo_2]],Tabla4[[#This Row],[modelo_3]])</f>
        <v/>
      </c>
      <c r="N8" s="7"/>
      <c r="O8" s="2"/>
    </row>
    <row r="9" spans="1:16">
      <c r="A9" s="2"/>
      <c r="B9" s="1" t="str">
        <f>IF(Tabla4[[#This Row],[instructor_]]="","",_xlfn.XLOOKUP(Tabla4[[#This Row],[instructor_]],diccionario_!$A$1:$A$13,diccionario_!$B$1:$B$13,,0))</f>
        <v/>
      </c>
      <c r="C9" s="1" t="str">
        <f>IF(Tabla4[[#This Row],[instructor_]]="","",_xlfn.XLOOKUP(Tabla4[[#This Row],[instructor_]],diccionario_!$A$1:$A$13,diccionario_!$C$1:$C$13,,0))</f>
        <v/>
      </c>
      <c r="D9" s="11"/>
      <c r="E9" s="14"/>
      <c r="F9" s="2"/>
      <c r="G9" s="1" t="str">
        <f>IF(Tabla4[[#This Row],[trabajador_]]="","",_xlfn.XLOOKUP(Tabla4[[#This Row],[trabajador_]],Tabla2[Nombre Completo],Tabla2[Número de Documento],,0))</f>
        <v/>
      </c>
      <c r="H9" s="2"/>
      <c r="I9" s="2"/>
      <c r="J9" s="2"/>
      <c r="K9" s="2"/>
      <c r="L9" s="2"/>
      <c r="M9" s="1" t="str">
        <f>_xlfn.TEXTJOIN(" - ",TRUE,Tabla4[[#This Row],[modelo_1]],Tabla4[[#This Row],[modelo_2]],Tabla4[[#This Row],[modelo_3]])</f>
        <v/>
      </c>
      <c r="N9" s="7"/>
      <c r="O9" s="2"/>
    </row>
    <row r="10" spans="1:16">
      <c r="A10" s="2"/>
      <c r="B10" s="1" t="str">
        <f>IF(Tabla4[[#This Row],[instructor_]]="","",_xlfn.XLOOKUP(Tabla4[[#This Row],[instructor_]],diccionario_!$A$1:$A$13,diccionario_!$B$1:$B$13,,0))</f>
        <v/>
      </c>
      <c r="C10" s="1" t="str">
        <f>IF(Tabla4[[#This Row],[instructor_]]="","",_xlfn.XLOOKUP(Tabla4[[#This Row],[instructor_]],diccionario_!$A$1:$A$13,diccionario_!$C$1:$C$13,,0))</f>
        <v/>
      </c>
      <c r="D10" s="11"/>
      <c r="E10" s="14"/>
      <c r="F10" s="2"/>
      <c r="G10" s="1" t="str">
        <f>IF(Tabla4[[#This Row],[trabajador_]]="","",_xlfn.XLOOKUP(Tabla4[[#This Row],[trabajador_]],Tabla2[Nombre Completo],Tabla2[Número de Documento],,0))</f>
        <v/>
      </c>
      <c r="H10" s="2"/>
      <c r="I10" s="2"/>
      <c r="J10" s="2"/>
      <c r="K10" s="2"/>
      <c r="L10" s="2"/>
      <c r="M10" s="1" t="str">
        <f>_xlfn.TEXTJOIN(" - ",TRUE,Tabla4[[#This Row],[modelo_1]],Tabla4[[#This Row],[modelo_2]],Tabla4[[#This Row],[modelo_3]])</f>
        <v/>
      </c>
      <c r="N10" s="7"/>
      <c r="O10" s="2"/>
    </row>
    <row r="11" spans="1:16">
      <c r="A11" s="2"/>
      <c r="B11" s="1" t="str">
        <f>IF(Tabla4[[#This Row],[instructor_]]="","",_xlfn.XLOOKUP(Tabla4[[#This Row],[instructor_]],diccionario_!$A$1:$A$13,diccionario_!$B$1:$B$13,,0))</f>
        <v/>
      </c>
      <c r="C11" s="1" t="str">
        <f>IF(Tabla4[[#This Row],[instructor_]]="","",_xlfn.XLOOKUP(Tabla4[[#This Row],[instructor_]],diccionario_!$A$1:$A$13,diccionario_!$C$1:$C$13,,0))</f>
        <v/>
      </c>
      <c r="D11" s="11"/>
      <c r="E11" s="14"/>
      <c r="F11" s="2"/>
      <c r="G11" s="1" t="str">
        <f>IF(Tabla4[[#This Row],[trabajador_]]="","",_xlfn.XLOOKUP(Tabla4[[#This Row],[trabajador_]],Tabla2[Nombre Completo],Tabla2[Número de Documento],,0))</f>
        <v/>
      </c>
      <c r="H11" s="2"/>
      <c r="I11" s="2"/>
      <c r="J11" s="2"/>
      <c r="K11" s="2"/>
      <c r="L11" s="2"/>
      <c r="M11" s="1" t="str">
        <f>_xlfn.TEXTJOIN(" - ",TRUE,Tabla4[[#This Row],[modelo_1]],Tabla4[[#This Row],[modelo_2]],Tabla4[[#This Row],[modelo_3]])</f>
        <v/>
      </c>
      <c r="N11" s="7"/>
      <c r="O11" s="2"/>
    </row>
    <row r="12" spans="1:16">
      <c r="A12" s="2"/>
      <c r="B12" s="1" t="str">
        <f>IF(Tabla4[[#This Row],[instructor_]]="","",_xlfn.XLOOKUP(Tabla4[[#This Row],[instructor_]],diccionario_!$A$1:$A$13,diccionario_!$B$1:$B$13,,0))</f>
        <v/>
      </c>
      <c r="C12" s="1" t="str">
        <f>IF(Tabla4[[#This Row],[instructor_]]="","",_xlfn.XLOOKUP(Tabla4[[#This Row],[instructor_]],diccionario_!$A$1:$A$13,diccionario_!$C$1:$C$13,,0))</f>
        <v/>
      </c>
      <c r="D12" s="11"/>
      <c r="E12" s="14"/>
      <c r="F12" s="2"/>
      <c r="G12" s="1" t="str">
        <f>IF(Tabla4[[#This Row],[trabajador_]]="","",_xlfn.XLOOKUP(Tabla4[[#This Row],[trabajador_]],Tabla2[Nombre Completo],Tabla2[Número de Documento],,0))</f>
        <v/>
      </c>
      <c r="H12" s="2"/>
      <c r="I12" s="2"/>
      <c r="J12" s="2"/>
      <c r="K12" s="2"/>
      <c r="L12" s="2"/>
      <c r="M12" s="1" t="str">
        <f>_xlfn.TEXTJOIN(" - ",TRUE,Tabla4[[#This Row],[modelo_1]],Tabla4[[#This Row],[modelo_2]],Tabla4[[#This Row],[modelo_3]])</f>
        <v/>
      </c>
      <c r="N12" s="7"/>
      <c r="O12" s="2"/>
    </row>
    <row r="13" spans="1:16">
      <c r="A13" s="2"/>
      <c r="B13" s="1" t="str">
        <f>IF(Tabla4[[#This Row],[instructor_]]="","",_xlfn.XLOOKUP(Tabla4[[#This Row],[instructor_]],diccionario_!$A$1:$A$13,diccionario_!$B$1:$B$13,,0))</f>
        <v/>
      </c>
      <c r="C13" s="1" t="str">
        <f>IF(Tabla4[[#This Row],[instructor_]]="","",_xlfn.XLOOKUP(Tabla4[[#This Row],[instructor_]],diccionario_!$A$1:$A$13,diccionario_!$C$1:$C$13,,0))</f>
        <v/>
      </c>
      <c r="D13" s="11"/>
      <c r="E13" s="14"/>
      <c r="F13" s="2"/>
      <c r="G13" s="1" t="str">
        <f>IF(Tabla4[[#This Row],[trabajador_]]="","",_xlfn.XLOOKUP(Tabla4[[#This Row],[trabajador_]],Tabla2[Nombre Completo],Tabla2[Número de Documento],,0))</f>
        <v/>
      </c>
      <c r="H13" s="2"/>
      <c r="I13" s="2"/>
      <c r="J13" s="2"/>
      <c r="K13" s="2"/>
      <c r="L13" s="2"/>
      <c r="M13" s="1" t="str">
        <f>_xlfn.TEXTJOIN(" - ",TRUE,Tabla4[[#This Row],[modelo_1]],Tabla4[[#This Row],[modelo_2]],Tabla4[[#This Row],[modelo_3]])</f>
        <v/>
      </c>
      <c r="N13" s="7"/>
      <c r="O13" s="2"/>
    </row>
    <row r="14" spans="1:16">
      <c r="A14" s="2"/>
      <c r="B14" s="1" t="str">
        <f>IF(Tabla4[[#This Row],[instructor_]]="","",_xlfn.XLOOKUP(Tabla4[[#This Row],[instructor_]],diccionario_!$A$1:$A$13,diccionario_!$B$1:$B$13,,0))</f>
        <v/>
      </c>
      <c r="C14" s="1" t="str">
        <f>IF(Tabla4[[#This Row],[instructor_]]="","",_xlfn.XLOOKUP(Tabla4[[#This Row],[instructor_]],diccionario_!$A$1:$A$13,diccionario_!$C$1:$C$13,,0))</f>
        <v/>
      </c>
      <c r="D14" s="11"/>
      <c r="E14" s="14"/>
      <c r="F14" s="2"/>
      <c r="G14" s="1" t="str">
        <f>IF(Tabla4[[#This Row],[trabajador_]]="","",_xlfn.XLOOKUP(Tabla4[[#This Row],[trabajador_]],Tabla2[Nombre Completo],Tabla2[Número de Documento],,0))</f>
        <v/>
      </c>
      <c r="H14" s="2"/>
      <c r="I14" s="2"/>
      <c r="J14" s="2"/>
      <c r="K14" s="2"/>
      <c r="L14" s="2"/>
      <c r="M14" s="1" t="str">
        <f>_xlfn.TEXTJOIN(" - ",TRUE,Tabla4[[#This Row],[modelo_1]],Tabla4[[#This Row],[modelo_2]],Tabla4[[#This Row],[modelo_3]])</f>
        <v/>
      </c>
      <c r="N14" s="7"/>
      <c r="O14" s="2"/>
    </row>
    <row r="15" spans="1:16">
      <c r="A15" s="2"/>
      <c r="B15" s="1" t="str">
        <f>IF(Tabla4[[#This Row],[instructor_]]="","",_xlfn.XLOOKUP(Tabla4[[#This Row],[instructor_]],diccionario_!$A$1:$A$13,diccionario_!$B$1:$B$13,,0))</f>
        <v/>
      </c>
      <c r="C15" s="1" t="str">
        <f>IF(Tabla4[[#This Row],[instructor_]]="","",_xlfn.XLOOKUP(Tabla4[[#This Row],[instructor_]],diccionario_!$A$1:$A$13,diccionario_!$C$1:$C$13,,0))</f>
        <v/>
      </c>
      <c r="D15" s="11"/>
      <c r="E15" s="14"/>
      <c r="F15" s="2"/>
      <c r="G15" s="1" t="str">
        <f>IF(Tabla4[[#This Row],[trabajador_]]="","",_xlfn.XLOOKUP(Tabla4[[#This Row],[trabajador_]],Tabla2[Nombre Completo],Tabla2[Número de Documento],,0))</f>
        <v/>
      </c>
      <c r="H15" s="2"/>
      <c r="I15" s="2"/>
      <c r="J15" s="2"/>
      <c r="K15" s="2"/>
      <c r="L15" s="2"/>
      <c r="M15" s="1" t="str">
        <f>_xlfn.TEXTJOIN(" - ",TRUE,Tabla4[[#This Row],[modelo_1]],Tabla4[[#This Row],[modelo_2]],Tabla4[[#This Row],[modelo_3]])</f>
        <v/>
      </c>
      <c r="N15" s="7"/>
      <c r="O15" s="2"/>
    </row>
    <row r="16" spans="1:16">
      <c r="A16" s="2"/>
      <c r="B16" s="1" t="str">
        <f>IF(Tabla4[[#This Row],[instructor_]]="","",_xlfn.XLOOKUP(Tabla4[[#This Row],[instructor_]],diccionario_!$A$1:$A$13,diccionario_!$B$1:$B$13,,0))</f>
        <v/>
      </c>
      <c r="C16" s="1" t="str">
        <f>IF(Tabla4[[#This Row],[instructor_]]="","",_xlfn.XLOOKUP(Tabla4[[#This Row],[instructor_]],diccionario_!$A$1:$A$13,diccionario_!$C$1:$C$13,,0))</f>
        <v/>
      </c>
      <c r="D16" s="11"/>
      <c r="E16" s="14"/>
      <c r="F16" s="2"/>
      <c r="G16" s="1" t="str">
        <f>IF(Tabla4[[#This Row],[trabajador_]]="","",_xlfn.XLOOKUP(Tabla4[[#This Row],[trabajador_]],Tabla2[Nombre Completo],Tabla2[Número de Documento],,0))</f>
        <v/>
      </c>
      <c r="H16" s="2"/>
      <c r="I16" s="2"/>
      <c r="J16" s="2"/>
      <c r="K16" s="2"/>
      <c r="L16" s="2"/>
      <c r="M16" s="1" t="str">
        <f>_xlfn.TEXTJOIN(" - ",TRUE,Tabla4[[#This Row],[modelo_1]],Tabla4[[#This Row],[modelo_2]],Tabla4[[#This Row],[modelo_3]])</f>
        <v/>
      </c>
      <c r="N16" s="7"/>
      <c r="O16" s="2"/>
    </row>
    <row r="17" spans="1:19">
      <c r="A17" s="2"/>
      <c r="B17" s="1" t="str">
        <f>IF(Tabla4[[#This Row],[instructor_]]="","",_xlfn.XLOOKUP(Tabla4[[#This Row],[instructor_]],diccionario_!$A$1:$A$13,diccionario_!$B$1:$B$13,,0))</f>
        <v/>
      </c>
      <c r="C17" s="1" t="str">
        <f>IF(Tabla4[[#This Row],[instructor_]]="","",_xlfn.XLOOKUP(Tabla4[[#This Row],[instructor_]],diccionario_!$A$1:$A$13,diccionario_!$C$1:$C$13,,0))</f>
        <v/>
      </c>
      <c r="D17" s="11"/>
      <c r="E17" s="14"/>
      <c r="F17" s="2"/>
      <c r="G17" s="1" t="str">
        <f>IF(Tabla4[[#This Row],[trabajador_]]="","",_xlfn.XLOOKUP(Tabla4[[#This Row],[trabajador_]],Tabla2[Nombre Completo],Tabla2[Número de Documento],,0))</f>
        <v/>
      </c>
      <c r="H17" s="2"/>
      <c r="I17" s="2"/>
      <c r="J17" s="2"/>
      <c r="K17" s="2"/>
      <c r="L17" s="2"/>
      <c r="M17" s="1" t="str">
        <f>_xlfn.TEXTJOIN(" - ",TRUE,Tabla4[[#This Row],[modelo_1]],Tabla4[[#This Row],[modelo_2]],Tabla4[[#This Row],[modelo_3]])</f>
        <v/>
      </c>
      <c r="N17" s="7"/>
      <c r="O17" s="2"/>
    </row>
    <row r="18" spans="1:19">
      <c r="A18" s="2"/>
      <c r="B18" s="1" t="str">
        <f>IF(Tabla4[[#This Row],[instructor_]]="","",_xlfn.XLOOKUP(Tabla4[[#This Row],[instructor_]],diccionario_!$A$1:$A$13,diccionario_!$B$1:$B$13,,0))</f>
        <v/>
      </c>
      <c r="C18" s="1" t="str">
        <f>IF(Tabla4[[#This Row],[instructor_]]="","",_xlfn.XLOOKUP(Tabla4[[#This Row],[instructor_]],diccionario_!$A$1:$A$13,diccionario_!$C$1:$C$13,,0))</f>
        <v/>
      </c>
      <c r="D18" s="11"/>
      <c r="E18" s="14"/>
      <c r="F18" s="2"/>
      <c r="G18" s="1" t="str">
        <f>IF(Tabla4[[#This Row],[trabajador_]]="","",_xlfn.XLOOKUP(Tabla4[[#This Row],[trabajador_]],Tabla2[Nombre Completo],Tabla2[Número de Documento],,0))</f>
        <v/>
      </c>
      <c r="H18" s="2"/>
      <c r="I18" s="2"/>
      <c r="J18" s="2"/>
      <c r="K18" s="2"/>
      <c r="L18" s="2"/>
      <c r="M18" s="1" t="str">
        <f>_xlfn.TEXTJOIN(" - ",TRUE,Tabla4[[#This Row],[modelo_1]],Tabla4[[#This Row],[modelo_2]],Tabla4[[#This Row],[modelo_3]])</f>
        <v/>
      </c>
      <c r="N18" s="7"/>
      <c r="O18" s="2"/>
      <c r="S18" s="1"/>
    </row>
    <row r="19" spans="1:19">
      <c r="A19" s="2"/>
      <c r="B19" s="1" t="str">
        <f>IF(Tabla4[[#This Row],[instructor_]]="","",_xlfn.XLOOKUP(Tabla4[[#This Row],[instructor_]],diccionario_!$A$1:$A$13,diccionario_!$B$1:$B$13,,0))</f>
        <v/>
      </c>
      <c r="C19" s="1" t="str">
        <f>IF(Tabla4[[#This Row],[instructor_]]="","",_xlfn.XLOOKUP(Tabla4[[#This Row],[instructor_]],diccionario_!$A$1:$A$13,diccionario_!$C$1:$C$13,,0))</f>
        <v/>
      </c>
      <c r="D19" s="11"/>
      <c r="E19" s="14"/>
      <c r="F19" s="2"/>
      <c r="G19" s="1" t="str">
        <f>IF(Tabla4[[#This Row],[trabajador_]]="","",_xlfn.XLOOKUP(Tabla4[[#This Row],[trabajador_]],Tabla2[Nombre Completo],Tabla2[Número de Documento],,0))</f>
        <v/>
      </c>
      <c r="H19" s="2"/>
      <c r="I19" s="2"/>
      <c r="J19" s="2"/>
      <c r="K19" s="2"/>
      <c r="L19" s="2"/>
      <c r="M19" s="1" t="str">
        <f>_xlfn.TEXTJOIN(" - ",TRUE,Tabla4[[#This Row],[modelo_1]],Tabla4[[#This Row],[modelo_2]],Tabla4[[#This Row],[modelo_3]])</f>
        <v/>
      </c>
      <c r="N19" s="7"/>
      <c r="O19" s="2"/>
    </row>
    <row r="20" spans="1:19">
      <c r="A20" s="2"/>
      <c r="B20" s="1" t="str">
        <f>IF(Tabla4[[#This Row],[instructor_]]="","",_xlfn.XLOOKUP(Tabla4[[#This Row],[instructor_]],diccionario_!$A$1:$A$13,diccionario_!$B$1:$B$13,,0))</f>
        <v/>
      </c>
      <c r="C20" s="1" t="str">
        <f>IF(Tabla4[[#This Row],[instructor_]]="","",_xlfn.XLOOKUP(Tabla4[[#This Row],[instructor_]],diccionario_!$A$1:$A$13,diccionario_!$C$1:$C$13,,0))</f>
        <v/>
      </c>
      <c r="D20" s="11"/>
      <c r="E20" s="14"/>
      <c r="F20" s="2"/>
      <c r="G20" s="1" t="str">
        <f>IF(Tabla4[[#This Row],[trabajador_]]="","",_xlfn.XLOOKUP(Tabla4[[#This Row],[trabajador_]],Tabla2[Nombre Completo],Tabla2[Número de Documento],,0))</f>
        <v/>
      </c>
      <c r="H20" s="2"/>
      <c r="I20" s="2"/>
      <c r="J20" s="2"/>
      <c r="K20" s="2"/>
      <c r="L20" s="2"/>
      <c r="M20" s="1" t="str">
        <f>_xlfn.TEXTJOIN(" - ",TRUE,Tabla4[[#This Row],[modelo_1]],Tabla4[[#This Row],[modelo_2]],Tabla4[[#This Row],[modelo_3]])</f>
        <v/>
      </c>
      <c r="N20" s="7"/>
      <c r="O20" s="2"/>
    </row>
    <row r="21" spans="1:19">
      <c r="A21" s="2"/>
      <c r="B21" s="1" t="str">
        <f>IF(Tabla4[[#This Row],[instructor_]]="","",_xlfn.XLOOKUP(Tabla4[[#This Row],[instructor_]],diccionario_!$A$1:$A$13,diccionario_!$B$1:$B$13,,0))</f>
        <v/>
      </c>
      <c r="C21" s="1" t="str">
        <f>IF(Tabla4[[#This Row],[instructor_]]="","",_xlfn.XLOOKUP(Tabla4[[#This Row],[instructor_]],diccionario_!$A$1:$A$13,diccionario_!$C$1:$C$13,,0))</f>
        <v/>
      </c>
      <c r="D21" s="11"/>
      <c r="E21" s="14"/>
      <c r="F21" s="2"/>
      <c r="G21" s="1" t="str">
        <f>IF(Tabla4[[#This Row],[trabajador_]]="","",_xlfn.XLOOKUP(Tabla4[[#This Row],[trabajador_]],Tabla2[Nombre Completo],Tabla2[Número de Documento],,0))</f>
        <v/>
      </c>
      <c r="H21" s="2"/>
      <c r="I21" s="2"/>
      <c r="J21" s="2"/>
      <c r="K21" s="2"/>
      <c r="L21" s="2"/>
      <c r="M21" s="1" t="str">
        <f>_xlfn.TEXTJOIN(" - ",TRUE,Tabla4[[#This Row],[modelo_1]],Tabla4[[#This Row],[modelo_2]],Tabla4[[#This Row],[modelo_3]])</f>
        <v/>
      </c>
      <c r="N21" s="7"/>
      <c r="O21" s="2"/>
    </row>
    <row r="22" spans="1:19">
      <c r="A22" s="2"/>
      <c r="B22" s="1" t="str">
        <f>IF(Tabla4[[#This Row],[instructor_]]="","",_xlfn.XLOOKUP(Tabla4[[#This Row],[instructor_]],diccionario_!$A$1:$A$13,diccionario_!$B$1:$B$13,,0))</f>
        <v/>
      </c>
      <c r="C22" s="1" t="str">
        <f>IF(Tabla4[[#This Row],[instructor_]]="","",_xlfn.XLOOKUP(Tabla4[[#This Row],[instructor_]],diccionario_!$A$1:$A$13,diccionario_!$C$1:$C$13,,0))</f>
        <v/>
      </c>
      <c r="D22" s="11"/>
      <c r="E22" s="14"/>
      <c r="F22" s="2"/>
      <c r="G22" s="1" t="str">
        <f>IF(Tabla4[[#This Row],[trabajador_]]="","",_xlfn.XLOOKUP(Tabla4[[#This Row],[trabajador_]],Tabla2[Nombre Completo],Tabla2[Número de Documento],,0))</f>
        <v/>
      </c>
      <c r="H22" s="2"/>
      <c r="I22" s="2"/>
      <c r="J22" s="2"/>
      <c r="K22" s="2"/>
      <c r="L22" s="2"/>
      <c r="M22" s="1" t="str">
        <f>_xlfn.TEXTJOIN(" - ",TRUE,Tabla4[[#This Row],[modelo_1]],Tabla4[[#This Row],[modelo_2]],Tabla4[[#This Row],[modelo_3]])</f>
        <v/>
      </c>
      <c r="N22" s="7"/>
      <c r="O22" s="2"/>
    </row>
    <row r="23" spans="1:19">
      <c r="A23" s="2"/>
      <c r="B23" s="1" t="str">
        <f>IF(Tabla4[[#This Row],[instructor_]]="","",_xlfn.XLOOKUP(Tabla4[[#This Row],[instructor_]],diccionario_!$A$1:$A$13,diccionario_!$B$1:$B$13,,0))</f>
        <v/>
      </c>
      <c r="C23" s="1" t="str">
        <f>IF(Tabla4[[#This Row],[instructor_]]="","",_xlfn.XLOOKUP(Tabla4[[#This Row],[instructor_]],diccionario_!$A$1:$A$13,diccionario_!$C$1:$C$13,,0))</f>
        <v/>
      </c>
      <c r="D23" s="11"/>
      <c r="E23" s="14"/>
      <c r="F23" s="2"/>
      <c r="G23" s="1" t="str">
        <f>IF(Tabla4[[#This Row],[trabajador_]]="","",_xlfn.XLOOKUP(Tabla4[[#This Row],[trabajador_]],Tabla2[Nombre Completo],Tabla2[Número de Documento],,0))</f>
        <v/>
      </c>
      <c r="H23" s="2"/>
      <c r="I23" s="2"/>
      <c r="J23" s="2"/>
      <c r="K23" s="2"/>
      <c r="L23" s="2"/>
      <c r="M23" s="1" t="str">
        <f>_xlfn.TEXTJOIN(" - ",TRUE,Tabla4[[#This Row],[modelo_1]],Tabla4[[#This Row],[modelo_2]],Tabla4[[#This Row],[modelo_3]])</f>
        <v/>
      </c>
      <c r="N23" s="7"/>
      <c r="O23" s="2"/>
    </row>
    <row r="24" spans="1:19">
      <c r="A24" s="2"/>
      <c r="B24" s="1" t="str">
        <f>IF(Tabla4[[#This Row],[instructor_]]="","",_xlfn.XLOOKUP(Tabla4[[#This Row],[instructor_]],diccionario_!$A$1:$A$13,diccionario_!$B$1:$B$13,,0))</f>
        <v/>
      </c>
      <c r="C24" s="1" t="str">
        <f>IF(Tabla4[[#This Row],[instructor_]]="","",_xlfn.XLOOKUP(Tabla4[[#This Row],[instructor_]],diccionario_!$A$1:$A$13,diccionario_!$C$1:$C$13,,0))</f>
        <v/>
      </c>
      <c r="D24" s="11"/>
      <c r="E24" s="14"/>
      <c r="F24" s="2"/>
      <c r="G24" s="1" t="str">
        <f>IF(Tabla4[[#This Row],[trabajador_]]="","",_xlfn.XLOOKUP(Tabla4[[#This Row],[trabajador_]],Tabla2[Nombre Completo],Tabla2[Número de Documento],,0))</f>
        <v/>
      </c>
      <c r="H24" s="2"/>
      <c r="I24" s="2"/>
      <c r="J24" s="2"/>
      <c r="K24" s="2"/>
      <c r="L24" s="2"/>
      <c r="M24" s="1" t="str">
        <f>_xlfn.TEXTJOIN(" - ",TRUE,Tabla4[[#This Row],[modelo_1]],Tabla4[[#This Row],[modelo_2]],Tabla4[[#This Row],[modelo_3]])</f>
        <v/>
      </c>
      <c r="N24" s="7"/>
      <c r="O24" s="2"/>
    </row>
    <row r="25" spans="1:19">
      <c r="A25" s="2"/>
      <c r="B25" s="1" t="str">
        <f>IF(Tabla4[[#This Row],[instructor_]]="","",_xlfn.XLOOKUP(Tabla4[[#This Row],[instructor_]],diccionario_!$A$1:$A$13,diccionario_!$B$1:$B$13,,0))</f>
        <v/>
      </c>
      <c r="C25" s="1" t="str">
        <f>IF(Tabla4[[#This Row],[instructor_]]="","",_xlfn.XLOOKUP(Tabla4[[#This Row],[instructor_]],diccionario_!$A$1:$A$13,diccionario_!$C$1:$C$13,,0))</f>
        <v/>
      </c>
      <c r="D25" s="11"/>
      <c r="E25" s="14"/>
      <c r="F25" s="2"/>
      <c r="G25" s="1" t="str">
        <f>IF(Tabla4[[#This Row],[trabajador_]]="","",_xlfn.XLOOKUP(Tabla4[[#This Row],[trabajador_]],Tabla2[Nombre Completo],Tabla2[Número de Documento],,0))</f>
        <v/>
      </c>
      <c r="H25" s="2"/>
      <c r="I25" s="2"/>
      <c r="J25" s="2"/>
      <c r="K25" s="2"/>
      <c r="L25" s="2"/>
      <c r="M25" s="1" t="str">
        <f>_xlfn.TEXTJOIN(" - ",TRUE,Tabla4[[#This Row],[modelo_1]],Tabla4[[#This Row],[modelo_2]],Tabla4[[#This Row],[modelo_3]])</f>
        <v/>
      </c>
      <c r="N25" s="7"/>
      <c r="O25" s="2"/>
    </row>
    <row r="26" spans="1:19">
      <c r="A26" s="2"/>
      <c r="B26" s="1" t="str">
        <f>IF(Tabla4[[#This Row],[instructor_]]="","",_xlfn.XLOOKUP(Tabla4[[#This Row],[instructor_]],diccionario_!$A$1:$A$13,diccionario_!$B$1:$B$13,,0))</f>
        <v/>
      </c>
      <c r="C26" s="1" t="str">
        <f>IF(Tabla4[[#This Row],[instructor_]]="","",_xlfn.XLOOKUP(Tabla4[[#This Row],[instructor_]],diccionario_!$A$1:$A$13,diccionario_!$C$1:$C$13,,0))</f>
        <v/>
      </c>
      <c r="D26" s="11"/>
      <c r="E26" s="14"/>
      <c r="F26" s="2"/>
      <c r="G26" s="1" t="str">
        <f>IF(Tabla4[[#This Row],[trabajador_]]="","",_xlfn.XLOOKUP(Tabla4[[#This Row],[trabajador_]],Tabla2[Nombre Completo],Tabla2[Número de Documento],,0))</f>
        <v/>
      </c>
      <c r="H26" s="2"/>
      <c r="I26" s="2"/>
      <c r="J26" s="2"/>
      <c r="K26" s="2"/>
      <c r="L26" s="2"/>
      <c r="M26" s="1" t="str">
        <f>_xlfn.TEXTJOIN(" - ",TRUE,Tabla4[[#This Row],[modelo_1]],Tabla4[[#This Row],[modelo_2]],Tabla4[[#This Row],[modelo_3]])</f>
        <v/>
      </c>
      <c r="N26" s="7"/>
      <c r="O26" s="2"/>
    </row>
    <row r="27" spans="1:19">
      <c r="A27" s="2"/>
      <c r="B27" s="1" t="str">
        <f>IF(Tabla4[[#This Row],[instructor_]]="","",_xlfn.XLOOKUP(Tabla4[[#This Row],[instructor_]],diccionario_!$A$1:$A$13,diccionario_!$B$1:$B$13,,0))</f>
        <v/>
      </c>
      <c r="C27" s="1" t="str">
        <f>IF(Tabla4[[#This Row],[instructor_]]="","",_xlfn.XLOOKUP(Tabla4[[#This Row],[instructor_]],diccionario_!$A$1:$A$13,diccionario_!$C$1:$C$13,,0))</f>
        <v/>
      </c>
      <c r="D27" s="11"/>
      <c r="E27" s="14"/>
      <c r="F27" s="2"/>
      <c r="G27" s="1" t="str">
        <f>IF(Tabla4[[#This Row],[trabajador_]]="","",_xlfn.XLOOKUP(Tabla4[[#This Row],[trabajador_]],Tabla2[Nombre Completo],Tabla2[Número de Documento],,0))</f>
        <v/>
      </c>
      <c r="H27" s="2"/>
      <c r="I27" s="2"/>
      <c r="J27" s="2"/>
      <c r="K27" s="2"/>
      <c r="L27" s="2"/>
      <c r="M27" s="1" t="str">
        <f>_xlfn.TEXTJOIN(" - ",TRUE,Tabla4[[#This Row],[modelo_1]],Tabla4[[#This Row],[modelo_2]],Tabla4[[#This Row],[modelo_3]])</f>
        <v/>
      </c>
      <c r="N27" s="7"/>
      <c r="O27" s="2"/>
    </row>
    <row r="28" spans="1:19">
      <c r="A28" s="2"/>
      <c r="B28" s="1" t="str">
        <f>IF(Tabla4[[#This Row],[instructor_]]="","",_xlfn.XLOOKUP(Tabla4[[#This Row],[instructor_]],diccionario_!$A$1:$A$13,diccionario_!$B$1:$B$13,,0))</f>
        <v/>
      </c>
      <c r="C28" s="1" t="str">
        <f>IF(Tabla4[[#This Row],[instructor_]]="","",_xlfn.XLOOKUP(Tabla4[[#This Row],[instructor_]],diccionario_!$A$1:$A$13,diccionario_!$C$1:$C$13,,0))</f>
        <v/>
      </c>
      <c r="D28" s="11"/>
      <c r="E28" s="14"/>
      <c r="F28" s="2"/>
      <c r="G28" s="1" t="str">
        <f>IF(Tabla4[[#This Row],[trabajador_]]="","",_xlfn.XLOOKUP(Tabla4[[#This Row],[trabajador_]],Tabla2[Nombre Completo],Tabla2[Número de Documento],,0))</f>
        <v/>
      </c>
      <c r="H28" s="2"/>
      <c r="I28" s="2"/>
      <c r="J28" s="2"/>
      <c r="K28" s="2"/>
      <c r="L28" s="2"/>
      <c r="M28" s="1" t="str">
        <f>_xlfn.TEXTJOIN(" - ",TRUE,Tabla4[[#This Row],[modelo_1]],Tabla4[[#This Row],[modelo_2]],Tabla4[[#This Row],[modelo_3]])</f>
        <v/>
      </c>
      <c r="N28" s="7"/>
      <c r="O28" s="2"/>
    </row>
    <row r="29" spans="1:19">
      <c r="A29" s="2"/>
      <c r="B29" s="1" t="str">
        <f>IF(Tabla4[[#This Row],[instructor_]]="","",_xlfn.XLOOKUP(Tabla4[[#This Row],[instructor_]],diccionario_!$A$1:$A$13,diccionario_!$B$1:$B$13,,0))</f>
        <v/>
      </c>
      <c r="C29" s="1" t="str">
        <f>IF(Tabla4[[#This Row],[instructor_]]="","",_xlfn.XLOOKUP(Tabla4[[#This Row],[instructor_]],diccionario_!$A$1:$A$13,diccionario_!$C$1:$C$13,,0))</f>
        <v/>
      </c>
      <c r="D29" s="11"/>
      <c r="E29" s="14"/>
      <c r="F29" s="2"/>
      <c r="G29" s="1" t="str">
        <f>IF(Tabla4[[#This Row],[trabajador_]]="","",_xlfn.XLOOKUP(Tabla4[[#This Row],[trabajador_]],Tabla2[Nombre Completo],Tabla2[Número de Documento],,0))</f>
        <v/>
      </c>
      <c r="H29" s="2"/>
      <c r="I29" s="2"/>
      <c r="J29" s="2"/>
      <c r="K29" s="2"/>
      <c r="L29" s="2"/>
      <c r="M29" s="1" t="str">
        <f>_xlfn.TEXTJOIN(" - ",TRUE,Tabla4[[#This Row],[modelo_1]],Tabla4[[#This Row],[modelo_2]],Tabla4[[#This Row],[modelo_3]])</f>
        <v/>
      </c>
      <c r="N29" s="7"/>
      <c r="O29" s="2"/>
    </row>
    <row r="30" spans="1:19">
      <c r="A30" s="2"/>
      <c r="B30" s="1" t="str">
        <f>IF(Tabla4[[#This Row],[instructor_]]="","",_xlfn.XLOOKUP(Tabla4[[#This Row],[instructor_]],diccionario_!$A$1:$A$13,diccionario_!$B$1:$B$13,,0))</f>
        <v/>
      </c>
      <c r="C30" s="1" t="str">
        <f>IF(Tabla4[[#This Row],[instructor_]]="","",_xlfn.XLOOKUP(Tabla4[[#This Row],[instructor_]],diccionario_!$A$1:$A$13,diccionario_!$C$1:$C$13,,0))</f>
        <v/>
      </c>
      <c r="D30" s="11"/>
      <c r="E30" s="14"/>
      <c r="F30" s="2"/>
      <c r="G30" s="1" t="str">
        <f>IF(Tabla4[[#This Row],[trabajador_]]="","",_xlfn.XLOOKUP(Tabla4[[#This Row],[trabajador_]],Tabla2[Nombre Completo],Tabla2[Número de Documento],,0))</f>
        <v/>
      </c>
      <c r="H30" s="2"/>
      <c r="I30" s="2"/>
      <c r="J30" s="2"/>
      <c r="K30" s="2"/>
      <c r="L30" s="2"/>
      <c r="M30" s="1" t="str">
        <f>_xlfn.TEXTJOIN(" - ",TRUE,Tabla4[[#This Row],[modelo_1]],Tabla4[[#This Row],[modelo_2]],Tabla4[[#This Row],[modelo_3]])</f>
        <v/>
      </c>
      <c r="N30" s="7"/>
      <c r="O30" s="2"/>
    </row>
    <row r="31" spans="1:19">
      <c r="A31" s="2"/>
      <c r="B31" s="1" t="str">
        <f>IF(Tabla4[[#This Row],[instructor_]]="","",_xlfn.XLOOKUP(Tabla4[[#This Row],[instructor_]],diccionario_!$A$1:$A$13,diccionario_!$B$1:$B$13,,0))</f>
        <v/>
      </c>
      <c r="C31" s="1" t="str">
        <f>IF(Tabla4[[#This Row],[instructor_]]="","",_xlfn.XLOOKUP(Tabla4[[#This Row],[instructor_]],diccionario_!$A$1:$A$13,diccionario_!$C$1:$C$13,,0))</f>
        <v/>
      </c>
      <c r="D31" s="11"/>
      <c r="E31" s="14"/>
      <c r="F31" s="2"/>
      <c r="G31" s="1" t="str">
        <f>IF(Tabla4[[#This Row],[trabajador_]]="","",_xlfn.XLOOKUP(Tabla4[[#This Row],[trabajador_]],Tabla2[Nombre Completo],Tabla2[Número de Documento],,0))</f>
        <v/>
      </c>
      <c r="H31" s="2"/>
      <c r="I31" s="2"/>
      <c r="J31" s="2"/>
      <c r="K31" s="2"/>
      <c r="L31" s="2"/>
      <c r="M31" s="1" t="str">
        <f>_xlfn.TEXTJOIN(" - ",TRUE,Tabla4[[#This Row],[modelo_1]],Tabla4[[#This Row],[modelo_2]],Tabla4[[#This Row],[modelo_3]])</f>
        <v/>
      </c>
      <c r="N31" s="7"/>
      <c r="O31" s="2"/>
    </row>
    <row r="32" spans="1:19">
      <c r="A32" s="2"/>
      <c r="B32" s="1" t="str">
        <f>IF(Tabla4[[#This Row],[instructor_]]="","",_xlfn.XLOOKUP(Tabla4[[#This Row],[instructor_]],diccionario_!$A$1:$A$13,diccionario_!$B$1:$B$13,,0))</f>
        <v/>
      </c>
      <c r="C32" s="1" t="str">
        <f>IF(Tabla4[[#This Row],[instructor_]]="","",_xlfn.XLOOKUP(Tabla4[[#This Row],[instructor_]],diccionario_!$A$1:$A$13,diccionario_!$C$1:$C$13,,0))</f>
        <v/>
      </c>
      <c r="D32" s="11"/>
      <c r="E32" s="14"/>
      <c r="F32" s="2"/>
      <c r="G32" s="1" t="str">
        <f>IF(Tabla4[[#This Row],[trabajador_]]="","",_xlfn.XLOOKUP(Tabla4[[#This Row],[trabajador_]],Tabla2[Nombre Completo],Tabla2[Número de Documento],,0))</f>
        <v/>
      </c>
      <c r="H32" s="2"/>
      <c r="I32" s="2"/>
      <c r="J32" s="2"/>
      <c r="K32" s="2"/>
      <c r="L32" s="2"/>
      <c r="M32" s="1" t="str">
        <f>_xlfn.TEXTJOIN(" - ",TRUE,Tabla4[[#This Row],[modelo_1]],Tabla4[[#This Row],[modelo_2]],Tabla4[[#This Row],[modelo_3]])</f>
        <v/>
      </c>
      <c r="N32" s="7"/>
      <c r="O32" s="2"/>
    </row>
    <row r="33" spans="1:15">
      <c r="A33" s="2"/>
      <c r="B33" s="1" t="str">
        <f>IF(Tabla4[[#This Row],[instructor_]]="","",_xlfn.XLOOKUP(Tabla4[[#This Row],[instructor_]],diccionario_!$A$1:$A$13,diccionario_!$B$1:$B$13,,0))</f>
        <v/>
      </c>
      <c r="C33" s="1" t="str">
        <f>IF(Tabla4[[#This Row],[instructor_]]="","",_xlfn.XLOOKUP(Tabla4[[#This Row],[instructor_]],diccionario_!$A$1:$A$13,diccionario_!$C$1:$C$13,,0))</f>
        <v/>
      </c>
      <c r="D33" s="11"/>
      <c r="E33" s="14"/>
      <c r="F33" s="2"/>
      <c r="G33" s="1" t="str">
        <f>IF(Tabla4[[#This Row],[trabajador_]]="","",_xlfn.XLOOKUP(Tabla4[[#This Row],[trabajador_]],Tabla2[Nombre Completo],Tabla2[Número de Documento],,0))</f>
        <v/>
      </c>
      <c r="H33" s="2"/>
      <c r="I33" s="2"/>
      <c r="J33" s="2"/>
      <c r="K33" s="2"/>
      <c r="L33" s="2"/>
      <c r="M33" s="1" t="str">
        <f>_xlfn.TEXTJOIN(" - ",TRUE,Tabla4[[#This Row],[modelo_1]],Tabla4[[#This Row],[modelo_2]],Tabla4[[#This Row],[modelo_3]])</f>
        <v/>
      </c>
      <c r="N33" s="7"/>
      <c r="O33" s="2"/>
    </row>
    <row r="34" spans="1:15">
      <c r="A34" s="2"/>
      <c r="B34" s="1" t="str">
        <f>IF(Tabla4[[#This Row],[instructor_]]="","",_xlfn.XLOOKUP(Tabla4[[#This Row],[instructor_]],diccionario_!$A$1:$A$13,diccionario_!$B$1:$B$13,,0))</f>
        <v/>
      </c>
      <c r="C34" s="1" t="str">
        <f>IF(Tabla4[[#This Row],[instructor_]]="","",_xlfn.XLOOKUP(Tabla4[[#This Row],[instructor_]],diccionario_!$A$1:$A$13,diccionario_!$C$1:$C$13,,0))</f>
        <v/>
      </c>
      <c r="D34" s="11"/>
      <c r="E34" s="14"/>
      <c r="F34" s="2"/>
      <c r="G34" s="1" t="str">
        <f>IF(Tabla4[[#This Row],[trabajador_]]="","",_xlfn.XLOOKUP(Tabla4[[#This Row],[trabajador_]],Tabla2[Nombre Completo],Tabla2[Número de Documento],,0))</f>
        <v/>
      </c>
      <c r="H34" s="2"/>
      <c r="I34" s="2"/>
      <c r="J34" s="2"/>
      <c r="K34" s="2"/>
      <c r="L34" s="2"/>
      <c r="M34" s="1" t="str">
        <f>_xlfn.TEXTJOIN(" - ",TRUE,Tabla4[[#This Row],[modelo_1]],Tabla4[[#This Row],[modelo_2]],Tabla4[[#This Row],[modelo_3]])</f>
        <v/>
      </c>
      <c r="N34" s="7"/>
      <c r="O34" s="2"/>
    </row>
    <row r="35" spans="1:15">
      <c r="A35" s="2"/>
      <c r="B35" s="1" t="str">
        <f>IF(Tabla4[[#This Row],[instructor_]]="","",_xlfn.XLOOKUP(Tabla4[[#This Row],[instructor_]],diccionario_!$A$1:$A$13,diccionario_!$B$1:$B$13,,0))</f>
        <v/>
      </c>
      <c r="C35" s="1" t="str">
        <f>IF(Tabla4[[#This Row],[instructor_]]="","",_xlfn.XLOOKUP(Tabla4[[#This Row],[instructor_]],diccionario_!$A$1:$A$13,diccionario_!$C$1:$C$13,,0))</f>
        <v/>
      </c>
      <c r="D35" s="11"/>
      <c r="E35" s="14"/>
      <c r="F35" s="2"/>
      <c r="G35" s="1" t="str">
        <f>IF(Tabla4[[#This Row],[trabajador_]]="","",_xlfn.XLOOKUP(Tabla4[[#This Row],[trabajador_]],Tabla2[Nombre Completo],Tabla2[Número de Documento],,0))</f>
        <v/>
      </c>
      <c r="H35" s="2"/>
      <c r="I35" s="2"/>
      <c r="J35" s="2"/>
      <c r="K35" s="2"/>
      <c r="L35" s="2"/>
      <c r="M35" s="1" t="str">
        <f>_xlfn.TEXTJOIN(" - ",TRUE,Tabla4[[#This Row],[modelo_1]],Tabla4[[#This Row],[modelo_2]],Tabla4[[#This Row],[modelo_3]])</f>
        <v/>
      </c>
      <c r="N35" s="7"/>
      <c r="O35" s="2"/>
    </row>
    <row r="36" spans="1:15">
      <c r="A36" s="2"/>
      <c r="B36" s="1" t="str">
        <f>IF(Tabla4[[#This Row],[instructor_]]="","",_xlfn.XLOOKUP(Tabla4[[#This Row],[instructor_]],diccionario_!$A$1:$A$13,diccionario_!$B$1:$B$13,,0))</f>
        <v/>
      </c>
      <c r="C36" s="1" t="str">
        <f>IF(Tabla4[[#This Row],[instructor_]]="","",_xlfn.XLOOKUP(Tabla4[[#This Row],[instructor_]],diccionario_!$A$1:$A$13,diccionario_!$C$1:$C$13,,0))</f>
        <v/>
      </c>
      <c r="D36" s="11"/>
      <c r="E36" s="14"/>
      <c r="F36" s="2"/>
      <c r="G36" s="1" t="str">
        <f>IF(Tabla4[[#This Row],[trabajador_]]="","",_xlfn.XLOOKUP(Tabla4[[#This Row],[trabajador_]],Tabla2[Nombre Completo],Tabla2[Número de Documento],,0))</f>
        <v/>
      </c>
      <c r="H36" s="2"/>
      <c r="I36" s="2"/>
      <c r="J36" s="2"/>
      <c r="K36" s="2"/>
      <c r="L36" s="2"/>
      <c r="M36" s="1" t="str">
        <f>_xlfn.TEXTJOIN(" - ",TRUE,Tabla4[[#This Row],[modelo_1]],Tabla4[[#This Row],[modelo_2]],Tabla4[[#This Row],[modelo_3]])</f>
        <v/>
      </c>
      <c r="N36" s="7"/>
      <c r="O36" s="2"/>
    </row>
    <row r="37" spans="1:15">
      <c r="A37" s="2"/>
      <c r="B37" s="1" t="str">
        <f>IF(Tabla4[[#This Row],[instructor_]]="","",_xlfn.XLOOKUP(Tabla4[[#This Row],[instructor_]],diccionario_!$A$1:$A$13,diccionario_!$B$1:$B$13,,0))</f>
        <v/>
      </c>
      <c r="C37" s="1" t="str">
        <f>IF(Tabla4[[#This Row],[instructor_]]="","",_xlfn.XLOOKUP(Tabla4[[#This Row],[instructor_]],diccionario_!$A$1:$A$13,diccionario_!$C$1:$C$13,,0))</f>
        <v/>
      </c>
      <c r="D37" s="11"/>
      <c r="E37" s="14"/>
      <c r="F37" s="2"/>
      <c r="G37" s="1" t="str">
        <f>IF(Tabla4[[#This Row],[trabajador_]]="","",_xlfn.XLOOKUP(Tabla4[[#This Row],[trabajador_]],Tabla2[Nombre Completo],Tabla2[Número de Documento],,0))</f>
        <v/>
      </c>
      <c r="H37" s="2"/>
      <c r="I37" s="2"/>
      <c r="J37" s="2"/>
      <c r="K37" s="2"/>
      <c r="L37" s="2"/>
      <c r="M37" s="1" t="str">
        <f>_xlfn.TEXTJOIN(" - ",TRUE,Tabla4[[#This Row],[modelo_1]],Tabla4[[#This Row],[modelo_2]],Tabla4[[#This Row],[modelo_3]])</f>
        <v/>
      </c>
      <c r="N37" s="7"/>
      <c r="O37" s="2"/>
    </row>
    <row r="38" spans="1:15">
      <c r="A38" s="2"/>
      <c r="B38" s="1" t="str">
        <f>IF(Tabla4[[#This Row],[instructor_]]="","",_xlfn.XLOOKUP(Tabla4[[#This Row],[instructor_]],diccionario_!$A$1:$A$13,diccionario_!$B$1:$B$13,,0))</f>
        <v/>
      </c>
      <c r="C38" s="1" t="str">
        <f>IF(Tabla4[[#This Row],[instructor_]]="","",_xlfn.XLOOKUP(Tabla4[[#This Row],[instructor_]],diccionario_!$A$1:$A$13,diccionario_!$C$1:$C$13,,0))</f>
        <v/>
      </c>
      <c r="D38" s="11"/>
      <c r="E38" s="14"/>
      <c r="F38" s="2"/>
      <c r="G38" s="1" t="str">
        <f>IF(Tabla4[[#This Row],[trabajador_]]="","",_xlfn.XLOOKUP(Tabla4[[#This Row],[trabajador_]],Tabla2[Nombre Completo],Tabla2[Número de Documento],,0))</f>
        <v/>
      </c>
      <c r="H38" s="2"/>
      <c r="I38" s="2"/>
      <c r="J38" s="2"/>
      <c r="K38" s="2"/>
      <c r="L38" s="2"/>
      <c r="M38" s="1" t="str">
        <f>_xlfn.TEXTJOIN(" - ",TRUE,Tabla4[[#This Row],[modelo_1]],Tabla4[[#This Row],[modelo_2]],Tabla4[[#This Row],[modelo_3]])</f>
        <v/>
      </c>
      <c r="N38" s="7"/>
      <c r="O38" s="2"/>
    </row>
    <row r="39" spans="1:15">
      <c r="A39" s="2"/>
      <c r="B39" s="1" t="str">
        <f>IF(Tabla4[[#This Row],[instructor_]]="","",_xlfn.XLOOKUP(Tabla4[[#This Row],[instructor_]],diccionario_!$A$1:$A$13,diccionario_!$B$1:$B$13,,0))</f>
        <v/>
      </c>
      <c r="C39" s="1" t="str">
        <f>IF(Tabla4[[#This Row],[instructor_]]="","",_xlfn.XLOOKUP(Tabla4[[#This Row],[instructor_]],diccionario_!$A$1:$A$13,diccionario_!$C$1:$C$13,,0))</f>
        <v/>
      </c>
      <c r="D39" s="11"/>
      <c r="E39" s="14"/>
      <c r="F39" s="2"/>
      <c r="G39" s="1" t="str">
        <f>IF(Tabla4[[#This Row],[trabajador_]]="","",_xlfn.XLOOKUP(Tabla4[[#This Row],[trabajador_]],Tabla2[Nombre Completo],Tabla2[Número de Documento],,0))</f>
        <v/>
      </c>
      <c r="H39" s="2"/>
      <c r="I39" s="2"/>
      <c r="J39" s="2"/>
      <c r="K39" s="2"/>
      <c r="L39" s="2"/>
      <c r="M39" s="1" t="str">
        <f>_xlfn.TEXTJOIN(" - ",TRUE,Tabla4[[#This Row],[modelo_1]],Tabla4[[#This Row],[modelo_2]],Tabla4[[#This Row],[modelo_3]])</f>
        <v/>
      </c>
      <c r="N39" s="7"/>
      <c r="O39" s="2"/>
    </row>
    <row r="40" spans="1:15">
      <c r="A40" s="2"/>
      <c r="B40" s="1" t="str">
        <f>IF(Tabla4[[#This Row],[instructor_]]="","",_xlfn.XLOOKUP(Tabla4[[#This Row],[instructor_]],diccionario_!$A$1:$A$13,diccionario_!$B$1:$B$13,,0))</f>
        <v/>
      </c>
      <c r="C40" s="1" t="str">
        <f>IF(Tabla4[[#This Row],[instructor_]]="","",_xlfn.XLOOKUP(Tabla4[[#This Row],[instructor_]],diccionario_!$A$1:$A$13,diccionario_!$C$1:$C$13,,0))</f>
        <v/>
      </c>
      <c r="D40" s="11"/>
      <c r="E40" s="14"/>
      <c r="F40" s="2"/>
      <c r="G40" s="1" t="str">
        <f>IF(Tabla4[[#This Row],[trabajador_]]="","",_xlfn.XLOOKUP(Tabla4[[#This Row],[trabajador_]],Tabla2[Nombre Completo],Tabla2[Número de Documento],,0))</f>
        <v/>
      </c>
      <c r="H40" s="2"/>
      <c r="I40" s="2"/>
      <c r="J40" s="2"/>
      <c r="K40" s="2"/>
      <c r="L40" s="2"/>
      <c r="M40" s="1" t="str">
        <f>_xlfn.TEXTJOIN(" - ",TRUE,Tabla4[[#This Row],[modelo_1]],Tabla4[[#This Row],[modelo_2]],Tabla4[[#This Row],[modelo_3]])</f>
        <v/>
      </c>
      <c r="N40" s="7"/>
      <c r="O40" s="2"/>
    </row>
    <row r="41" spans="1:15">
      <c r="A41" s="2"/>
      <c r="B41" s="1" t="str">
        <f>IF(Tabla4[[#This Row],[instructor_]]="","",_xlfn.XLOOKUP(Tabla4[[#This Row],[instructor_]],diccionario_!$A$1:$A$13,diccionario_!$B$1:$B$13,,0))</f>
        <v/>
      </c>
      <c r="C41" s="1" t="str">
        <f>IF(Tabla4[[#This Row],[instructor_]]="","",_xlfn.XLOOKUP(Tabla4[[#This Row],[instructor_]],diccionario_!$A$1:$A$13,diccionario_!$C$1:$C$13,,0))</f>
        <v/>
      </c>
      <c r="D41" s="11"/>
      <c r="E41" s="14"/>
      <c r="F41" s="2"/>
      <c r="G41" s="1" t="str">
        <f>IF(Tabla4[[#This Row],[trabajador_]]="","",_xlfn.XLOOKUP(Tabla4[[#This Row],[trabajador_]],Tabla2[Nombre Completo],Tabla2[Número de Documento],,0))</f>
        <v/>
      </c>
      <c r="H41" s="2"/>
      <c r="I41" s="2"/>
      <c r="J41" s="2"/>
      <c r="K41" s="2"/>
      <c r="L41" s="2"/>
      <c r="M41" s="1" t="str">
        <f>_xlfn.TEXTJOIN(" - ",TRUE,Tabla4[[#This Row],[modelo_1]],Tabla4[[#This Row],[modelo_2]],Tabla4[[#This Row],[modelo_3]])</f>
        <v/>
      </c>
      <c r="N41" s="7"/>
      <c r="O41" s="2"/>
    </row>
  </sheetData>
  <protectedRanges>
    <protectedRange sqref="N2:N41" name="Evaluacion"/>
    <protectedRange sqref="F2:F41" name="trabajador_"/>
    <protectedRange sqref="A2:A41" name="instructor_"/>
    <protectedRange sqref="D7:D41 D2:D5" name="fecha"/>
    <protectedRange sqref="E2:E41" name="hora"/>
    <protectedRange sqref="H2:I41" name="marca_"/>
    <protectedRange sqref="J2:L41" name="modelo_1"/>
  </protectedRanges>
  <phoneticPr fontId="2" type="noConversion"/>
  <dataValidations count="2">
    <dataValidation type="time" allowBlank="1" showInputMessage="1" showErrorMessage="1" sqref="E2:E41" xr:uid="{E91D5BC5-0C66-4B4F-B0AE-C7874F3D9598}">
      <formula1>0.000694444444444444</formula1>
      <formula2>0.999305555555556</formula2>
    </dataValidation>
    <dataValidation type="date" allowBlank="1" showInputMessage="1" showErrorMessage="1" sqref="D7:D41 D2:D5" xr:uid="{0056BFD5-99EA-4348-B65C-48EE3244BE70}">
      <formula1>45839</formula1>
      <formula2>47483</formula2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7981E7D-2A9E-4885-BABA-F88ACC210CA3}">
          <x14:formula1>
            <xm:f>diccionario_!$A$2:$A$7</xm:f>
          </x14:formula1>
          <xm:sqref>A2:A41</xm:sqref>
        </x14:dataValidation>
        <x14:dataValidation type="list" allowBlank="1" showInputMessage="1" showErrorMessage="1" xr:uid="{6F7ACD14-0747-4E6E-B321-6A48CED135C0}">
          <x14:formula1>
            <xm:f>diccionario_!$F$2:$F$7</xm:f>
          </x14:formula1>
          <xm:sqref>I2:I41</xm:sqref>
        </x14:dataValidation>
        <x14:dataValidation type="list" allowBlank="1" showInputMessage="1" showErrorMessage="1" xr:uid="{37B5A07A-22A8-492C-B068-BA74A62C2530}">
          <x14:formula1>
            <xm:f>diccionario_!$E$2:$E$9</xm:f>
          </x14:formula1>
          <xm:sqref>I2:I41</xm:sqref>
        </x14:dataValidation>
        <x14:dataValidation type="list" allowBlank="1" showInputMessage="1" showErrorMessage="1" xr:uid="{02AAA26D-D0CC-406A-AAAA-17A8E7B12237}">
          <x14:formula1>
            <xm:f>dot_!$A$3:$A$1603</xm:f>
          </x14:formula1>
          <xm:sqref>F2:F41</xm:sqref>
        </x14:dataValidation>
        <x14:dataValidation type="list" allowBlank="1" showInputMessage="1" showErrorMessage="1" xr:uid="{C5E874EB-7B8D-448C-A7C3-BD8150AD44D1}">
          <x14:formula1>
            <xm:f>diccionario_!$E$2:$E$10</xm:f>
          </x14:formula1>
          <xm:sqref>H2:H41</xm:sqref>
        </x14:dataValidation>
        <x14:dataValidation type="list" allowBlank="1" showInputMessage="1" showErrorMessage="1" xr:uid="{4F36C5C3-0C12-4F80-ACA1-2355F44FE142}">
          <x14:formula1>
            <xm:f>diccionario_!$G$2:$G$19</xm:f>
          </x14:formula1>
          <xm:sqref>J2:L41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15BF-AD98-4ECF-B22E-C5302F16AC1E}">
  <dimension ref="A1:W244"/>
  <sheetViews>
    <sheetView showGridLines="0" workbookViewId="0">
      <selection activeCell="V2" sqref="V2:V144"/>
    </sheetView>
  </sheetViews>
  <sheetFormatPr baseColWidth="10" defaultColWidth="11.3984375" defaultRowHeight="16.5" customHeight="1"/>
  <cols>
    <col min="1" max="1" width="15.19921875" bestFit="1" customWidth="1"/>
    <col min="2" max="2" width="32.796875" style="25" bestFit="1" customWidth="1"/>
    <col min="3" max="3" width="17.19921875" style="25" bestFit="1" customWidth="1"/>
    <col min="4" max="4" width="23" style="25" bestFit="1" customWidth="1"/>
    <col min="5" max="5" width="12" style="8" bestFit="1" customWidth="1"/>
    <col min="6" max="6" width="8" style="13" bestFit="1" customWidth="1"/>
    <col min="7" max="7" width="44.3984375" style="25" bestFit="1" customWidth="1"/>
    <col min="8" max="8" width="18" style="25" bestFit="1" customWidth="1"/>
    <col min="9" max="9" width="17.59765625" style="25" bestFit="1" customWidth="1"/>
    <col min="10" max="10" width="16.19921875" style="25" bestFit="1" customWidth="1"/>
    <col min="11" max="13" width="36.59765625" style="25" bestFit="1" customWidth="1"/>
    <col min="14" max="14" width="75.59765625" style="25" bestFit="1" customWidth="1"/>
    <col min="15" max="15" width="35.19921875" bestFit="1" customWidth="1"/>
    <col min="16" max="16" width="22" bestFit="1" customWidth="1"/>
    <col min="17" max="17" width="27.796875" style="25" bestFit="1" customWidth="1"/>
    <col min="18" max="18" width="15.19921875" bestFit="1" customWidth="1"/>
    <col min="19" max="19" width="18.796875" style="20" bestFit="1" customWidth="1"/>
    <col min="20" max="20" width="26.796875" bestFit="1" customWidth="1"/>
    <col min="21" max="21" width="18.796875" bestFit="1" customWidth="1"/>
    <col min="22" max="22" width="35.19921875" bestFit="1" customWidth="1"/>
    <col min="23" max="23" width="37.796875" bestFit="1" customWidth="1"/>
  </cols>
  <sheetData>
    <row r="1" spans="1:23" ht="14">
      <c r="A1" s="3" t="s">
        <v>3494</v>
      </c>
      <c r="B1" s="23" t="s">
        <v>3495</v>
      </c>
      <c r="C1" s="26" t="s">
        <v>1</v>
      </c>
      <c r="D1" s="26" t="s">
        <v>2</v>
      </c>
      <c r="E1" s="10" t="s">
        <v>3483</v>
      </c>
      <c r="F1" s="12" t="s">
        <v>3484</v>
      </c>
      <c r="G1" s="23" t="s">
        <v>3485</v>
      </c>
      <c r="H1" s="26" t="s">
        <v>3486</v>
      </c>
      <c r="I1" s="23" t="s">
        <v>3487</v>
      </c>
      <c r="J1" s="23" t="s">
        <v>3488</v>
      </c>
      <c r="K1" s="23" t="s">
        <v>3489</v>
      </c>
      <c r="L1" s="23" t="s">
        <v>3490</v>
      </c>
      <c r="M1" s="23" t="s">
        <v>3491</v>
      </c>
      <c r="N1" s="26" t="s">
        <v>3492</v>
      </c>
      <c r="O1" s="3" t="s">
        <v>3493</v>
      </c>
      <c r="P1" s="16" t="s">
        <v>3496</v>
      </c>
      <c r="Q1" s="28" t="s">
        <v>3497</v>
      </c>
      <c r="R1" s="15" t="s">
        <v>3498</v>
      </c>
      <c r="S1" s="18" t="s">
        <v>3499</v>
      </c>
      <c r="T1" s="3" t="s">
        <v>3500</v>
      </c>
      <c r="U1" s="3" t="s">
        <v>3</v>
      </c>
      <c r="V1" s="3" t="s">
        <v>3501</v>
      </c>
      <c r="W1" s="3" t="s">
        <v>3502</v>
      </c>
    </row>
    <row r="2" spans="1:23" ht="16.5" customHeight="1">
      <c r="A2" s="2">
        <v>721</v>
      </c>
      <c r="B2" s="24" t="s">
        <v>7</v>
      </c>
      <c r="C2" s="24" t="s">
        <v>8</v>
      </c>
      <c r="D2" s="24" t="s">
        <v>9</v>
      </c>
      <c r="E2" s="11">
        <v>46042</v>
      </c>
      <c r="F2" s="14">
        <v>0.51388888888888895</v>
      </c>
      <c r="G2" s="24" t="s">
        <v>3244</v>
      </c>
      <c r="H2" s="24" t="s">
        <v>3245</v>
      </c>
      <c r="I2" s="24" t="s">
        <v>11</v>
      </c>
      <c r="J2" s="24" t="s">
        <v>36</v>
      </c>
      <c r="K2" s="24" t="s">
        <v>25</v>
      </c>
      <c r="L2" s="24"/>
      <c r="M2" s="24"/>
      <c r="N2" s="27" t="s">
        <v>25</v>
      </c>
      <c r="O2" s="6">
        <v>1</v>
      </c>
      <c r="P2" s="2" t="s">
        <v>3503</v>
      </c>
      <c r="Q2" s="24" t="str">
        <f>IF(Tabla1[[#This Row],[evaluacion_]]="","",IF(Tabla1[[#This Row],[evaluacion_]]=1,"Habilitado","No Habilitado"))</f>
        <v>Habilitado</v>
      </c>
      <c r="R2" s="2" t="str">
        <f>IF(Tabla1[[#This Row],[fecha]]="","",TEXT(Tabla1[[#This Row],[fecha]],"DMMAAAA")&amp;TEXT(Tabla1[[#This Row],[hora]],"HHmm"))</f>
        <v>200120261220</v>
      </c>
      <c r="S2" s="19" t="str">
        <f>_xlfn.CONCAT(Tabla1[[#This Row],[codigo_]],Tabla1[[#This Row],[correlativo_]])</f>
        <v>200120261220721</v>
      </c>
      <c r="T2" s="2" t="str">
        <f>DAY(E2) &amp; " de " &amp; TEXT(E2, "mmmm") &amp; " del " &amp; YEAR(E2)</f>
        <v>20 de enero del 2026</v>
      </c>
      <c r="U2" s="2" t="str">
        <f>_xlfn.XLOOKUP(Tabla1[[#This Row],[instructor_2]],diccionario_!$A$1:$A$11,diccionario_!$D$1:$D$11,,0)</f>
        <v>Marcelo Barrera A.</v>
      </c>
      <c r="V2" s="2" t="str">
        <f>TEXT(O2,"0%")</f>
        <v>100%</v>
      </c>
      <c r="W2" s="2" t="s">
        <v>3504</v>
      </c>
    </row>
    <row r="3" spans="1:23" ht="16.5" customHeight="1">
      <c r="A3" s="2">
        <v>722</v>
      </c>
      <c r="B3" s="24" t="s">
        <v>7</v>
      </c>
      <c r="C3" s="24" t="s">
        <v>8</v>
      </c>
      <c r="D3" s="24" t="s">
        <v>9</v>
      </c>
      <c r="E3" s="11">
        <v>46043</v>
      </c>
      <c r="F3" s="14">
        <v>0.74305555555555602</v>
      </c>
      <c r="G3" s="24" t="s">
        <v>2641</v>
      </c>
      <c r="H3" s="24" t="s">
        <v>2642</v>
      </c>
      <c r="I3" s="24" t="s">
        <v>11</v>
      </c>
      <c r="J3" s="24" t="s">
        <v>36</v>
      </c>
      <c r="K3" s="24" t="s">
        <v>25</v>
      </c>
      <c r="L3" s="24"/>
      <c r="M3" s="24"/>
      <c r="N3" s="27" t="s">
        <v>25</v>
      </c>
      <c r="O3" s="6">
        <v>1</v>
      </c>
      <c r="P3" s="2" t="s">
        <v>3503</v>
      </c>
      <c r="Q3" s="24" t="str">
        <f>IF(Tabla1[[#This Row],[evaluacion_]]="","",IF(Tabla1[[#This Row],[evaluacion_]]=1,"Habilitado","No Habilitado"))</f>
        <v>Habilitado</v>
      </c>
      <c r="R3" s="2" t="str">
        <f>IF(Tabla1[[#This Row],[fecha]]="","",TEXT(Tabla1[[#This Row],[fecha]],"DMMAAAA")&amp;TEXT(Tabla1[[#This Row],[hora]],"HHmm"))</f>
        <v>210120261750</v>
      </c>
      <c r="S3" s="19" t="str">
        <f>_xlfn.CONCAT(Tabla1[[#This Row],[codigo_]],Tabla1[[#This Row],[correlativo_]])</f>
        <v>210120261750722</v>
      </c>
      <c r="T3" s="2" t="str">
        <f t="shared" ref="T3:T19" si="0">DAY(E3) &amp; " de " &amp; TEXT(E3, "mmmm") &amp; " del " &amp; YEAR(E3)</f>
        <v>21 de enero del 2026</v>
      </c>
      <c r="U3" s="2" t="str">
        <f>_xlfn.XLOOKUP(Tabla1[[#This Row],[instructor_2]],diccionario_!$A$1:$A$11,diccionario_!$D$1:$D$11,,0)</f>
        <v>Marcelo Barrera A.</v>
      </c>
      <c r="V3" s="2" t="str">
        <f t="shared" ref="V3:V66" si="1">TEXT(O3,"0%")</f>
        <v>100%</v>
      </c>
      <c r="W3" s="2" t="s">
        <v>3505</v>
      </c>
    </row>
    <row r="4" spans="1:23" ht="16.5" customHeight="1">
      <c r="A4" s="2">
        <v>723</v>
      </c>
      <c r="B4" s="24" t="s">
        <v>7</v>
      </c>
      <c r="C4" s="24" t="s">
        <v>8</v>
      </c>
      <c r="D4" s="24" t="s">
        <v>9</v>
      </c>
      <c r="E4" s="11">
        <v>46044</v>
      </c>
      <c r="F4" s="14">
        <v>0.67708333333333304</v>
      </c>
      <c r="G4" s="24" t="s">
        <v>2772</v>
      </c>
      <c r="H4" s="24" t="s">
        <v>2773</v>
      </c>
      <c r="I4" s="24" t="s">
        <v>11</v>
      </c>
      <c r="J4" s="24" t="s">
        <v>12</v>
      </c>
      <c r="K4" s="24" t="s">
        <v>13</v>
      </c>
      <c r="L4" s="24"/>
      <c r="M4" s="24"/>
      <c r="N4" s="27" t="s">
        <v>13</v>
      </c>
      <c r="O4" s="6">
        <v>1</v>
      </c>
      <c r="P4" s="2" t="s">
        <v>3503</v>
      </c>
      <c r="Q4" s="24" t="str">
        <f>IF(Tabla1[[#This Row],[evaluacion_]]="","",IF(Tabla1[[#This Row],[evaluacion_]]=1,"Habilitado","No Habilitado"))</f>
        <v>Habilitado</v>
      </c>
      <c r="R4" s="2" t="str">
        <f>IF(Tabla1[[#This Row],[fecha]]="","",TEXT(Tabla1[[#This Row],[fecha]],"DMMAAAA")&amp;TEXT(Tabla1[[#This Row],[hora]],"HHmm"))</f>
        <v>220120261615</v>
      </c>
      <c r="S4" s="19" t="str">
        <f>_xlfn.CONCAT(Tabla1[[#This Row],[codigo_]],Tabla1[[#This Row],[correlativo_]])</f>
        <v>220120261615723</v>
      </c>
      <c r="T4" s="2" t="str">
        <f t="shared" si="0"/>
        <v>22 de enero del 2026</v>
      </c>
      <c r="U4" s="2" t="str">
        <f>_xlfn.XLOOKUP(Tabla1[[#This Row],[instructor_2]],diccionario_!$A$1:$A$11,diccionario_!$D$1:$D$11,,0)</f>
        <v>Marcelo Barrera A.</v>
      </c>
      <c r="V4" s="2" t="str">
        <f t="shared" si="1"/>
        <v>100%</v>
      </c>
      <c r="W4" s="2" t="s">
        <v>3506</v>
      </c>
    </row>
    <row r="5" spans="1:23" ht="16.5" customHeight="1">
      <c r="A5" s="2">
        <v>724</v>
      </c>
      <c r="B5" s="24" t="s">
        <v>7</v>
      </c>
      <c r="C5" s="24" t="s">
        <v>8</v>
      </c>
      <c r="D5" s="24" t="s">
        <v>9</v>
      </c>
      <c r="E5" s="11">
        <v>46044</v>
      </c>
      <c r="F5" s="14">
        <v>0.67361111111111105</v>
      </c>
      <c r="G5" s="24" t="s">
        <v>2772</v>
      </c>
      <c r="H5" s="24" t="s">
        <v>2773</v>
      </c>
      <c r="I5" s="24" t="s">
        <v>17</v>
      </c>
      <c r="J5" s="24" t="s">
        <v>12</v>
      </c>
      <c r="K5" s="24" t="s">
        <v>49</v>
      </c>
      <c r="L5" s="24"/>
      <c r="M5" s="24"/>
      <c r="N5" s="27" t="s">
        <v>49</v>
      </c>
      <c r="O5" s="6">
        <v>1</v>
      </c>
      <c r="P5" s="2" t="s">
        <v>3503</v>
      </c>
      <c r="Q5" s="24" t="str">
        <f>IF(Tabla1[[#This Row],[evaluacion_]]="","",IF(Tabla1[[#This Row],[evaluacion_]]=1,"Habilitado","No Habilitado"))</f>
        <v>Habilitado</v>
      </c>
      <c r="R5" s="2" t="str">
        <f>IF(Tabla1[[#This Row],[fecha]]="","",TEXT(Tabla1[[#This Row],[fecha]],"DMMAAAA")&amp;TEXT(Tabla1[[#This Row],[hora]],"HHmm"))</f>
        <v>220120261610</v>
      </c>
      <c r="S5" s="19" t="str">
        <f>_xlfn.CONCAT(Tabla1[[#This Row],[codigo_]],Tabla1[[#This Row],[correlativo_]])</f>
        <v>220120261610724</v>
      </c>
      <c r="T5" s="2" t="str">
        <f t="shared" si="0"/>
        <v>22 de enero del 2026</v>
      </c>
      <c r="U5" s="2" t="str">
        <f>_xlfn.XLOOKUP(Tabla1[[#This Row],[instructor_2]],diccionario_!$A$1:$A$11,diccionario_!$D$1:$D$11,,0)</f>
        <v>Marcelo Barrera A.</v>
      </c>
      <c r="V5" s="2" t="str">
        <f t="shared" si="1"/>
        <v>100%</v>
      </c>
      <c r="W5" s="2" t="s">
        <v>3506</v>
      </c>
    </row>
    <row r="6" spans="1:23" ht="16.5" customHeight="1">
      <c r="A6" s="2">
        <v>725</v>
      </c>
      <c r="B6" s="24" t="s">
        <v>7</v>
      </c>
      <c r="C6" s="24" t="s">
        <v>8</v>
      </c>
      <c r="D6" s="24" t="s">
        <v>9</v>
      </c>
      <c r="E6" s="11">
        <v>46043</v>
      </c>
      <c r="F6" s="14">
        <v>0.67847222222222203</v>
      </c>
      <c r="G6" s="24" t="s">
        <v>2772</v>
      </c>
      <c r="H6" s="24" t="s">
        <v>2773</v>
      </c>
      <c r="I6" s="24" t="s">
        <v>11</v>
      </c>
      <c r="J6" s="24" t="s">
        <v>36</v>
      </c>
      <c r="K6" s="24" t="s">
        <v>25</v>
      </c>
      <c r="L6" s="24"/>
      <c r="M6" s="24"/>
      <c r="N6" s="27" t="s">
        <v>25</v>
      </c>
      <c r="O6" s="6">
        <v>1</v>
      </c>
      <c r="P6" s="2" t="s">
        <v>3503</v>
      </c>
      <c r="Q6" s="24" t="str">
        <f>IF(Tabla1[[#This Row],[evaluacion_]]="","",IF(Tabla1[[#This Row],[evaluacion_]]=1,"Habilitado","No Habilitado"))</f>
        <v>Habilitado</v>
      </c>
      <c r="R6" s="2" t="str">
        <f>IF(Tabla1[[#This Row],[fecha]]="","",TEXT(Tabla1[[#This Row],[fecha]],"DMMAAAA")&amp;TEXT(Tabla1[[#This Row],[hora]],"HHmm"))</f>
        <v>210120261617</v>
      </c>
      <c r="S6" s="19" t="str">
        <f>_xlfn.CONCAT(Tabla1[[#This Row],[codigo_]],Tabla1[[#This Row],[correlativo_]])</f>
        <v>210120261617725</v>
      </c>
      <c r="T6" s="2" t="str">
        <f t="shared" si="0"/>
        <v>21 de enero del 2026</v>
      </c>
      <c r="U6" s="2" t="str">
        <f>_xlfn.XLOOKUP(Tabla1[[#This Row],[instructor_2]],diccionario_!$A$1:$A$11,diccionario_!$D$1:$D$11,,0)</f>
        <v>Marcelo Barrera A.</v>
      </c>
      <c r="V6" s="2" t="str">
        <f t="shared" si="1"/>
        <v>100%</v>
      </c>
      <c r="W6" s="2" t="s">
        <v>3506</v>
      </c>
    </row>
    <row r="7" spans="1:23" ht="16.5" customHeight="1">
      <c r="A7" s="2">
        <v>726</v>
      </c>
      <c r="B7" s="24" t="s">
        <v>32</v>
      </c>
      <c r="C7" s="24" t="s">
        <v>33</v>
      </c>
      <c r="D7" s="24" t="s">
        <v>9</v>
      </c>
      <c r="E7" s="11">
        <v>46038</v>
      </c>
      <c r="F7" s="14">
        <v>0.375</v>
      </c>
      <c r="G7" s="24"/>
      <c r="H7" s="24"/>
      <c r="I7" s="24"/>
      <c r="J7" s="24"/>
      <c r="K7" s="24"/>
      <c r="L7" s="24"/>
      <c r="M7" s="24"/>
      <c r="N7" s="27"/>
      <c r="O7" s="6" t="s">
        <v>3507</v>
      </c>
      <c r="P7" s="2" t="s">
        <v>3503</v>
      </c>
      <c r="Q7" s="24" t="str">
        <f>IF(Tabla1[[#This Row],[evaluacion_]]="","",IF(Tabla1[[#This Row],[evaluacion_]]=1,"Habilitado","No Habilitado"))</f>
        <v>No Habilitado</v>
      </c>
      <c r="R7" s="2" t="str">
        <f>IF(Tabla1[[#This Row],[fecha]]="","",TEXT(Tabla1[[#This Row],[fecha]],"DMMAAAA")&amp;TEXT(Tabla1[[#This Row],[hora]],"HHmm"))</f>
        <v>160120260900</v>
      </c>
      <c r="S7" s="19" t="str">
        <f>_xlfn.CONCAT(Tabla1[[#This Row],[codigo_]],Tabla1[[#This Row],[correlativo_]])</f>
        <v>160120260900726</v>
      </c>
      <c r="T7" s="2" t="str">
        <f t="shared" si="0"/>
        <v>16 de enero del 2026</v>
      </c>
      <c r="U7" s="2" t="str">
        <f>_xlfn.XLOOKUP(Tabla1[[#This Row],[instructor_2]],diccionario_!$A$1:$A$11,diccionario_!$D$1:$D$11,,0)</f>
        <v>Guillermo Milla M.</v>
      </c>
      <c r="V7" s="2" t="str">
        <f t="shared" si="1"/>
        <v>información de calificación errónea</v>
      </c>
      <c r="W7" s="2" t="s">
        <v>3508</v>
      </c>
    </row>
    <row r="8" spans="1:23" ht="16.5" customHeight="1">
      <c r="A8" s="2">
        <v>727</v>
      </c>
      <c r="B8" s="24" t="s">
        <v>26</v>
      </c>
      <c r="C8" s="24" t="s">
        <v>27</v>
      </c>
      <c r="D8" s="24" t="s">
        <v>9</v>
      </c>
      <c r="E8" s="11">
        <v>46048</v>
      </c>
      <c r="F8" s="14">
        <v>0.625</v>
      </c>
      <c r="G8" s="24" t="s">
        <v>3381</v>
      </c>
      <c r="H8" s="24" t="s">
        <v>3382</v>
      </c>
      <c r="I8" s="24" t="s">
        <v>11</v>
      </c>
      <c r="J8" s="24" t="s">
        <v>12</v>
      </c>
      <c r="K8" s="24" t="s">
        <v>13</v>
      </c>
      <c r="L8" s="24" t="s">
        <v>37</v>
      </c>
      <c r="M8" s="24"/>
      <c r="N8" s="27" t="s">
        <v>3509</v>
      </c>
      <c r="O8" s="6">
        <v>1</v>
      </c>
      <c r="P8" s="2" t="s">
        <v>3503</v>
      </c>
      <c r="Q8" s="24" t="str">
        <f>IF(Tabla1[[#This Row],[evaluacion_]]="","",IF(Tabla1[[#This Row],[evaluacion_]]=1,"Habilitado","No Habilitado"))</f>
        <v>Habilitado</v>
      </c>
      <c r="R8" s="2" t="str">
        <f>IF(Tabla1[[#This Row],[fecha]]="","",TEXT(Tabla1[[#This Row],[fecha]],"DMMAAAA")&amp;TEXT(Tabla1[[#This Row],[hora]],"HHmm"))</f>
        <v>260120261500</v>
      </c>
      <c r="S8" s="19" t="str">
        <f>_xlfn.CONCAT(Tabla1[[#This Row],[codigo_]],Tabla1[[#This Row],[correlativo_]])</f>
        <v>260120261500727</v>
      </c>
      <c r="T8" s="2" t="str">
        <f t="shared" si="0"/>
        <v>26 de enero del 2026</v>
      </c>
      <c r="U8" s="2" t="str">
        <f>_xlfn.XLOOKUP(Tabla1[[#This Row],[instructor_2]],diccionario_!$A$1:$A$11,diccionario_!$D$1:$D$11,,0)</f>
        <v>Gilerto Urtubia C.</v>
      </c>
      <c r="V8" s="2" t="str">
        <f t="shared" si="1"/>
        <v>100%</v>
      </c>
      <c r="W8" s="2" t="s">
        <v>3510</v>
      </c>
    </row>
    <row r="9" spans="1:23" ht="16.5" customHeight="1">
      <c r="A9" s="2">
        <v>728</v>
      </c>
      <c r="B9" s="24" t="s">
        <v>26</v>
      </c>
      <c r="C9" s="24" t="s">
        <v>27</v>
      </c>
      <c r="D9" s="24" t="s">
        <v>9</v>
      </c>
      <c r="E9" s="11">
        <v>46048</v>
      </c>
      <c r="F9" s="14">
        <v>0.75</v>
      </c>
      <c r="G9" s="24" t="s">
        <v>1545</v>
      </c>
      <c r="H9" s="24" t="s">
        <v>1546</v>
      </c>
      <c r="I9" s="24" t="s">
        <v>11</v>
      </c>
      <c r="J9" s="24" t="s">
        <v>12</v>
      </c>
      <c r="K9" s="24" t="s">
        <v>13</v>
      </c>
      <c r="L9" s="24" t="s">
        <v>37</v>
      </c>
      <c r="M9" s="24"/>
      <c r="N9" s="27" t="s">
        <v>3509</v>
      </c>
      <c r="O9" s="6">
        <v>1</v>
      </c>
      <c r="P9" s="2" t="s">
        <v>3503</v>
      </c>
      <c r="Q9" s="24" t="str">
        <f>IF(Tabla1[[#This Row],[evaluacion_]]="","",IF(Tabla1[[#This Row],[evaluacion_]]=1,"Habilitado","No Habilitado"))</f>
        <v>Habilitado</v>
      </c>
      <c r="R9" s="2" t="str">
        <f>IF(Tabla1[[#This Row],[fecha]]="","",TEXT(Tabla1[[#This Row],[fecha]],"DMMAAAA")&amp;TEXT(Tabla1[[#This Row],[hora]],"HHmm"))</f>
        <v>260120261800</v>
      </c>
      <c r="S9" s="19" t="str">
        <f>_xlfn.CONCAT(Tabla1[[#This Row],[codigo_]],Tabla1[[#This Row],[correlativo_]])</f>
        <v>260120261800728</v>
      </c>
      <c r="T9" s="2" t="str">
        <f t="shared" si="0"/>
        <v>26 de enero del 2026</v>
      </c>
      <c r="U9" s="2" t="str">
        <f>_xlfn.XLOOKUP(Tabla1[[#This Row],[instructor_2]],diccionario_!$A$1:$A$11,diccionario_!$D$1:$D$11,,0)</f>
        <v>Gilerto Urtubia C.</v>
      </c>
      <c r="V9" s="2" t="str">
        <f t="shared" si="1"/>
        <v>100%</v>
      </c>
      <c r="W9" s="2" t="s">
        <v>3510</v>
      </c>
    </row>
    <row r="10" spans="1:23" ht="16.5" customHeight="1">
      <c r="A10" s="2">
        <v>729</v>
      </c>
      <c r="B10" s="24" t="s">
        <v>14</v>
      </c>
      <c r="C10" s="24" t="s">
        <v>15</v>
      </c>
      <c r="D10" s="24" t="s">
        <v>9</v>
      </c>
      <c r="E10" s="11">
        <v>46027</v>
      </c>
      <c r="F10" s="14">
        <v>0.625</v>
      </c>
      <c r="G10" s="24" t="s">
        <v>467</v>
      </c>
      <c r="H10" s="24" t="s">
        <v>8</v>
      </c>
      <c r="I10" s="24" t="s">
        <v>11</v>
      </c>
      <c r="J10" s="24" t="s">
        <v>30</v>
      </c>
      <c r="K10" s="24" t="s">
        <v>37</v>
      </c>
      <c r="L10" s="24"/>
      <c r="M10" s="24"/>
      <c r="N10" s="27" t="s">
        <v>37</v>
      </c>
      <c r="O10" s="6">
        <v>1</v>
      </c>
      <c r="P10" s="2" t="s">
        <v>3503</v>
      </c>
      <c r="Q10" s="24" t="str">
        <f>IF(Tabla1[[#This Row],[evaluacion_]]="","",IF(Tabla1[[#This Row],[evaluacion_]]=1,"Habilitado","No Habilitado"))</f>
        <v>Habilitado</v>
      </c>
      <c r="R10" s="2" t="str">
        <f>IF(Tabla1[[#This Row],[fecha]]="","",TEXT(Tabla1[[#This Row],[fecha]],"DMMAAAA")&amp;TEXT(Tabla1[[#This Row],[hora]],"HHmm"))</f>
        <v>50120261500</v>
      </c>
      <c r="S10" s="19" t="str">
        <f>_xlfn.CONCAT(Tabla1[[#This Row],[codigo_]],Tabla1[[#This Row],[correlativo_]])</f>
        <v>50120261500729</v>
      </c>
      <c r="T10" s="2" t="str">
        <f t="shared" si="0"/>
        <v>5 de enero del 2026</v>
      </c>
      <c r="U10" s="2" t="str">
        <f>_xlfn.XLOOKUP(Tabla1[[#This Row],[instructor_2]],diccionario_!$A$1:$A$11,diccionario_!$D$1:$D$11,,0)</f>
        <v>Daniel Carvajal B.</v>
      </c>
      <c r="V10" s="2" t="str">
        <f t="shared" si="1"/>
        <v>100%</v>
      </c>
      <c r="W10" s="2" t="s">
        <v>3511</v>
      </c>
    </row>
    <row r="11" spans="1:23" ht="16.5" customHeight="1">
      <c r="A11" s="2">
        <v>730</v>
      </c>
      <c r="B11" s="24" t="s">
        <v>14</v>
      </c>
      <c r="C11" s="24" t="s">
        <v>15</v>
      </c>
      <c r="D11" s="24" t="s">
        <v>9</v>
      </c>
      <c r="E11" s="11">
        <v>46028</v>
      </c>
      <c r="F11" s="14">
        <v>0.66666666666666696</v>
      </c>
      <c r="G11" s="24" t="s">
        <v>467</v>
      </c>
      <c r="H11" s="24" t="s">
        <v>8</v>
      </c>
      <c r="I11" s="24" t="s">
        <v>11</v>
      </c>
      <c r="J11" s="24" t="s">
        <v>36</v>
      </c>
      <c r="K11" s="24" t="s">
        <v>25</v>
      </c>
      <c r="L11" s="24"/>
      <c r="M11" s="24"/>
      <c r="N11" s="27" t="s">
        <v>25</v>
      </c>
      <c r="O11" s="6">
        <v>1</v>
      </c>
      <c r="P11" s="2" t="s">
        <v>3503</v>
      </c>
      <c r="Q11" s="24" t="str">
        <f>IF(Tabla1[[#This Row],[evaluacion_]]="","",IF(Tabla1[[#This Row],[evaluacion_]]=1,"Habilitado","No Habilitado"))</f>
        <v>Habilitado</v>
      </c>
      <c r="R11" s="2" t="str">
        <f>IF(Tabla1[[#This Row],[fecha]]="","",TEXT(Tabla1[[#This Row],[fecha]],"DMMAAAA")&amp;TEXT(Tabla1[[#This Row],[hora]],"HHmm"))</f>
        <v>60120261600</v>
      </c>
      <c r="S11" s="19" t="str">
        <f>_xlfn.CONCAT(Tabla1[[#This Row],[codigo_]],Tabla1[[#This Row],[correlativo_]])</f>
        <v>60120261600730</v>
      </c>
      <c r="T11" s="2" t="str">
        <f t="shared" si="0"/>
        <v>6 de enero del 2026</v>
      </c>
      <c r="U11" s="2" t="str">
        <f>_xlfn.XLOOKUP(Tabla1[[#This Row],[instructor_2]],diccionario_!$A$1:$A$11,diccionario_!$D$1:$D$11,,0)</f>
        <v>Daniel Carvajal B.</v>
      </c>
      <c r="V11" s="2" t="str">
        <f t="shared" si="1"/>
        <v>100%</v>
      </c>
      <c r="W11" s="2" t="s">
        <v>3511</v>
      </c>
    </row>
    <row r="12" spans="1:23" ht="16.5" customHeight="1">
      <c r="A12" s="2">
        <v>731</v>
      </c>
      <c r="B12" s="24" t="s">
        <v>14</v>
      </c>
      <c r="C12" s="24" t="s">
        <v>15</v>
      </c>
      <c r="D12" s="24" t="s">
        <v>9</v>
      </c>
      <c r="E12" s="11">
        <v>46028</v>
      </c>
      <c r="F12" s="14">
        <v>0.66666666666666696</v>
      </c>
      <c r="G12" s="24" t="s">
        <v>467</v>
      </c>
      <c r="H12" s="24" t="s">
        <v>8</v>
      </c>
      <c r="I12" s="24" t="s">
        <v>11</v>
      </c>
      <c r="J12" s="24" t="s">
        <v>12</v>
      </c>
      <c r="K12" s="24" t="s">
        <v>13</v>
      </c>
      <c r="L12" s="24"/>
      <c r="M12" s="24"/>
      <c r="N12" s="27" t="s">
        <v>13</v>
      </c>
      <c r="O12" s="6">
        <v>1</v>
      </c>
      <c r="P12" s="2" t="s">
        <v>3503</v>
      </c>
      <c r="Q12" s="24" t="str">
        <f>IF(Tabla1[[#This Row],[evaluacion_]]="","",IF(Tabla1[[#This Row],[evaluacion_]]=1,"Habilitado","No Habilitado"))</f>
        <v>Habilitado</v>
      </c>
      <c r="R12" s="2" t="str">
        <f>IF(Tabla1[[#This Row],[fecha]]="","",TEXT(Tabla1[[#This Row],[fecha]],"DMMAAAA")&amp;TEXT(Tabla1[[#This Row],[hora]],"HHmm"))</f>
        <v>60120261600</v>
      </c>
      <c r="S12" s="19" t="str">
        <f>_xlfn.CONCAT(Tabla1[[#This Row],[codigo_]],Tabla1[[#This Row],[correlativo_]])</f>
        <v>60120261600731</v>
      </c>
      <c r="T12" s="2" t="str">
        <f t="shared" si="0"/>
        <v>6 de enero del 2026</v>
      </c>
      <c r="U12" s="2" t="str">
        <f>_xlfn.XLOOKUP(Tabla1[[#This Row],[instructor_2]],diccionario_!$A$1:$A$11,diccionario_!$D$1:$D$11,,0)</f>
        <v>Daniel Carvajal B.</v>
      </c>
      <c r="V12" s="2" t="str">
        <f t="shared" si="1"/>
        <v>100%</v>
      </c>
      <c r="W12" s="2" t="s">
        <v>3511</v>
      </c>
    </row>
    <row r="13" spans="1:23" ht="16.5" customHeight="1">
      <c r="A13" s="2">
        <v>732</v>
      </c>
      <c r="B13" s="24" t="s">
        <v>14</v>
      </c>
      <c r="C13" s="24" t="s">
        <v>15</v>
      </c>
      <c r="D13" s="24" t="s">
        <v>9</v>
      </c>
      <c r="E13" s="11">
        <v>46028</v>
      </c>
      <c r="F13" s="14">
        <v>0.75</v>
      </c>
      <c r="G13" s="24" t="s">
        <v>467</v>
      </c>
      <c r="H13" s="24" t="s">
        <v>8</v>
      </c>
      <c r="I13" s="24" t="s">
        <v>17</v>
      </c>
      <c r="J13" s="24" t="s">
        <v>12</v>
      </c>
      <c r="K13" s="24" t="s">
        <v>49</v>
      </c>
      <c r="L13" s="24"/>
      <c r="M13" s="24"/>
      <c r="N13" s="27" t="s">
        <v>49</v>
      </c>
      <c r="O13" s="6">
        <v>1</v>
      </c>
      <c r="P13" s="2" t="s">
        <v>3503</v>
      </c>
      <c r="Q13" s="24" t="str">
        <f>IF(Tabla1[[#This Row],[evaluacion_]]="","",IF(Tabla1[[#This Row],[evaluacion_]]=1,"Habilitado","No Habilitado"))</f>
        <v>Habilitado</v>
      </c>
      <c r="R13" s="2" t="str">
        <f>IF(Tabla1[[#This Row],[fecha]]="","",TEXT(Tabla1[[#This Row],[fecha]],"DMMAAAA")&amp;TEXT(Tabla1[[#This Row],[hora]],"HHmm"))</f>
        <v>60120261800</v>
      </c>
      <c r="S13" s="19" t="str">
        <f>_xlfn.CONCAT(Tabla1[[#This Row],[codigo_]],Tabla1[[#This Row],[correlativo_]])</f>
        <v>60120261800732</v>
      </c>
      <c r="T13" s="2" t="str">
        <f t="shared" si="0"/>
        <v>6 de enero del 2026</v>
      </c>
      <c r="U13" s="2" t="str">
        <f>_xlfn.XLOOKUP(Tabla1[[#This Row],[instructor_2]],diccionario_!$A$1:$A$11,diccionario_!$D$1:$D$11,,0)</f>
        <v>Daniel Carvajal B.</v>
      </c>
      <c r="V13" s="2" t="str">
        <f t="shared" si="1"/>
        <v>100%</v>
      </c>
      <c r="W13" s="2" t="s">
        <v>3511</v>
      </c>
    </row>
    <row r="14" spans="1:23" ht="16.5" customHeight="1">
      <c r="A14" s="2">
        <v>733</v>
      </c>
      <c r="B14" s="24" t="s">
        <v>14</v>
      </c>
      <c r="C14" s="24" t="s">
        <v>15</v>
      </c>
      <c r="D14" s="24" t="s">
        <v>9</v>
      </c>
      <c r="E14" s="11">
        <v>46029</v>
      </c>
      <c r="F14" s="14">
        <v>0.75</v>
      </c>
      <c r="G14" s="24" t="s">
        <v>467</v>
      </c>
      <c r="H14" s="24" t="s">
        <v>8</v>
      </c>
      <c r="I14" s="24" t="s">
        <v>23</v>
      </c>
      <c r="J14" s="24" t="s">
        <v>12</v>
      </c>
      <c r="K14" s="24" t="s">
        <v>41</v>
      </c>
      <c r="L14" s="24"/>
      <c r="M14" s="24"/>
      <c r="N14" s="27" t="s">
        <v>41</v>
      </c>
      <c r="O14" s="6" t="s">
        <v>3507</v>
      </c>
      <c r="P14" s="2" t="s">
        <v>3503</v>
      </c>
      <c r="Q14" s="24" t="str">
        <f>IF(Tabla1[[#This Row],[evaluacion_]]="","",IF(Tabla1[[#This Row],[evaluacion_]]=1,"Habilitado","No Habilitado"))</f>
        <v>No Habilitado</v>
      </c>
      <c r="R14" s="2" t="str">
        <f>IF(Tabla1[[#This Row],[fecha]]="","",TEXT(Tabla1[[#This Row],[fecha]],"DMMAAAA")&amp;TEXT(Tabla1[[#This Row],[hora]],"HHmm"))</f>
        <v>70120261800</v>
      </c>
      <c r="S14" s="19" t="str">
        <f>_xlfn.CONCAT(Tabla1[[#This Row],[codigo_]],Tabla1[[#This Row],[correlativo_]])</f>
        <v>70120261800733</v>
      </c>
      <c r="T14" s="2" t="str">
        <f t="shared" si="0"/>
        <v>7 de enero del 2026</v>
      </c>
      <c r="U14" s="2" t="str">
        <f>_xlfn.XLOOKUP(Tabla1[[#This Row],[instructor_2]],diccionario_!$A$1:$A$11,diccionario_!$D$1:$D$11,,0)</f>
        <v>Daniel Carvajal B.</v>
      </c>
      <c r="V14" s="2" t="str">
        <f t="shared" si="1"/>
        <v>información de calificación errónea</v>
      </c>
      <c r="W14" s="2" t="s">
        <v>3511</v>
      </c>
    </row>
    <row r="15" spans="1:23" ht="16.5" customHeight="1">
      <c r="A15" s="2">
        <v>734</v>
      </c>
      <c r="B15" s="24" t="s">
        <v>32</v>
      </c>
      <c r="C15" s="24" t="s">
        <v>33</v>
      </c>
      <c r="D15" s="24" t="s">
        <v>9</v>
      </c>
      <c r="E15" s="11">
        <v>46045</v>
      </c>
      <c r="F15" s="14">
        <v>0.75</v>
      </c>
      <c r="G15" s="24" t="s">
        <v>2810</v>
      </c>
      <c r="H15" s="24" t="s">
        <v>2811</v>
      </c>
      <c r="I15" s="24" t="s">
        <v>11</v>
      </c>
      <c r="J15" s="24" t="s">
        <v>12</v>
      </c>
      <c r="K15" s="24" t="s">
        <v>13</v>
      </c>
      <c r="L15" s="24" t="s">
        <v>25</v>
      </c>
      <c r="M15" s="24" t="s">
        <v>31</v>
      </c>
      <c r="N15" s="27" t="s">
        <v>3512</v>
      </c>
      <c r="O15" s="6">
        <v>1</v>
      </c>
      <c r="P15" s="2" t="s">
        <v>3503</v>
      </c>
      <c r="Q15" s="24" t="str">
        <f>IF(Tabla1[[#This Row],[evaluacion_]]="","",IF(Tabla1[[#This Row],[evaluacion_]]=1,"Habilitado","No Habilitado"))</f>
        <v>Habilitado</v>
      </c>
      <c r="R15" s="2" t="str">
        <f>IF(Tabla1[[#This Row],[fecha]]="","",TEXT(Tabla1[[#This Row],[fecha]],"DMMAAAA")&amp;TEXT(Tabla1[[#This Row],[hora]],"HHmm"))</f>
        <v>230120261800</v>
      </c>
      <c r="S15" s="19" t="str">
        <f>_xlfn.CONCAT(Tabla1[[#This Row],[codigo_]],Tabla1[[#This Row],[correlativo_]])</f>
        <v>230120261800734</v>
      </c>
      <c r="T15" s="2" t="str">
        <f t="shared" si="0"/>
        <v>23 de enero del 2026</v>
      </c>
      <c r="U15" s="2" t="str">
        <f>_xlfn.XLOOKUP(Tabla1[[#This Row],[instructor_2]],diccionario_!$A$1:$A$11,diccionario_!$D$1:$D$11,,0)</f>
        <v>Guillermo Milla M.</v>
      </c>
      <c r="V15" s="2" t="str">
        <f t="shared" si="1"/>
        <v>100%</v>
      </c>
      <c r="W15" s="2" t="s">
        <v>3513</v>
      </c>
    </row>
    <row r="16" spans="1:23" ht="16.5" customHeight="1">
      <c r="A16" s="2">
        <v>735</v>
      </c>
      <c r="B16" s="24" t="s">
        <v>32</v>
      </c>
      <c r="C16" s="24" t="s">
        <v>33</v>
      </c>
      <c r="D16" s="24" t="s">
        <v>9</v>
      </c>
      <c r="E16" s="11">
        <v>46045</v>
      </c>
      <c r="F16" s="14">
        <v>0.75</v>
      </c>
      <c r="G16" s="24" t="s">
        <v>2810</v>
      </c>
      <c r="H16" s="24" t="s">
        <v>2811</v>
      </c>
      <c r="I16" s="24" t="s">
        <v>23</v>
      </c>
      <c r="J16" s="24" t="s">
        <v>12</v>
      </c>
      <c r="K16" s="24" t="s">
        <v>41</v>
      </c>
      <c r="L16" s="24"/>
      <c r="M16" s="24"/>
      <c r="N16" s="27" t="s">
        <v>41</v>
      </c>
      <c r="O16" s="6">
        <v>1</v>
      </c>
      <c r="P16" s="2" t="s">
        <v>3503</v>
      </c>
      <c r="Q16" s="24" t="str">
        <f>IF(Tabla1[[#This Row],[evaluacion_]]="","",IF(Tabla1[[#This Row],[evaluacion_]]=1,"Habilitado","No Habilitado"))</f>
        <v>Habilitado</v>
      </c>
      <c r="R16" s="2" t="str">
        <f>IF(Tabla1[[#This Row],[fecha]]="","",TEXT(Tabla1[[#This Row],[fecha]],"DMMAAAA")&amp;TEXT(Tabla1[[#This Row],[hora]],"HHmm"))</f>
        <v>230120261800</v>
      </c>
      <c r="S16" s="19" t="str">
        <f>_xlfn.CONCAT(Tabla1[[#This Row],[codigo_]],Tabla1[[#This Row],[correlativo_]])</f>
        <v>230120261800735</v>
      </c>
      <c r="T16" s="2" t="str">
        <f t="shared" si="0"/>
        <v>23 de enero del 2026</v>
      </c>
      <c r="U16" s="2" t="str">
        <f>_xlfn.XLOOKUP(Tabla1[[#This Row],[instructor_2]],diccionario_!$A$1:$A$11,diccionario_!$D$1:$D$11,,0)</f>
        <v>Guillermo Milla M.</v>
      </c>
      <c r="V16" s="2" t="str">
        <f t="shared" si="1"/>
        <v>100%</v>
      </c>
      <c r="W16" s="2" t="s">
        <v>3513</v>
      </c>
    </row>
    <row r="17" spans="1:23" ht="16.5" customHeight="1">
      <c r="A17" s="2">
        <v>736</v>
      </c>
      <c r="B17" s="24" t="s">
        <v>32</v>
      </c>
      <c r="C17" s="24" t="s">
        <v>33</v>
      </c>
      <c r="D17" s="24" t="s">
        <v>9</v>
      </c>
      <c r="E17" s="11">
        <v>46045</v>
      </c>
      <c r="F17" s="14">
        <v>0.75</v>
      </c>
      <c r="G17" s="24" t="s">
        <v>2810</v>
      </c>
      <c r="H17" s="24" t="s">
        <v>2811</v>
      </c>
      <c r="I17" s="24" t="s">
        <v>11</v>
      </c>
      <c r="J17" s="24" t="s">
        <v>12</v>
      </c>
      <c r="K17" s="24" t="s">
        <v>13</v>
      </c>
      <c r="L17" s="24" t="s">
        <v>25</v>
      </c>
      <c r="M17" s="24" t="s">
        <v>31</v>
      </c>
      <c r="N17" s="27" t="s">
        <v>3512</v>
      </c>
      <c r="O17" s="6">
        <v>1</v>
      </c>
      <c r="P17" s="2" t="s">
        <v>3503</v>
      </c>
      <c r="Q17" s="24" t="str">
        <f>IF(Tabla1[[#This Row],[evaluacion_]]="","",IF(Tabla1[[#This Row],[evaluacion_]]=1,"Habilitado","No Habilitado"))</f>
        <v>Habilitado</v>
      </c>
      <c r="R17" s="2" t="str">
        <f>IF(Tabla1[[#This Row],[fecha]]="","",TEXT(Tabla1[[#This Row],[fecha]],"DMMAAAA")&amp;TEXT(Tabla1[[#This Row],[hora]],"HHmm"))</f>
        <v>230120261800</v>
      </c>
      <c r="S17" s="19" t="str">
        <f>_xlfn.CONCAT(Tabla1[[#This Row],[codigo_]],Tabla1[[#This Row],[correlativo_]])</f>
        <v>230120261800736</v>
      </c>
      <c r="T17" s="2" t="str">
        <f t="shared" si="0"/>
        <v>23 de enero del 2026</v>
      </c>
      <c r="U17" s="2" t="str">
        <f>_xlfn.XLOOKUP(Tabla1[[#This Row],[instructor_2]],diccionario_!$A$1:$A$11,diccionario_!$D$1:$D$11,,0)</f>
        <v>Guillermo Milla M.</v>
      </c>
      <c r="V17" s="2" t="str">
        <f t="shared" si="1"/>
        <v>100%</v>
      </c>
      <c r="W17" s="2" t="s">
        <v>3514</v>
      </c>
    </row>
    <row r="18" spans="1:23" ht="16.5" customHeight="1">
      <c r="A18" s="2">
        <v>737</v>
      </c>
      <c r="B18" s="24" t="s">
        <v>32</v>
      </c>
      <c r="C18" s="24" t="s">
        <v>33</v>
      </c>
      <c r="D18" s="24" t="s">
        <v>9</v>
      </c>
      <c r="E18" s="11">
        <v>46045</v>
      </c>
      <c r="F18" s="14">
        <v>0.75</v>
      </c>
      <c r="G18" s="24" t="s">
        <v>2810</v>
      </c>
      <c r="H18" s="24" t="s">
        <v>2811</v>
      </c>
      <c r="I18" s="24" t="s">
        <v>23</v>
      </c>
      <c r="J18" s="24" t="s">
        <v>12</v>
      </c>
      <c r="K18" s="24" t="s">
        <v>41</v>
      </c>
      <c r="L18" s="24"/>
      <c r="M18" s="24"/>
      <c r="N18" s="27" t="s">
        <v>41</v>
      </c>
      <c r="O18" s="6">
        <v>1</v>
      </c>
      <c r="P18" s="2" t="s">
        <v>3503</v>
      </c>
      <c r="Q18" s="24" t="str">
        <f>IF(Tabla1[[#This Row],[evaluacion_]]="","",IF(Tabla1[[#This Row],[evaluacion_]]=1,"Habilitado","No Habilitado"))</f>
        <v>Habilitado</v>
      </c>
      <c r="R18" s="2" t="str">
        <f>IF(Tabla1[[#This Row],[fecha]]="","",TEXT(Tabla1[[#This Row],[fecha]],"DMMAAAA")&amp;TEXT(Tabla1[[#This Row],[hora]],"HHmm"))</f>
        <v>230120261800</v>
      </c>
      <c r="S18" s="19" t="str">
        <f>_xlfn.CONCAT(Tabla1[[#This Row],[codigo_]],Tabla1[[#This Row],[correlativo_]])</f>
        <v>230120261800737</v>
      </c>
      <c r="T18" s="2" t="str">
        <f t="shared" si="0"/>
        <v>23 de enero del 2026</v>
      </c>
      <c r="U18" s="2" t="str">
        <f>_xlfn.XLOOKUP(Tabla1[[#This Row],[instructor_2]],diccionario_!$A$1:$A$11,diccionario_!$D$1:$D$11,,0)</f>
        <v>Guillermo Milla M.</v>
      </c>
      <c r="V18" s="2" t="str">
        <f t="shared" si="1"/>
        <v>100%</v>
      </c>
      <c r="W18" s="2" t="s">
        <v>3515</v>
      </c>
    </row>
    <row r="19" spans="1:23" ht="16.5" customHeight="1">
      <c r="A19" s="2">
        <v>738</v>
      </c>
      <c r="B19" s="24" t="s">
        <v>32</v>
      </c>
      <c r="C19" s="24" t="s">
        <v>33</v>
      </c>
      <c r="D19" s="24" t="s">
        <v>9</v>
      </c>
      <c r="E19" s="11">
        <v>46049</v>
      </c>
      <c r="F19" s="14">
        <v>0.48749999999999999</v>
      </c>
      <c r="G19" s="24" t="s">
        <v>3368</v>
      </c>
      <c r="H19" s="24" t="s">
        <v>3369</v>
      </c>
      <c r="I19" s="24" t="s">
        <v>11</v>
      </c>
      <c r="J19" s="24" t="s">
        <v>12</v>
      </c>
      <c r="K19" s="24" t="s">
        <v>13</v>
      </c>
      <c r="L19" s="24" t="s">
        <v>13</v>
      </c>
      <c r="M19" s="24" t="s">
        <v>19</v>
      </c>
      <c r="N19" s="27" t="s">
        <v>3516</v>
      </c>
      <c r="O19" s="6">
        <v>1</v>
      </c>
      <c r="P19" s="2" t="s">
        <v>3503</v>
      </c>
      <c r="Q19" s="24" t="str">
        <f>IF(Tabla1[[#This Row],[evaluacion_]]="","",IF(Tabla1[[#This Row],[evaluacion_]]=1,"Habilitado","No Habilitado"))</f>
        <v>Habilitado</v>
      </c>
      <c r="R19" s="2" t="str">
        <f>IF(Tabla1[[#This Row],[fecha]]="","",TEXT(Tabla1[[#This Row],[fecha]],"DMMAAAA")&amp;TEXT(Tabla1[[#This Row],[hora]],"HHmm"))</f>
        <v>270120261142</v>
      </c>
      <c r="S19" s="19" t="str">
        <f>_xlfn.CONCAT(Tabla1[[#This Row],[codigo_]],Tabla1[[#This Row],[correlativo_]])</f>
        <v>270120261142738</v>
      </c>
      <c r="T19" s="2" t="str">
        <f t="shared" si="0"/>
        <v>27 de enero del 2026</v>
      </c>
      <c r="U19" s="2" t="str">
        <f>_xlfn.XLOOKUP(Tabla1[[#This Row],[instructor_2]],diccionario_!$A$1:$A$11,diccionario_!$D$1:$D$11,,0)</f>
        <v>Guillermo Milla M.</v>
      </c>
      <c r="V19" s="2" t="str">
        <f t="shared" si="1"/>
        <v>100%</v>
      </c>
      <c r="W19" s="2" t="s">
        <v>3517</v>
      </c>
    </row>
    <row r="20" spans="1:23" ht="16.5" customHeight="1">
      <c r="A20" s="2">
        <v>739</v>
      </c>
      <c r="B20" s="24" t="s">
        <v>32</v>
      </c>
      <c r="C20" s="24" t="s">
        <v>33</v>
      </c>
      <c r="D20" s="24" t="s">
        <v>9</v>
      </c>
      <c r="E20" s="11">
        <v>46040</v>
      </c>
      <c r="F20" s="14">
        <v>0.41666666666666702</v>
      </c>
      <c r="G20" s="24" t="s">
        <v>1216</v>
      </c>
      <c r="H20" s="24" t="s">
        <v>1217</v>
      </c>
      <c r="I20" s="24" t="s">
        <v>11</v>
      </c>
      <c r="J20" s="24" t="s">
        <v>24</v>
      </c>
      <c r="K20" s="24" t="s">
        <v>13</v>
      </c>
      <c r="L20" s="24" t="s">
        <v>19</v>
      </c>
      <c r="M20" s="24" t="s">
        <v>25</v>
      </c>
      <c r="N20" s="27" t="s">
        <v>3518</v>
      </c>
      <c r="O20" s="6">
        <v>1</v>
      </c>
      <c r="P20" s="2" t="s">
        <v>3503</v>
      </c>
      <c r="Q20" s="24" t="str">
        <f>IF(Tabla1[[#This Row],[evaluacion_]]="","",IF(Tabla1[[#This Row],[evaluacion_]]=1,"Habilitado","No Habilitado"))</f>
        <v>Habilitado</v>
      </c>
      <c r="R20" s="2" t="str">
        <f>IF(Tabla1[[#This Row],[fecha]]="","",TEXT(Tabla1[[#This Row],[fecha]],"DMMAAAA")&amp;TEXT(Tabla1[[#This Row],[hora]],"HHmm"))</f>
        <v>180120261000</v>
      </c>
      <c r="S20" s="19" t="str">
        <f>_xlfn.CONCAT(Tabla1[[#This Row],[codigo_]],Tabla1[[#This Row],[correlativo_]])</f>
        <v>180120261000739</v>
      </c>
      <c r="T20" s="2" t="str">
        <f t="shared" ref="T20:T26" si="2">DAY(E20) &amp; " de " &amp; TEXT(E20, "mmmm") &amp; " del " &amp; YEAR(E20)</f>
        <v>18 de enero del 2026</v>
      </c>
      <c r="U20" s="2" t="str">
        <f>_xlfn.XLOOKUP(Tabla1[[#This Row],[instructor_2]],diccionario_!$A$1:$A$11,diccionario_!$D$1:$D$11,,0)</f>
        <v>Guillermo Milla M.</v>
      </c>
      <c r="V20" s="2" t="str">
        <f t="shared" si="1"/>
        <v>100%</v>
      </c>
      <c r="W20" s="2" t="s">
        <v>3519</v>
      </c>
    </row>
    <row r="21" spans="1:23" ht="16.5" customHeight="1">
      <c r="A21" s="2">
        <v>740</v>
      </c>
      <c r="B21" s="24" t="s">
        <v>32</v>
      </c>
      <c r="C21" s="24" t="s">
        <v>33</v>
      </c>
      <c r="D21" s="24" t="s">
        <v>9</v>
      </c>
      <c r="E21" s="11">
        <v>46040</v>
      </c>
      <c r="F21" s="14">
        <v>0.41666666666666702</v>
      </c>
      <c r="G21" s="24" t="s">
        <v>1216</v>
      </c>
      <c r="H21" s="24" t="s">
        <v>1217</v>
      </c>
      <c r="I21" s="24" t="s">
        <v>23</v>
      </c>
      <c r="J21" s="24" t="s">
        <v>24</v>
      </c>
      <c r="K21" s="24" t="s">
        <v>41</v>
      </c>
      <c r="L21" s="24" t="s">
        <v>45</v>
      </c>
      <c r="M21" s="24" t="s">
        <v>44</v>
      </c>
      <c r="N21" s="27" t="s">
        <v>3520</v>
      </c>
      <c r="O21" s="6">
        <v>1</v>
      </c>
      <c r="P21" s="2" t="s">
        <v>3503</v>
      </c>
      <c r="Q21" s="24" t="str">
        <f>IF(Tabla1[[#This Row],[evaluacion_]]="","",IF(Tabla1[[#This Row],[evaluacion_]]=1,"Habilitado","No Habilitado"))</f>
        <v>Habilitado</v>
      </c>
      <c r="R21" s="2" t="str">
        <f>IF(Tabla1[[#This Row],[fecha]]="","",TEXT(Tabla1[[#This Row],[fecha]],"DMMAAAA")&amp;TEXT(Tabla1[[#This Row],[hora]],"HHmm"))</f>
        <v>180120261000</v>
      </c>
      <c r="S21" s="19" t="str">
        <f>_xlfn.CONCAT(Tabla1[[#This Row],[codigo_]],Tabla1[[#This Row],[correlativo_]])</f>
        <v>180120261000740</v>
      </c>
      <c r="T21" s="2" t="str">
        <f t="shared" si="2"/>
        <v>18 de enero del 2026</v>
      </c>
      <c r="U21" s="2" t="str">
        <f>_xlfn.XLOOKUP(Tabla1[[#This Row],[instructor_2]],diccionario_!$A$1:$A$11,diccionario_!$D$1:$D$11,,0)</f>
        <v>Guillermo Milla M.</v>
      </c>
      <c r="V21" s="2" t="str">
        <f t="shared" si="1"/>
        <v>100%</v>
      </c>
      <c r="W21" s="2" t="s">
        <v>3519</v>
      </c>
    </row>
    <row r="22" spans="1:23" ht="16.5" customHeight="1">
      <c r="A22" s="2">
        <v>741</v>
      </c>
      <c r="B22" s="24" t="s">
        <v>7</v>
      </c>
      <c r="C22" s="24" t="s">
        <v>8</v>
      </c>
      <c r="D22" s="24" t="s">
        <v>9</v>
      </c>
      <c r="E22" s="11">
        <v>46040</v>
      </c>
      <c r="F22" s="14">
        <v>0.41666666666666702</v>
      </c>
      <c r="G22" s="24" t="s">
        <v>1216</v>
      </c>
      <c r="H22" s="24" t="s">
        <v>1217</v>
      </c>
      <c r="I22" s="24" t="s">
        <v>29</v>
      </c>
      <c r="J22" s="24" t="s">
        <v>24</v>
      </c>
      <c r="K22" s="24" t="s">
        <v>46</v>
      </c>
      <c r="L22" s="24" t="s">
        <v>47</v>
      </c>
      <c r="M22" s="24"/>
      <c r="N22" s="27" t="s">
        <v>3521</v>
      </c>
      <c r="O22" s="6">
        <v>1</v>
      </c>
      <c r="P22" s="2" t="s">
        <v>3503</v>
      </c>
      <c r="Q22" s="24" t="str">
        <f>IF(Tabla1[[#This Row],[evaluacion_]]="","",IF(Tabla1[[#This Row],[evaluacion_]]=1,"Habilitado","No Habilitado"))</f>
        <v>Habilitado</v>
      </c>
      <c r="R22" s="2" t="str">
        <f>IF(Tabla1[[#This Row],[fecha]]="","",TEXT(Tabla1[[#This Row],[fecha]],"DMMAAAA")&amp;TEXT(Tabla1[[#This Row],[hora]],"HHmm"))</f>
        <v>180120261000</v>
      </c>
      <c r="S22" s="19" t="str">
        <f>_xlfn.CONCAT(Tabla1[[#This Row],[codigo_]],Tabla1[[#This Row],[correlativo_]])</f>
        <v>180120261000741</v>
      </c>
      <c r="T22" s="2" t="str">
        <f t="shared" si="2"/>
        <v>18 de enero del 2026</v>
      </c>
      <c r="U22" s="2" t="str">
        <f>_xlfn.XLOOKUP(Tabla1[[#This Row],[instructor_2]],diccionario_!$A$1:$A$11,diccionario_!$D$1:$D$11,,0)</f>
        <v>Marcelo Barrera A.</v>
      </c>
      <c r="V22" s="2" t="str">
        <f t="shared" si="1"/>
        <v>100%</v>
      </c>
      <c r="W22" s="2" t="s">
        <v>3519</v>
      </c>
    </row>
    <row r="23" spans="1:23" ht="16.5" customHeight="1">
      <c r="A23" s="2">
        <v>742</v>
      </c>
      <c r="B23" s="24" t="s">
        <v>26</v>
      </c>
      <c r="C23" s="24" t="s">
        <v>27</v>
      </c>
      <c r="D23" s="24" t="s">
        <v>9</v>
      </c>
      <c r="E23" s="11">
        <v>46048</v>
      </c>
      <c r="F23" s="14">
        <v>0.70833333333333304</v>
      </c>
      <c r="G23" s="24" t="s">
        <v>1545</v>
      </c>
      <c r="H23" s="24">
        <v>140000</v>
      </c>
      <c r="I23" s="24" t="s">
        <v>11</v>
      </c>
      <c r="J23" s="24" t="s">
        <v>36</v>
      </c>
      <c r="K23" s="24" t="s">
        <v>25</v>
      </c>
      <c r="L23" s="24"/>
      <c r="M23" s="24"/>
      <c r="N23" s="27" t="s">
        <v>25</v>
      </c>
      <c r="O23" s="6">
        <v>1</v>
      </c>
      <c r="P23" s="2" t="s">
        <v>3503</v>
      </c>
      <c r="Q23" s="24" t="str">
        <f>IF(Tabla1[[#This Row],[evaluacion_]]="","",IF(Tabla1[[#This Row],[evaluacion_]]=1,"Habilitado","No Habilitado"))</f>
        <v>Habilitado</v>
      </c>
      <c r="R23" s="2" t="str">
        <f>IF(Tabla1[[#This Row],[fecha]]="","",TEXT(Tabla1[[#This Row],[fecha]],"DMMAAAA")&amp;TEXT(Tabla1[[#This Row],[hora]],"HHmm"))</f>
        <v>260120261700</v>
      </c>
      <c r="S23" s="19" t="str">
        <f>_xlfn.CONCAT(Tabla1[[#This Row],[codigo_]],Tabla1[[#This Row],[correlativo_]])</f>
        <v>260120261700742</v>
      </c>
      <c r="T23" s="2" t="str">
        <f t="shared" si="2"/>
        <v>26 de enero del 2026</v>
      </c>
      <c r="U23" s="2" t="str">
        <f>_xlfn.XLOOKUP(Tabla1[[#This Row],[instructor_2]],diccionario_!$A$1:$A$11,diccionario_!$D$1:$D$11,,0)</f>
        <v>Gilerto Urtubia C.</v>
      </c>
      <c r="V23" s="2" t="str">
        <f t="shared" si="1"/>
        <v>100%</v>
      </c>
      <c r="W23" s="2" t="s">
        <v>3522</v>
      </c>
    </row>
    <row r="24" spans="1:23" ht="16.5" customHeight="1">
      <c r="A24" s="2">
        <v>743</v>
      </c>
      <c r="B24" s="24" t="s">
        <v>26</v>
      </c>
      <c r="C24" s="24" t="s">
        <v>27</v>
      </c>
      <c r="D24" s="24" t="s">
        <v>9</v>
      </c>
      <c r="E24" s="11">
        <v>46048</v>
      </c>
      <c r="F24" s="14">
        <v>0.72916666666666696</v>
      </c>
      <c r="G24" s="24" t="s">
        <v>3381</v>
      </c>
      <c r="H24" s="24" t="s">
        <v>3382</v>
      </c>
      <c r="I24" s="24" t="s">
        <v>11</v>
      </c>
      <c r="J24" s="24" t="s">
        <v>36</v>
      </c>
      <c r="K24" s="24" t="s">
        <v>25</v>
      </c>
      <c r="L24" s="24"/>
      <c r="M24" s="24"/>
      <c r="N24" s="27" t="s">
        <v>25</v>
      </c>
      <c r="O24" s="6">
        <v>1</v>
      </c>
      <c r="P24" s="2" t="s">
        <v>3503</v>
      </c>
      <c r="Q24" s="24" t="str">
        <f>IF(Tabla1[[#This Row],[evaluacion_]]="","",IF(Tabla1[[#This Row],[evaluacion_]]=1,"Habilitado","No Habilitado"))</f>
        <v>Habilitado</v>
      </c>
      <c r="R24" s="2" t="str">
        <f>IF(Tabla1[[#This Row],[fecha]]="","",TEXT(Tabla1[[#This Row],[fecha]],"DMMAAAA")&amp;TEXT(Tabla1[[#This Row],[hora]],"HHmm"))</f>
        <v>260120261730</v>
      </c>
      <c r="S24" s="19" t="str">
        <f>_xlfn.CONCAT(Tabla1[[#This Row],[codigo_]],Tabla1[[#This Row],[correlativo_]])</f>
        <v>260120261730743</v>
      </c>
      <c r="T24" s="2" t="str">
        <f t="shared" si="2"/>
        <v>26 de enero del 2026</v>
      </c>
      <c r="U24" s="2" t="str">
        <f>_xlfn.XLOOKUP(Tabla1[[#This Row],[instructor_2]],diccionario_!$A$1:$A$11,diccionario_!$D$1:$D$11,,0)</f>
        <v>Gilerto Urtubia C.</v>
      </c>
      <c r="V24" s="2" t="str">
        <f t="shared" si="1"/>
        <v>100%</v>
      </c>
      <c r="W24" s="2" t="s">
        <v>3522</v>
      </c>
    </row>
    <row r="25" spans="1:23" ht="16.5" customHeight="1">
      <c r="A25" s="2">
        <v>744</v>
      </c>
      <c r="B25" s="24" t="s">
        <v>7</v>
      </c>
      <c r="C25" s="24" t="s">
        <v>8</v>
      </c>
      <c r="D25" s="24" t="s">
        <v>9</v>
      </c>
      <c r="E25" s="11">
        <v>46051</v>
      </c>
      <c r="F25" s="14">
        <v>0.54166666666666696</v>
      </c>
      <c r="G25" s="24" t="s">
        <v>461</v>
      </c>
      <c r="H25" s="24" t="s">
        <v>462</v>
      </c>
      <c r="I25" s="24" t="s">
        <v>11</v>
      </c>
      <c r="J25" s="24" t="s">
        <v>36</v>
      </c>
      <c r="K25" s="24" t="s">
        <v>25</v>
      </c>
      <c r="L25" s="24"/>
      <c r="M25" s="24"/>
      <c r="N25" s="27" t="s">
        <v>25</v>
      </c>
      <c r="O25" s="6">
        <v>1</v>
      </c>
      <c r="P25" s="2" t="s">
        <v>3503</v>
      </c>
      <c r="Q25" s="24" t="str">
        <f>IF(Tabla1[[#This Row],[evaluacion_]]="","",IF(Tabla1[[#This Row],[evaluacion_]]=1,"Habilitado","No Habilitado"))</f>
        <v>Habilitado</v>
      </c>
      <c r="R25" s="2" t="str">
        <f>IF(Tabla1[[#This Row],[fecha]]="","",TEXT(Tabla1[[#This Row],[fecha]],"DMMAAAA")&amp;TEXT(Tabla1[[#This Row],[hora]],"HHmm"))</f>
        <v>290120261300</v>
      </c>
      <c r="S25" s="19" t="str">
        <f>_xlfn.CONCAT(Tabla1[[#This Row],[codigo_]],Tabla1[[#This Row],[correlativo_]])</f>
        <v>290120261300744</v>
      </c>
      <c r="T25" s="2" t="str">
        <f t="shared" si="2"/>
        <v>29 de enero del 2026</v>
      </c>
      <c r="U25" s="2" t="str">
        <f>_xlfn.XLOOKUP(Tabla1[[#This Row],[instructor_2]],diccionario_!$A$1:$A$11,diccionario_!$D$1:$D$11,,0)</f>
        <v>Marcelo Barrera A.</v>
      </c>
      <c r="V25" s="2" t="str">
        <f t="shared" si="1"/>
        <v>100%</v>
      </c>
      <c r="W25" s="2" t="s">
        <v>3523</v>
      </c>
    </row>
    <row r="26" spans="1:23" ht="16.5" customHeight="1">
      <c r="A26" s="2">
        <v>745</v>
      </c>
      <c r="B26" s="24" t="s">
        <v>7</v>
      </c>
      <c r="C26" s="24" t="s">
        <v>8</v>
      </c>
      <c r="D26" s="24" t="s">
        <v>9</v>
      </c>
      <c r="E26" s="11">
        <v>46051</v>
      </c>
      <c r="F26" s="14">
        <v>0.55902777777777801</v>
      </c>
      <c r="G26" s="24" t="s">
        <v>3214</v>
      </c>
      <c r="H26" s="24" t="s">
        <v>3215</v>
      </c>
      <c r="I26" s="24" t="s">
        <v>11</v>
      </c>
      <c r="J26" s="24" t="s">
        <v>36</v>
      </c>
      <c r="K26" s="24" t="s">
        <v>25</v>
      </c>
      <c r="L26" s="24"/>
      <c r="M26" s="24"/>
      <c r="N26" s="27" t="s">
        <v>25</v>
      </c>
      <c r="O26" s="6">
        <v>1</v>
      </c>
      <c r="P26" s="2" t="s">
        <v>3503</v>
      </c>
      <c r="Q26" s="24" t="str">
        <f>IF(Tabla1[[#This Row],[evaluacion_]]="","",IF(Tabla1[[#This Row],[evaluacion_]]=1,"Habilitado","No Habilitado"))</f>
        <v>Habilitado</v>
      </c>
      <c r="R26" s="2" t="str">
        <f>IF(Tabla1[[#This Row],[fecha]]="","",TEXT(Tabla1[[#This Row],[fecha]],"DMMAAAA")&amp;TEXT(Tabla1[[#This Row],[hora]],"HHmm"))</f>
        <v>290120261325</v>
      </c>
      <c r="S26" s="19" t="str">
        <f>_xlfn.CONCAT(Tabla1[[#This Row],[codigo_]],Tabla1[[#This Row],[correlativo_]])</f>
        <v>290120261325745</v>
      </c>
      <c r="T26" s="2" t="str">
        <f t="shared" si="2"/>
        <v>29 de enero del 2026</v>
      </c>
      <c r="U26" s="2" t="str">
        <f>_xlfn.XLOOKUP(Tabla1[[#This Row],[instructor_2]],diccionario_!$A$1:$A$11,diccionario_!$D$1:$D$11,,0)</f>
        <v>Marcelo Barrera A.</v>
      </c>
      <c r="V26" s="2" t="str">
        <f t="shared" si="1"/>
        <v>100%</v>
      </c>
      <c r="W26" s="2" t="s">
        <v>3523</v>
      </c>
    </row>
    <row r="27" spans="1:23" ht="16.5" customHeight="1">
      <c r="A27" s="2">
        <v>746</v>
      </c>
      <c r="B27" s="24" t="s">
        <v>7</v>
      </c>
      <c r="C27" s="24" t="s">
        <v>8</v>
      </c>
      <c r="D27" s="24" t="s">
        <v>9</v>
      </c>
      <c r="E27" s="11">
        <v>46058</v>
      </c>
      <c r="F27" s="14">
        <v>0.41666666666666702</v>
      </c>
      <c r="G27" s="24" t="s">
        <v>2029</v>
      </c>
      <c r="H27" s="24" t="s">
        <v>2030</v>
      </c>
      <c r="I27" s="24" t="s">
        <v>11</v>
      </c>
      <c r="J27" s="24" t="s">
        <v>36</v>
      </c>
      <c r="K27" s="24" t="s">
        <v>25</v>
      </c>
      <c r="L27" s="24"/>
      <c r="M27" s="24"/>
      <c r="N27" s="27" t="s">
        <v>25</v>
      </c>
      <c r="O27" s="6">
        <v>1</v>
      </c>
      <c r="P27" s="2" t="s">
        <v>3503</v>
      </c>
      <c r="Q27" s="24" t="str">
        <f>IF(Tabla1[[#This Row],[evaluacion_]]="","",IF(Tabla1[[#This Row],[evaluacion_]]=1,"Habilitado","No Habilitado"))</f>
        <v>Habilitado</v>
      </c>
      <c r="R27" s="2" t="str">
        <f>IF(Tabla1[[#This Row],[fecha]]="","",TEXT(Tabla1[[#This Row],[fecha]],"DMMAAAA")&amp;TEXT(Tabla1[[#This Row],[hora]],"HHmm"))</f>
        <v>50220261000</v>
      </c>
      <c r="S27" s="19" t="str">
        <f>_xlfn.CONCAT(Tabla1[[#This Row],[codigo_]],Tabla1[[#This Row],[correlativo_]])</f>
        <v>50220261000746</v>
      </c>
      <c r="T27" s="2" t="str">
        <f t="shared" ref="T27:T58" si="3">DAY(E27) &amp; " de " &amp; TEXT(E27, "mmmm") &amp; " del " &amp; YEAR(E27)</f>
        <v>5 de febrero del 2026</v>
      </c>
      <c r="U27" s="2" t="str">
        <f>_xlfn.XLOOKUP(Tabla1[[#This Row],[instructor_2]],diccionario_!$A$1:$A$11,diccionario_!$D$1:$D$11,,0)</f>
        <v>Marcelo Barrera A.</v>
      </c>
      <c r="V27" s="2" t="str">
        <f t="shared" si="1"/>
        <v>100%</v>
      </c>
      <c r="W27" s="2" t="s">
        <v>3524</v>
      </c>
    </row>
    <row r="28" spans="1:23" ht="16.5" customHeight="1">
      <c r="A28" s="2">
        <v>747</v>
      </c>
      <c r="B28" s="24" t="s">
        <v>7</v>
      </c>
      <c r="C28" s="24" t="s">
        <v>8</v>
      </c>
      <c r="D28" s="24" t="s">
        <v>9</v>
      </c>
      <c r="E28" s="11">
        <v>46064</v>
      </c>
      <c r="F28" s="14">
        <v>0.5</v>
      </c>
      <c r="G28" s="24" t="s">
        <v>2965</v>
      </c>
      <c r="H28" s="24" t="s">
        <v>2966</v>
      </c>
      <c r="I28" s="24" t="s">
        <v>23</v>
      </c>
      <c r="J28" s="24" t="s">
        <v>12</v>
      </c>
      <c r="K28" s="24" t="s">
        <v>41</v>
      </c>
      <c r="L28" s="24"/>
      <c r="M28" s="24"/>
      <c r="N28" s="27" t="s">
        <v>41</v>
      </c>
      <c r="O28" s="6">
        <v>1</v>
      </c>
      <c r="P28" s="2" t="s">
        <v>3503</v>
      </c>
      <c r="Q28" s="24" t="str">
        <f>IF(Tabla1[[#This Row],[evaluacion_]]="","",IF(Tabla1[[#This Row],[evaluacion_]]=1,"Habilitado","No Habilitado"))</f>
        <v>Habilitado</v>
      </c>
      <c r="R28" s="2" t="str">
        <f>IF(Tabla1[[#This Row],[fecha]]="","",TEXT(Tabla1[[#This Row],[fecha]],"DMMAAAA")&amp;TEXT(Tabla1[[#This Row],[hora]],"HHmm"))</f>
        <v>110220261200</v>
      </c>
      <c r="S28" s="19" t="str">
        <f>_xlfn.CONCAT(Tabla1[[#This Row],[codigo_]],Tabla1[[#This Row],[correlativo_]])</f>
        <v>110220261200747</v>
      </c>
      <c r="T28" s="2" t="str">
        <f t="shared" si="3"/>
        <v>11 de febrero del 2026</v>
      </c>
      <c r="U28" s="2" t="str">
        <f>_xlfn.XLOOKUP(Tabla1[[#This Row],[instructor_2]],diccionario_!$A$1:$A$11,diccionario_!$D$1:$D$11,,0)</f>
        <v>Marcelo Barrera A.</v>
      </c>
      <c r="V28" s="2" t="str">
        <f t="shared" si="1"/>
        <v>100%</v>
      </c>
      <c r="W28" s="2" t="s">
        <v>3525</v>
      </c>
    </row>
    <row r="29" spans="1:23" ht="16.5" customHeight="1">
      <c r="A29" s="2">
        <v>748</v>
      </c>
      <c r="B29" s="24" t="s">
        <v>7</v>
      </c>
      <c r="C29" s="24" t="s">
        <v>8</v>
      </c>
      <c r="D29" s="24" t="s">
        <v>9</v>
      </c>
      <c r="E29" s="11">
        <v>46064</v>
      </c>
      <c r="F29" s="14">
        <v>0.49305555555555602</v>
      </c>
      <c r="G29" s="24" t="s">
        <v>2965</v>
      </c>
      <c r="H29" s="24" t="s">
        <v>2966</v>
      </c>
      <c r="I29" s="24" t="s">
        <v>11</v>
      </c>
      <c r="J29" s="24" t="s">
        <v>30</v>
      </c>
      <c r="K29" s="24" t="s">
        <v>37</v>
      </c>
      <c r="L29" s="24" t="s">
        <v>25</v>
      </c>
      <c r="M29" s="24"/>
      <c r="N29" s="27" t="s">
        <v>3526</v>
      </c>
      <c r="O29" s="6">
        <v>1</v>
      </c>
      <c r="P29" s="2" t="s">
        <v>3503</v>
      </c>
      <c r="Q29" s="24" t="str">
        <f>IF(Tabla1[[#This Row],[evaluacion_]]="","",IF(Tabla1[[#This Row],[evaluacion_]]=1,"Habilitado","No Habilitado"))</f>
        <v>Habilitado</v>
      </c>
      <c r="R29" s="2" t="str">
        <f>IF(Tabla1[[#This Row],[fecha]]="","",TEXT(Tabla1[[#This Row],[fecha]],"DMMAAAA")&amp;TEXT(Tabla1[[#This Row],[hora]],"HHmm"))</f>
        <v>110220261150</v>
      </c>
      <c r="S29" s="19" t="str">
        <f>_xlfn.CONCAT(Tabla1[[#This Row],[codigo_]],Tabla1[[#This Row],[correlativo_]])</f>
        <v>110220261150748</v>
      </c>
      <c r="T29" s="2" t="str">
        <f t="shared" si="3"/>
        <v>11 de febrero del 2026</v>
      </c>
      <c r="U29" s="2" t="str">
        <f>_xlfn.XLOOKUP(Tabla1[[#This Row],[instructor_2]],diccionario_!$A$1:$A$11,diccionario_!$D$1:$D$11,,0)</f>
        <v>Marcelo Barrera A.</v>
      </c>
      <c r="V29" s="2" t="str">
        <f t="shared" si="1"/>
        <v>100%</v>
      </c>
      <c r="W29" s="2" t="s">
        <v>3525</v>
      </c>
    </row>
    <row r="30" spans="1:23" ht="16.5" customHeight="1">
      <c r="A30" s="2">
        <v>749</v>
      </c>
      <c r="B30" s="24" t="s">
        <v>7</v>
      </c>
      <c r="C30" s="24" t="s">
        <v>8</v>
      </c>
      <c r="D30" s="24" t="s">
        <v>9</v>
      </c>
      <c r="E30" s="11">
        <v>46063</v>
      </c>
      <c r="F30" s="14">
        <v>0.75</v>
      </c>
      <c r="G30" s="24" t="s">
        <v>2965</v>
      </c>
      <c r="H30" s="24" t="s">
        <v>2966</v>
      </c>
      <c r="I30" s="24" t="s">
        <v>11</v>
      </c>
      <c r="J30" s="24" t="s">
        <v>12</v>
      </c>
      <c r="K30" s="24" t="s">
        <v>13</v>
      </c>
      <c r="L30" s="24"/>
      <c r="M30" s="24"/>
      <c r="N30" s="27" t="s">
        <v>13</v>
      </c>
      <c r="O30" s="6">
        <v>1</v>
      </c>
      <c r="P30" s="2" t="s">
        <v>3503</v>
      </c>
      <c r="Q30" s="24" t="str">
        <f>IF(Tabla1[[#This Row],[evaluacion_]]="","",IF(Tabla1[[#This Row],[evaluacion_]]=1,"Habilitado","No Habilitado"))</f>
        <v>Habilitado</v>
      </c>
      <c r="R30" s="2" t="str">
        <f>IF(Tabla1[[#This Row],[fecha]]="","",TEXT(Tabla1[[#This Row],[fecha]],"DMMAAAA")&amp;TEXT(Tabla1[[#This Row],[hora]],"HHmm"))</f>
        <v>100220261800</v>
      </c>
      <c r="S30" s="19" t="str">
        <f>_xlfn.CONCAT(Tabla1[[#This Row],[codigo_]],Tabla1[[#This Row],[correlativo_]])</f>
        <v>100220261800749</v>
      </c>
      <c r="T30" s="2" t="str">
        <f t="shared" si="3"/>
        <v>10 de febrero del 2026</v>
      </c>
      <c r="U30" s="2" t="str">
        <f>_xlfn.XLOOKUP(Tabla1[[#This Row],[instructor_2]],diccionario_!$A$1:$A$11,diccionario_!$D$1:$D$11,,0)</f>
        <v>Marcelo Barrera A.</v>
      </c>
      <c r="V30" s="2" t="str">
        <f t="shared" si="1"/>
        <v>100%</v>
      </c>
      <c r="W30" s="2" t="s">
        <v>3525</v>
      </c>
    </row>
    <row r="31" spans="1:23" ht="16.5" customHeight="1">
      <c r="A31" s="2">
        <v>750</v>
      </c>
      <c r="B31" s="24"/>
      <c r="C31" s="24"/>
      <c r="D31" s="24"/>
      <c r="E31" s="11"/>
      <c r="F31" s="14"/>
      <c r="G31" s="24"/>
      <c r="H31" s="24"/>
      <c r="I31" s="24"/>
      <c r="J31" s="24"/>
      <c r="K31" s="24"/>
      <c r="L31" s="24"/>
      <c r="M31" s="24"/>
      <c r="N31" s="27"/>
      <c r="O31" s="6">
        <v>1</v>
      </c>
      <c r="P31" s="2" t="s">
        <v>3503</v>
      </c>
      <c r="Q31" s="24" t="str">
        <f>IF(Tabla1[[#This Row],[evaluacion_]]="","",IF(Tabla1[[#This Row],[evaluacion_]]=1,"Habilitado","No Habilitado"))</f>
        <v>Habilitado</v>
      </c>
      <c r="R31" s="2" t="str">
        <f>IF(Tabla1[[#This Row],[fecha]]="","",TEXT(Tabla1[[#This Row],[fecha]],"DMMAAAA")&amp;TEXT(Tabla1[[#This Row],[hora]],"HHmm"))</f>
        <v/>
      </c>
      <c r="S31" s="19" t="str">
        <f>_xlfn.CONCAT(Tabla1[[#This Row],[codigo_]],Tabla1[[#This Row],[correlativo_]])</f>
        <v>750</v>
      </c>
      <c r="T31" s="2" t="str">
        <f t="shared" si="3"/>
        <v>0 de enero del 1900</v>
      </c>
      <c r="U31" s="2">
        <f>_xlfn.XLOOKUP(Tabla1[[#This Row],[instructor_2]],diccionario_!$A$1:$A$11,diccionario_!$D$1:$D$11,,0)</f>
        <v>0</v>
      </c>
      <c r="V31" s="2" t="str">
        <f t="shared" si="1"/>
        <v>100%</v>
      </c>
      <c r="W31" s="2" t="s">
        <v>3527</v>
      </c>
    </row>
    <row r="32" spans="1:23" ht="16.5" customHeight="1">
      <c r="A32" s="2">
        <v>751</v>
      </c>
      <c r="B32" s="24" t="s">
        <v>14</v>
      </c>
      <c r="C32" s="24" t="s">
        <v>15</v>
      </c>
      <c r="D32" s="24" t="s">
        <v>9</v>
      </c>
      <c r="E32" s="11">
        <v>45988</v>
      </c>
      <c r="F32" s="14">
        <v>0.71180555555555602</v>
      </c>
      <c r="G32" s="24" t="s">
        <v>1250</v>
      </c>
      <c r="H32" s="24" t="s">
        <v>1251</v>
      </c>
      <c r="I32" s="24" t="s">
        <v>11</v>
      </c>
      <c r="J32" s="24" t="s">
        <v>12</v>
      </c>
      <c r="K32" s="24" t="s">
        <v>13</v>
      </c>
      <c r="L32" s="24"/>
      <c r="M32" s="24"/>
      <c r="N32" s="27" t="s">
        <v>13</v>
      </c>
      <c r="O32" s="6">
        <v>1</v>
      </c>
      <c r="P32" s="2" t="s">
        <v>3503</v>
      </c>
      <c r="Q32" s="24" t="str">
        <f>IF(Tabla1[[#This Row],[evaluacion_]]="","",IF(Tabla1[[#This Row],[evaluacion_]]=1,"Habilitado","No Habilitado"))</f>
        <v>Habilitado</v>
      </c>
      <c r="R32" s="2" t="str">
        <f>IF(Tabla1[[#This Row],[fecha]]="","",TEXT(Tabla1[[#This Row],[fecha]],"DMMAAAA")&amp;TEXT(Tabla1[[#This Row],[hora]],"HHmm"))</f>
        <v>271120251705</v>
      </c>
      <c r="S32" s="19" t="str">
        <f>_xlfn.CONCAT(Tabla1[[#This Row],[codigo_]],Tabla1[[#This Row],[correlativo_]])</f>
        <v>271120251705751</v>
      </c>
      <c r="T32" s="2" t="str">
        <f t="shared" si="3"/>
        <v>27 de noviembre del 2025</v>
      </c>
      <c r="U32" s="2" t="str">
        <f>_xlfn.XLOOKUP(Tabla1[[#This Row],[instructor_2]],diccionario_!$A$1:$A$11,diccionario_!$D$1:$D$11,,0)</f>
        <v>Daniel Carvajal B.</v>
      </c>
      <c r="V32" s="2" t="str">
        <f t="shared" si="1"/>
        <v>100%</v>
      </c>
      <c r="W32" s="2" t="s">
        <v>3527</v>
      </c>
    </row>
    <row r="33" spans="1:23" ht="16.5" customHeight="1">
      <c r="A33" s="2">
        <v>752</v>
      </c>
      <c r="B33" s="24" t="s">
        <v>14</v>
      </c>
      <c r="C33" s="24" t="s">
        <v>15</v>
      </c>
      <c r="D33" s="24" t="s">
        <v>9</v>
      </c>
      <c r="E33" s="11"/>
      <c r="F33" s="14"/>
      <c r="G33" s="24"/>
      <c r="H33" s="24"/>
      <c r="I33" s="24"/>
      <c r="J33" s="24"/>
      <c r="K33" s="24"/>
      <c r="L33" s="24"/>
      <c r="M33" s="24"/>
      <c r="N33" s="27"/>
      <c r="O33" s="6" t="s">
        <v>3507</v>
      </c>
      <c r="P33" s="2" t="s">
        <v>3503</v>
      </c>
      <c r="Q33" s="24" t="str">
        <f>IF(Tabla1[[#This Row],[evaluacion_]]="","",IF(Tabla1[[#This Row],[evaluacion_]]=1,"Habilitado","No Habilitado"))</f>
        <v>No Habilitado</v>
      </c>
      <c r="R33" s="2" t="str">
        <f>IF(Tabla1[[#This Row],[fecha]]="","",TEXT(Tabla1[[#This Row],[fecha]],"DMMAAAA")&amp;TEXT(Tabla1[[#This Row],[hora]],"HHmm"))</f>
        <v/>
      </c>
      <c r="S33" s="19" t="str">
        <f>_xlfn.CONCAT(Tabla1[[#This Row],[codigo_]],Tabla1[[#This Row],[correlativo_]])</f>
        <v>752</v>
      </c>
      <c r="T33" s="2" t="str">
        <f t="shared" si="3"/>
        <v>0 de enero del 1900</v>
      </c>
      <c r="U33" s="2" t="str">
        <f>_xlfn.XLOOKUP(Tabla1[[#This Row],[instructor_2]],diccionario_!$A$1:$A$11,diccionario_!$D$1:$D$11,,0)</f>
        <v>Daniel Carvajal B.</v>
      </c>
      <c r="V33" s="2" t="str">
        <f t="shared" si="1"/>
        <v>información de calificación errónea</v>
      </c>
      <c r="W33" s="2" t="s">
        <v>3527</v>
      </c>
    </row>
    <row r="34" spans="1:23" ht="16.5" customHeight="1">
      <c r="A34" s="2">
        <v>753</v>
      </c>
      <c r="B34" s="24" t="s">
        <v>14</v>
      </c>
      <c r="C34" s="24" t="s">
        <v>15</v>
      </c>
      <c r="D34" s="24" t="s">
        <v>9</v>
      </c>
      <c r="E34" s="11">
        <v>45981</v>
      </c>
      <c r="F34" s="14">
        <v>0.72638888888888897</v>
      </c>
      <c r="G34" s="24" t="s">
        <v>2500</v>
      </c>
      <c r="H34" s="24" t="s">
        <v>2501</v>
      </c>
      <c r="I34" s="24" t="s">
        <v>11</v>
      </c>
      <c r="J34" s="24" t="s">
        <v>12</v>
      </c>
      <c r="K34" s="24" t="s">
        <v>13</v>
      </c>
      <c r="L34" s="24"/>
      <c r="M34" s="24"/>
      <c r="N34" s="27" t="s">
        <v>13</v>
      </c>
      <c r="O34" s="6">
        <v>1</v>
      </c>
      <c r="P34" s="2" t="s">
        <v>3503</v>
      </c>
      <c r="Q34" s="24" t="str">
        <f>IF(Tabla1[[#This Row],[evaluacion_]]="","",IF(Tabla1[[#This Row],[evaluacion_]]=1,"Habilitado","No Habilitado"))</f>
        <v>Habilitado</v>
      </c>
      <c r="R34" s="2" t="str">
        <f>IF(Tabla1[[#This Row],[fecha]]="","",TEXT(Tabla1[[#This Row],[fecha]],"DMMAAAA")&amp;TEXT(Tabla1[[#This Row],[hora]],"HHmm"))</f>
        <v>201120251726</v>
      </c>
      <c r="S34" s="19" t="str">
        <f>_xlfn.CONCAT(Tabla1[[#This Row],[codigo_]],Tabla1[[#This Row],[correlativo_]])</f>
        <v>201120251726753</v>
      </c>
      <c r="T34" s="2" t="str">
        <f t="shared" si="3"/>
        <v>20 de noviembre del 2025</v>
      </c>
      <c r="U34" s="2" t="str">
        <f>_xlfn.XLOOKUP(Tabla1[[#This Row],[instructor_2]],diccionario_!$A$1:$A$11,diccionario_!$D$1:$D$11,,0)</f>
        <v>Daniel Carvajal B.</v>
      </c>
      <c r="V34" s="2" t="str">
        <f t="shared" si="1"/>
        <v>100%</v>
      </c>
      <c r="W34" s="2" t="s">
        <v>3528</v>
      </c>
    </row>
    <row r="35" spans="1:23" ht="16.5" customHeight="1">
      <c r="A35" s="2">
        <v>754</v>
      </c>
      <c r="B35" s="24" t="s">
        <v>14</v>
      </c>
      <c r="C35" s="24" t="s">
        <v>15</v>
      </c>
      <c r="D35" s="24" t="s">
        <v>9</v>
      </c>
      <c r="E35" s="11">
        <v>45988</v>
      </c>
      <c r="F35" s="14">
        <v>0.60416666666666696</v>
      </c>
      <c r="G35" s="24" t="s">
        <v>1232</v>
      </c>
      <c r="H35" s="24" t="s">
        <v>1233</v>
      </c>
      <c r="I35" s="24" t="s">
        <v>11</v>
      </c>
      <c r="J35" s="24" t="s">
        <v>12</v>
      </c>
      <c r="K35" s="24" t="s">
        <v>13</v>
      </c>
      <c r="L35" s="24"/>
      <c r="M35" s="24"/>
      <c r="N35" s="27" t="s">
        <v>13</v>
      </c>
      <c r="O35" s="6">
        <v>1</v>
      </c>
      <c r="P35" s="2" t="s">
        <v>3503</v>
      </c>
      <c r="Q35" s="24" t="str">
        <f>IF(Tabla1[[#This Row],[evaluacion_]]="","",IF(Tabla1[[#This Row],[evaluacion_]]=1,"Habilitado","No Habilitado"))</f>
        <v>Habilitado</v>
      </c>
      <c r="R35" s="2" t="str">
        <f>IF(Tabla1[[#This Row],[fecha]]="","",TEXT(Tabla1[[#This Row],[fecha]],"DMMAAAA")&amp;TEXT(Tabla1[[#This Row],[hora]],"HHmm"))</f>
        <v>271120251430</v>
      </c>
      <c r="S35" s="19" t="str">
        <f>_xlfn.CONCAT(Tabla1[[#This Row],[codigo_]],Tabla1[[#This Row],[correlativo_]])</f>
        <v>271120251430754</v>
      </c>
      <c r="T35" s="2" t="str">
        <f t="shared" si="3"/>
        <v>27 de noviembre del 2025</v>
      </c>
      <c r="U35" s="2" t="str">
        <f>_xlfn.XLOOKUP(Tabla1[[#This Row],[instructor_2]],diccionario_!$A$1:$A$11,diccionario_!$D$1:$D$11,,0)</f>
        <v>Daniel Carvajal B.</v>
      </c>
      <c r="V35" s="2" t="str">
        <f t="shared" si="1"/>
        <v>100%</v>
      </c>
      <c r="W35" s="2" t="s">
        <v>3529</v>
      </c>
    </row>
    <row r="36" spans="1:23" ht="16.5" customHeight="1">
      <c r="A36" s="2">
        <v>755</v>
      </c>
      <c r="B36" s="24" t="s">
        <v>14</v>
      </c>
      <c r="C36" s="24" t="s">
        <v>15</v>
      </c>
      <c r="D36" s="24" t="s">
        <v>9</v>
      </c>
      <c r="E36" s="11">
        <v>45988</v>
      </c>
      <c r="F36" s="14">
        <v>0.656944444444444</v>
      </c>
      <c r="G36" s="24" t="s">
        <v>3530</v>
      </c>
      <c r="H36" s="24" t="s">
        <v>3531</v>
      </c>
      <c r="I36" s="24" t="s">
        <v>11</v>
      </c>
      <c r="J36" s="24" t="s">
        <v>12</v>
      </c>
      <c r="K36" s="24" t="s">
        <v>13</v>
      </c>
      <c r="L36" s="24"/>
      <c r="M36" s="24"/>
      <c r="N36" s="27" t="s">
        <v>13</v>
      </c>
      <c r="O36" s="6">
        <v>1</v>
      </c>
      <c r="P36" s="2" t="s">
        <v>3503</v>
      </c>
      <c r="Q36" s="24" t="str">
        <f>IF(Tabla1[[#This Row],[evaluacion_]]="","",IF(Tabla1[[#This Row],[evaluacion_]]=1,"Habilitado","No Habilitado"))</f>
        <v>Habilitado</v>
      </c>
      <c r="R36" s="2" t="str">
        <f>IF(Tabla1[[#This Row],[fecha]]="","",TEXT(Tabla1[[#This Row],[fecha]],"DMMAAAA")&amp;TEXT(Tabla1[[#This Row],[hora]],"HHmm"))</f>
        <v>271120251546</v>
      </c>
      <c r="S36" s="19" t="str">
        <f>_xlfn.CONCAT(Tabla1[[#This Row],[codigo_]],Tabla1[[#This Row],[correlativo_]])</f>
        <v>271120251546755</v>
      </c>
      <c r="T36" s="2" t="str">
        <f t="shared" si="3"/>
        <v>27 de noviembre del 2025</v>
      </c>
      <c r="U36" s="2" t="str">
        <f>_xlfn.XLOOKUP(Tabla1[[#This Row],[instructor_2]],diccionario_!$A$1:$A$11,diccionario_!$D$1:$D$11,,0)</f>
        <v>Daniel Carvajal B.</v>
      </c>
      <c r="V36" s="2" t="str">
        <f t="shared" si="1"/>
        <v>100%</v>
      </c>
      <c r="W36" s="2" t="s">
        <v>3532</v>
      </c>
    </row>
    <row r="37" spans="1:23" ht="16.5" customHeight="1">
      <c r="A37" s="2">
        <v>756</v>
      </c>
      <c r="B37" s="24" t="s">
        <v>14</v>
      </c>
      <c r="C37" s="24" t="s">
        <v>15</v>
      </c>
      <c r="D37" s="24" t="s">
        <v>9</v>
      </c>
      <c r="E37" s="11">
        <v>45988</v>
      </c>
      <c r="F37" s="14">
        <v>0.64166666666666705</v>
      </c>
      <c r="G37" s="24" t="s">
        <v>3533</v>
      </c>
      <c r="H37" s="24" t="s">
        <v>3534</v>
      </c>
      <c r="I37" s="24" t="s">
        <v>11</v>
      </c>
      <c r="J37" s="24" t="s">
        <v>12</v>
      </c>
      <c r="K37" s="24" t="s">
        <v>13</v>
      </c>
      <c r="L37" s="24"/>
      <c r="M37" s="24"/>
      <c r="N37" s="27" t="s">
        <v>13</v>
      </c>
      <c r="O37" s="6">
        <v>1</v>
      </c>
      <c r="P37" s="2" t="s">
        <v>3503</v>
      </c>
      <c r="Q37" s="24" t="str">
        <f>IF(Tabla1[[#This Row],[evaluacion_]]="","",IF(Tabla1[[#This Row],[evaluacion_]]=1,"Habilitado","No Habilitado"))</f>
        <v>Habilitado</v>
      </c>
      <c r="R37" s="2" t="str">
        <f>IF(Tabla1[[#This Row],[fecha]]="","",TEXT(Tabla1[[#This Row],[fecha]],"DMMAAAA")&amp;TEXT(Tabla1[[#This Row],[hora]],"HHmm"))</f>
        <v>271120251524</v>
      </c>
      <c r="S37" s="19" t="str">
        <f>_xlfn.CONCAT(Tabla1[[#This Row],[codigo_]],Tabla1[[#This Row],[correlativo_]])</f>
        <v>271120251524756</v>
      </c>
      <c r="T37" s="2" t="str">
        <f t="shared" si="3"/>
        <v>27 de noviembre del 2025</v>
      </c>
      <c r="U37" s="2" t="str">
        <f>_xlfn.XLOOKUP(Tabla1[[#This Row],[instructor_2]],diccionario_!$A$1:$A$11,diccionario_!$D$1:$D$11,,0)</f>
        <v>Daniel Carvajal B.</v>
      </c>
      <c r="V37" s="2" t="str">
        <f t="shared" si="1"/>
        <v>100%</v>
      </c>
      <c r="W37" s="2" t="s">
        <v>3535</v>
      </c>
    </row>
    <row r="38" spans="1:23" ht="16.5" customHeight="1">
      <c r="A38" s="2">
        <v>757</v>
      </c>
      <c r="B38" s="24" t="s">
        <v>14</v>
      </c>
      <c r="C38" s="24" t="s">
        <v>15</v>
      </c>
      <c r="D38" s="24" t="s">
        <v>9</v>
      </c>
      <c r="E38" s="11">
        <v>45988</v>
      </c>
      <c r="F38" s="14">
        <v>0.62152777777777801</v>
      </c>
      <c r="G38" s="24" t="s">
        <v>874</v>
      </c>
      <c r="H38" s="24" t="s">
        <v>875</v>
      </c>
      <c r="I38" s="24" t="s">
        <v>11</v>
      </c>
      <c r="J38" s="24" t="s">
        <v>12</v>
      </c>
      <c r="K38" s="24" t="s">
        <v>13</v>
      </c>
      <c r="L38" s="24"/>
      <c r="M38" s="24"/>
      <c r="N38" s="27" t="s">
        <v>13</v>
      </c>
      <c r="O38" s="6">
        <v>1</v>
      </c>
      <c r="P38" s="2" t="s">
        <v>3503</v>
      </c>
      <c r="Q38" s="24" t="str">
        <f>IF(Tabla1[[#This Row],[evaluacion_]]="","",IF(Tabla1[[#This Row],[evaluacion_]]=1,"Habilitado","No Habilitado"))</f>
        <v>Habilitado</v>
      </c>
      <c r="R38" s="2" t="str">
        <f>IF(Tabla1[[#This Row],[fecha]]="","",TEXT(Tabla1[[#This Row],[fecha]],"DMMAAAA")&amp;TEXT(Tabla1[[#This Row],[hora]],"HHmm"))</f>
        <v>271120251455</v>
      </c>
      <c r="S38" s="19" t="str">
        <f>_xlfn.CONCAT(Tabla1[[#This Row],[codigo_]],Tabla1[[#This Row],[correlativo_]])</f>
        <v>271120251455757</v>
      </c>
      <c r="T38" s="2" t="str">
        <f t="shared" si="3"/>
        <v>27 de noviembre del 2025</v>
      </c>
      <c r="U38" s="2" t="str">
        <f>_xlfn.XLOOKUP(Tabla1[[#This Row],[instructor_2]],diccionario_!$A$1:$A$11,diccionario_!$D$1:$D$11,,0)</f>
        <v>Daniel Carvajal B.</v>
      </c>
      <c r="V38" s="2" t="str">
        <f t="shared" si="1"/>
        <v>100%</v>
      </c>
      <c r="W38" s="2" t="s">
        <v>3536</v>
      </c>
    </row>
    <row r="39" spans="1:23" ht="16.5" customHeight="1">
      <c r="A39" s="2">
        <v>758</v>
      </c>
      <c r="B39" s="24" t="s">
        <v>14</v>
      </c>
      <c r="C39" s="24" t="s">
        <v>15</v>
      </c>
      <c r="D39" s="24" t="s">
        <v>9</v>
      </c>
      <c r="E39" s="11">
        <v>46003</v>
      </c>
      <c r="F39" s="14">
        <v>0.69305555555555598</v>
      </c>
      <c r="G39" s="24" t="s">
        <v>3115</v>
      </c>
      <c r="H39" s="24" t="s">
        <v>3116</v>
      </c>
      <c r="I39" s="24" t="s">
        <v>11</v>
      </c>
      <c r="J39" s="24" t="s">
        <v>12</v>
      </c>
      <c r="K39" s="24" t="s">
        <v>13</v>
      </c>
      <c r="L39" s="24"/>
      <c r="M39" s="24"/>
      <c r="N39" s="27" t="s">
        <v>13</v>
      </c>
      <c r="O39" s="6">
        <v>1</v>
      </c>
      <c r="P39" s="2" t="s">
        <v>3503</v>
      </c>
      <c r="Q39" s="24" t="str">
        <f>IF(Tabla1[[#This Row],[evaluacion_]]="","",IF(Tabla1[[#This Row],[evaluacion_]]=1,"Habilitado","No Habilitado"))</f>
        <v>Habilitado</v>
      </c>
      <c r="R39" s="2" t="str">
        <f>IF(Tabla1[[#This Row],[fecha]]="","",TEXT(Tabla1[[#This Row],[fecha]],"DMMAAAA")&amp;TEXT(Tabla1[[#This Row],[hora]],"HHmm"))</f>
        <v>121220251638</v>
      </c>
      <c r="S39" s="19" t="str">
        <f>_xlfn.CONCAT(Tabla1[[#This Row],[codigo_]],Tabla1[[#This Row],[correlativo_]])</f>
        <v>121220251638758</v>
      </c>
      <c r="T39" s="2" t="str">
        <f t="shared" si="3"/>
        <v>12 de diciembre del 2025</v>
      </c>
      <c r="U39" s="2" t="str">
        <f>_xlfn.XLOOKUP(Tabla1[[#This Row],[instructor_2]],diccionario_!$A$1:$A$11,diccionario_!$D$1:$D$11,,0)</f>
        <v>Daniel Carvajal B.</v>
      </c>
      <c r="V39" s="2" t="str">
        <f t="shared" si="1"/>
        <v>100%</v>
      </c>
      <c r="W39" s="2" t="s">
        <v>3537</v>
      </c>
    </row>
    <row r="40" spans="1:23" ht="16.5" customHeight="1">
      <c r="A40" s="2">
        <v>759</v>
      </c>
      <c r="B40" s="24" t="s">
        <v>14</v>
      </c>
      <c r="C40" s="24" t="s">
        <v>15</v>
      </c>
      <c r="D40" s="24" t="s">
        <v>9</v>
      </c>
      <c r="E40" s="11">
        <v>46003</v>
      </c>
      <c r="F40" s="14">
        <v>0.75</v>
      </c>
      <c r="G40" s="24" t="s">
        <v>830</v>
      </c>
      <c r="H40" s="24" t="s">
        <v>831</v>
      </c>
      <c r="I40" s="24" t="s">
        <v>11</v>
      </c>
      <c r="J40" s="24" t="s">
        <v>12</v>
      </c>
      <c r="K40" s="24" t="s">
        <v>13</v>
      </c>
      <c r="L40" s="24"/>
      <c r="M40" s="24"/>
      <c r="N40" s="27" t="s">
        <v>13</v>
      </c>
      <c r="O40" s="6">
        <v>1</v>
      </c>
      <c r="P40" s="2" t="s">
        <v>3503</v>
      </c>
      <c r="Q40" s="24" t="str">
        <f>IF(Tabla1[[#This Row],[evaluacion_]]="","",IF(Tabla1[[#This Row],[evaluacion_]]=1,"Habilitado","No Habilitado"))</f>
        <v>Habilitado</v>
      </c>
      <c r="R40" s="2" t="str">
        <f>IF(Tabla1[[#This Row],[fecha]]="","",TEXT(Tabla1[[#This Row],[fecha]],"DMMAAAA")&amp;TEXT(Tabla1[[#This Row],[hora]],"HHmm"))</f>
        <v>121220251800</v>
      </c>
      <c r="S40" s="19" t="str">
        <f>_xlfn.CONCAT(Tabla1[[#This Row],[codigo_]],Tabla1[[#This Row],[correlativo_]])</f>
        <v>121220251800759</v>
      </c>
      <c r="T40" s="2" t="str">
        <f t="shared" si="3"/>
        <v>12 de diciembre del 2025</v>
      </c>
      <c r="U40" s="2" t="str">
        <f>_xlfn.XLOOKUP(Tabla1[[#This Row],[instructor_2]],diccionario_!$A$1:$A$11,diccionario_!$D$1:$D$11,,0)</f>
        <v>Daniel Carvajal B.</v>
      </c>
      <c r="V40" s="2" t="str">
        <f t="shared" si="1"/>
        <v>100%</v>
      </c>
      <c r="W40" s="2" t="s">
        <v>3538</v>
      </c>
    </row>
    <row r="41" spans="1:23" ht="16.5" customHeight="1">
      <c r="A41" s="2">
        <v>760</v>
      </c>
      <c r="B41" s="24" t="s">
        <v>14</v>
      </c>
      <c r="C41" s="24" t="s">
        <v>15</v>
      </c>
      <c r="D41" s="24" t="s">
        <v>9</v>
      </c>
      <c r="E41" s="11">
        <v>45995</v>
      </c>
      <c r="F41" s="14">
        <v>0.74722222222222201</v>
      </c>
      <c r="G41" s="24" t="s">
        <v>3539</v>
      </c>
      <c r="H41" s="24" t="s">
        <v>3540</v>
      </c>
      <c r="I41" s="24" t="s">
        <v>11</v>
      </c>
      <c r="J41" s="24" t="s">
        <v>12</v>
      </c>
      <c r="K41" s="24" t="s">
        <v>13</v>
      </c>
      <c r="L41" s="24"/>
      <c r="M41" s="24"/>
      <c r="N41" s="27" t="s">
        <v>13</v>
      </c>
      <c r="O41" s="6">
        <v>1</v>
      </c>
      <c r="P41" s="2" t="s">
        <v>3503</v>
      </c>
      <c r="Q41" s="24" t="str">
        <f>IF(Tabla1[[#This Row],[evaluacion_]]="","",IF(Tabla1[[#This Row],[evaluacion_]]=1,"Habilitado","No Habilitado"))</f>
        <v>Habilitado</v>
      </c>
      <c r="R41" s="2" t="str">
        <f>IF(Tabla1[[#This Row],[fecha]]="","",TEXT(Tabla1[[#This Row],[fecha]],"DMMAAAA")&amp;TEXT(Tabla1[[#This Row],[hora]],"HHmm"))</f>
        <v>41220251756</v>
      </c>
      <c r="S41" s="19" t="str">
        <f>_xlfn.CONCAT(Tabla1[[#This Row],[codigo_]],Tabla1[[#This Row],[correlativo_]])</f>
        <v>41220251756760</v>
      </c>
      <c r="T41" s="2" t="str">
        <f t="shared" si="3"/>
        <v>4 de diciembre del 2025</v>
      </c>
      <c r="U41" s="2" t="str">
        <f>_xlfn.XLOOKUP(Tabla1[[#This Row],[instructor_2]],diccionario_!$A$1:$A$11,diccionario_!$D$1:$D$11,,0)</f>
        <v>Daniel Carvajal B.</v>
      </c>
      <c r="V41" s="2" t="str">
        <f t="shared" si="1"/>
        <v>100%</v>
      </c>
      <c r="W41" s="2" t="s">
        <v>3541</v>
      </c>
    </row>
    <row r="42" spans="1:23" ht="16.5" customHeight="1">
      <c r="A42" s="2">
        <v>761</v>
      </c>
      <c r="B42" s="24" t="s">
        <v>14</v>
      </c>
      <c r="C42" s="24" t="s">
        <v>15</v>
      </c>
      <c r="D42" s="24" t="s">
        <v>9</v>
      </c>
      <c r="E42" s="11">
        <v>46013</v>
      </c>
      <c r="F42" s="14">
        <v>0.73194444444444395</v>
      </c>
      <c r="G42" s="24" t="s">
        <v>1018</v>
      </c>
      <c r="H42" s="24" t="s">
        <v>1019</v>
      </c>
      <c r="I42" s="24" t="s">
        <v>11</v>
      </c>
      <c r="J42" s="24" t="s">
        <v>12</v>
      </c>
      <c r="K42" s="24" t="s">
        <v>13</v>
      </c>
      <c r="L42" s="24"/>
      <c r="M42" s="24"/>
      <c r="N42" s="27" t="s">
        <v>13</v>
      </c>
      <c r="O42" s="6">
        <v>1</v>
      </c>
      <c r="P42" s="2" t="s">
        <v>3503</v>
      </c>
      <c r="Q42" s="24" t="str">
        <f>IF(Tabla1[[#This Row],[evaluacion_]]="","",IF(Tabla1[[#This Row],[evaluacion_]]=1,"Habilitado","No Habilitado"))</f>
        <v>Habilitado</v>
      </c>
      <c r="R42" s="2" t="str">
        <f>IF(Tabla1[[#This Row],[fecha]]="","",TEXT(Tabla1[[#This Row],[fecha]],"DMMAAAA")&amp;TEXT(Tabla1[[#This Row],[hora]],"HHmm"))</f>
        <v>221220251734</v>
      </c>
      <c r="S42" s="19" t="str">
        <f>_xlfn.CONCAT(Tabla1[[#This Row],[codigo_]],Tabla1[[#This Row],[correlativo_]])</f>
        <v>221220251734761</v>
      </c>
      <c r="T42" s="2" t="str">
        <f t="shared" si="3"/>
        <v>22 de diciembre del 2025</v>
      </c>
      <c r="U42" s="2" t="str">
        <f>_xlfn.XLOOKUP(Tabla1[[#This Row],[instructor_2]],diccionario_!$A$1:$A$11,diccionario_!$D$1:$D$11,,0)</f>
        <v>Daniel Carvajal B.</v>
      </c>
      <c r="V42" s="2" t="str">
        <f t="shared" si="1"/>
        <v>100%</v>
      </c>
      <c r="W42" s="2" t="s">
        <v>3542</v>
      </c>
    </row>
    <row r="43" spans="1:23" ht="16.5" customHeight="1">
      <c r="A43" s="2">
        <v>762</v>
      </c>
      <c r="B43" s="24" t="s">
        <v>14</v>
      </c>
      <c r="C43" s="24" t="s">
        <v>15</v>
      </c>
      <c r="D43" s="24" t="s">
        <v>9</v>
      </c>
      <c r="E43" s="11">
        <v>46013</v>
      </c>
      <c r="F43" s="14">
        <v>0.69791666666666696</v>
      </c>
      <c r="G43" s="24" t="s">
        <v>3383</v>
      </c>
      <c r="H43" s="24" t="s">
        <v>3384</v>
      </c>
      <c r="I43" s="24" t="s">
        <v>11</v>
      </c>
      <c r="J43" s="24" t="s">
        <v>12</v>
      </c>
      <c r="K43" s="24" t="s">
        <v>13</v>
      </c>
      <c r="L43" s="24"/>
      <c r="M43" s="24"/>
      <c r="N43" s="27" t="s">
        <v>13</v>
      </c>
      <c r="O43" s="6">
        <v>1</v>
      </c>
      <c r="P43" s="2" t="s">
        <v>3503</v>
      </c>
      <c r="Q43" s="24" t="str">
        <f>IF(Tabla1[[#This Row],[evaluacion_]]="","",IF(Tabla1[[#This Row],[evaluacion_]]=1,"Habilitado","No Habilitado"))</f>
        <v>Habilitado</v>
      </c>
      <c r="R43" s="2" t="str">
        <f>IF(Tabla1[[#This Row],[fecha]]="","",TEXT(Tabla1[[#This Row],[fecha]],"DMMAAAA")&amp;TEXT(Tabla1[[#This Row],[hora]],"HHmm"))</f>
        <v>221220251645</v>
      </c>
      <c r="S43" s="19" t="str">
        <f>_xlfn.CONCAT(Tabla1[[#This Row],[codigo_]],Tabla1[[#This Row],[correlativo_]])</f>
        <v>221220251645762</v>
      </c>
      <c r="T43" s="2" t="str">
        <f t="shared" si="3"/>
        <v>22 de diciembre del 2025</v>
      </c>
      <c r="U43" s="2" t="str">
        <f>_xlfn.XLOOKUP(Tabla1[[#This Row],[instructor_2]],diccionario_!$A$1:$A$11,diccionario_!$D$1:$D$11,,0)</f>
        <v>Daniel Carvajal B.</v>
      </c>
      <c r="V43" s="2" t="str">
        <f t="shared" si="1"/>
        <v>100%</v>
      </c>
      <c r="W43" s="2" t="s">
        <v>3543</v>
      </c>
    </row>
    <row r="44" spans="1:23" ht="16.5" customHeight="1">
      <c r="A44" s="2">
        <v>763</v>
      </c>
      <c r="B44" s="24" t="s">
        <v>14</v>
      </c>
      <c r="C44" s="24" t="s">
        <v>15</v>
      </c>
      <c r="D44" s="24" t="s">
        <v>9</v>
      </c>
      <c r="E44" s="11">
        <v>46010</v>
      </c>
      <c r="F44" s="14">
        <v>0.69791666666666696</v>
      </c>
      <c r="G44" s="24" t="s">
        <v>3044</v>
      </c>
      <c r="H44" s="24" t="s">
        <v>3045</v>
      </c>
      <c r="I44" s="24" t="s">
        <v>11</v>
      </c>
      <c r="J44" s="24" t="s">
        <v>12</v>
      </c>
      <c r="K44" s="24" t="s">
        <v>13</v>
      </c>
      <c r="L44" s="24"/>
      <c r="M44" s="24"/>
      <c r="N44" s="27" t="s">
        <v>13</v>
      </c>
      <c r="O44" s="6">
        <v>1</v>
      </c>
      <c r="P44" s="2" t="s">
        <v>3503</v>
      </c>
      <c r="Q44" s="24" t="str">
        <f>IF(Tabla1[[#This Row],[evaluacion_]]="","",IF(Tabla1[[#This Row],[evaluacion_]]=1,"Habilitado","No Habilitado"))</f>
        <v>Habilitado</v>
      </c>
      <c r="R44" s="2" t="str">
        <f>IF(Tabla1[[#This Row],[fecha]]="","",TEXT(Tabla1[[#This Row],[fecha]],"DMMAAAA")&amp;TEXT(Tabla1[[#This Row],[hora]],"HHmm"))</f>
        <v>191220251645</v>
      </c>
      <c r="S44" s="19" t="str">
        <f>_xlfn.CONCAT(Tabla1[[#This Row],[codigo_]],Tabla1[[#This Row],[correlativo_]])</f>
        <v>191220251645763</v>
      </c>
      <c r="T44" s="2" t="str">
        <f t="shared" si="3"/>
        <v>19 de diciembre del 2025</v>
      </c>
      <c r="U44" s="2" t="str">
        <f>_xlfn.XLOOKUP(Tabla1[[#This Row],[instructor_2]],diccionario_!$A$1:$A$11,diccionario_!$D$1:$D$11,,0)</f>
        <v>Daniel Carvajal B.</v>
      </c>
      <c r="V44" s="2" t="str">
        <f t="shared" si="1"/>
        <v>100%</v>
      </c>
      <c r="W44" s="2" t="s">
        <v>3544</v>
      </c>
    </row>
    <row r="45" spans="1:23" ht="16.5" customHeight="1">
      <c r="A45" s="2">
        <v>764</v>
      </c>
      <c r="B45" s="24" t="s">
        <v>14</v>
      </c>
      <c r="C45" s="24" t="s">
        <v>15</v>
      </c>
      <c r="D45" s="24" t="s">
        <v>9</v>
      </c>
      <c r="E45" s="11">
        <v>46007</v>
      </c>
      <c r="F45" s="14">
        <v>0.70972222222222203</v>
      </c>
      <c r="G45" s="24" t="s">
        <v>1941</v>
      </c>
      <c r="H45" s="24" t="s">
        <v>1942</v>
      </c>
      <c r="I45" s="24" t="s">
        <v>11</v>
      </c>
      <c r="J45" s="24" t="s">
        <v>12</v>
      </c>
      <c r="K45" s="24" t="s">
        <v>13</v>
      </c>
      <c r="L45" s="24"/>
      <c r="M45" s="24"/>
      <c r="N45" s="27" t="s">
        <v>13</v>
      </c>
      <c r="O45" s="6">
        <v>1</v>
      </c>
      <c r="P45" s="2" t="s">
        <v>3503</v>
      </c>
      <c r="Q45" s="24" t="str">
        <f>IF(Tabla1[[#This Row],[evaluacion_]]="","",IF(Tabla1[[#This Row],[evaluacion_]]=1,"Habilitado","No Habilitado"))</f>
        <v>Habilitado</v>
      </c>
      <c r="R45" s="2" t="str">
        <f>IF(Tabla1[[#This Row],[fecha]]="","",TEXT(Tabla1[[#This Row],[fecha]],"DMMAAAA")&amp;TEXT(Tabla1[[#This Row],[hora]],"HHmm"))</f>
        <v>161220251702</v>
      </c>
      <c r="S45" s="19" t="str">
        <f>_xlfn.CONCAT(Tabla1[[#This Row],[codigo_]],Tabla1[[#This Row],[correlativo_]])</f>
        <v>161220251702764</v>
      </c>
      <c r="T45" s="2" t="str">
        <f t="shared" si="3"/>
        <v>16 de diciembre del 2025</v>
      </c>
      <c r="U45" s="2" t="str">
        <f>_xlfn.XLOOKUP(Tabla1[[#This Row],[instructor_2]],diccionario_!$A$1:$A$11,diccionario_!$D$1:$D$11,,0)</f>
        <v>Daniel Carvajal B.</v>
      </c>
      <c r="V45" s="2" t="str">
        <f t="shared" si="1"/>
        <v>100%</v>
      </c>
      <c r="W45" s="2" t="s">
        <v>3545</v>
      </c>
    </row>
    <row r="46" spans="1:23" ht="16.5" customHeight="1">
      <c r="A46" s="2">
        <v>765</v>
      </c>
      <c r="B46" s="24" t="s">
        <v>14</v>
      </c>
      <c r="C46" s="24" t="s">
        <v>15</v>
      </c>
      <c r="D46" s="24" t="s">
        <v>9</v>
      </c>
      <c r="E46" s="11">
        <v>46009</v>
      </c>
      <c r="F46" s="14">
        <v>0.64930555555555602</v>
      </c>
      <c r="G46" s="24" t="s">
        <v>2044</v>
      </c>
      <c r="H46" s="24" t="s">
        <v>2045</v>
      </c>
      <c r="I46" s="24" t="s">
        <v>11</v>
      </c>
      <c r="J46" s="24" t="s">
        <v>12</v>
      </c>
      <c r="K46" s="24" t="s">
        <v>13</v>
      </c>
      <c r="L46" s="24"/>
      <c r="M46" s="24"/>
      <c r="N46" s="27" t="s">
        <v>13</v>
      </c>
      <c r="O46" s="6">
        <v>1</v>
      </c>
      <c r="P46" s="2" t="s">
        <v>3503</v>
      </c>
      <c r="Q46" s="24" t="str">
        <f>IF(Tabla1[[#This Row],[evaluacion_]]="","",IF(Tabla1[[#This Row],[evaluacion_]]=1,"Habilitado","No Habilitado"))</f>
        <v>Habilitado</v>
      </c>
      <c r="R46" s="2" t="str">
        <f>IF(Tabla1[[#This Row],[fecha]]="","",TEXT(Tabla1[[#This Row],[fecha]],"DMMAAAA")&amp;TEXT(Tabla1[[#This Row],[hora]],"HHmm"))</f>
        <v>181220251535</v>
      </c>
      <c r="S46" s="19" t="str">
        <f>_xlfn.CONCAT(Tabla1[[#This Row],[codigo_]],Tabla1[[#This Row],[correlativo_]])</f>
        <v>181220251535765</v>
      </c>
      <c r="T46" s="2" t="str">
        <f t="shared" si="3"/>
        <v>18 de diciembre del 2025</v>
      </c>
      <c r="U46" s="2" t="str">
        <f>_xlfn.XLOOKUP(Tabla1[[#This Row],[instructor_2]],diccionario_!$A$1:$A$11,diccionario_!$D$1:$D$11,,0)</f>
        <v>Daniel Carvajal B.</v>
      </c>
      <c r="V46" s="2" t="str">
        <f t="shared" si="1"/>
        <v>100%</v>
      </c>
      <c r="W46" s="2" t="s">
        <v>3546</v>
      </c>
    </row>
    <row r="47" spans="1:23" ht="16.5" customHeight="1">
      <c r="A47" s="2">
        <v>766</v>
      </c>
      <c r="B47" s="24" t="s">
        <v>14</v>
      </c>
      <c r="C47" s="24" t="s">
        <v>15</v>
      </c>
      <c r="D47" s="24" t="s">
        <v>9</v>
      </c>
      <c r="E47" s="11">
        <v>46006</v>
      </c>
      <c r="F47" s="14">
        <v>0.66527777777777797</v>
      </c>
      <c r="G47" s="24" t="s">
        <v>3431</v>
      </c>
      <c r="H47" s="24" t="s">
        <v>3432</v>
      </c>
      <c r="I47" s="24" t="s">
        <v>11</v>
      </c>
      <c r="J47" s="24" t="s">
        <v>12</v>
      </c>
      <c r="K47" s="24" t="s">
        <v>13</v>
      </c>
      <c r="L47" s="24"/>
      <c r="M47" s="24"/>
      <c r="N47" s="27" t="s">
        <v>13</v>
      </c>
      <c r="O47" s="6">
        <v>1</v>
      </c>
      <c r="P47" s="2" t="s">
        <v>3503</v>
      </c>
      <c r="Q47" s="24" t="str">
        <f>IF(Tabla1[[#This Row],[evaluacion_]]="","",IF(Tabla1[[#This Row],[evaluacion_]]=1,"Habilitado","No Habilitado"))</f>
        <v>Habilitado</v>
      </c>
      <c r="R47" s="2" t="str">
        <f>IF(Tabla1[[#This Row],[fecha]]="","",TEXT(Tabla1[[#This Row],[fecha]],"DMMAAAA")&amp;TEXT(Tabla1[[#This Row],[hora]],"HHmm"))</f>
        <v>151220251558</v>
      </c>
      <c r="S47" s="19" t="str">
        <f>_xlfn.CONCAT(Tabla1[[#This Row],[codigo_]],Tabla1[[#This Row],[correlativo_]])</f>
        <v>151220251558766</v>
      </c>
      <c r="T47" s="2" t="str">
        <f t="shared" si="3"/>
        <v>15 de diciembre del 2025</v>
      </c>
      <c r="U47" s="2" t="str">
        <f>_xlfn.XLOOKUP(Tabla1[[#This Row],[instructor_2]],diccionario_!$A$1:$A$11,diccionario_!$D$1:$D$11,,0)</f>
        <v>Daniel Carvajal B.</v>
      </c>
      <c r="V47" s="2" t="str">
        <f t="shared" si="1"/>
        <v>100%</v>
      </c>
      <c r="W47" s="2" t="s">
        <v>3547</v>
      </c>
    </row>
    <row r="48" spans="1:23" ht="16.5" customHeight="1">
      <c r="A48" s="2">
        <v>767</v>
      </c>
      <c r="B48" s="24" t="s">
        <v>14</v>
      </c>
      <c r="C48" s="24" t="s">
        <v>15</v>
      </c>
      <c r="D48" s="24" t="s">
        <v>9</v>
      </c>
      <c r="E48" s="11">
        <v>46000</v>
      </c>
      <c r="F48" s="14">
        <v>0.72777777777777797</v>
      </c>
      <c r="G48" s="24" t="s">
        <v>2794</v>
      </c>
      <c r="H48" s="24" t="s">
        <v>2795</v>
      </c>
      <c r="I48" s="24" t="s">
        <v>11</v>
      </c>
      <c r="J48" s="24" t="s">
        <v>24</v>
      </c>
      <c r="K48" s="24" t="s">
        <v>19</v>
      </c>
      <c r="L48" s="24" t="s">
        <v>13</v>
      </c>
      <c r="M48" s="24"/>
      <c r="N48" s="27" t="s">
        <v>3548</v>
      </c>
      <c r="O48" s="6">
        <v>1</v>
      </c>
      <c r="P48" s="2" t="s">
        <v>3503</v>
      </c>
      <c r="Q48" s="24" t="str">
        <f>IF(Tabla1[[#This Row],[evaluacion_]]="","",IF(Tabla1[[#This Row],[evaluacion_]]=1,"Habilitado","No Habilitado"))</f>
        <v>Habilitado</v>
      </c>
      <c r="R48" s="2" t="str">
        <f>IF(Tabla1[[#This Row],[fecha]]="","",TEXT(Tabla1[[#This Row],[fecha]],"DMMAAAA")&amp;TEXT(Tabla1[[#This Row],[hora]],"HHmm"))</f>
        <v>91220251728</v>
      </c>
      <c r="S48" s="19" t="str">
        <f>_xlfn.CONCAT(Tabla1[[#This Row],[codigo_]],Tabla1[[#This Row],[correlativo_]])</f>
        <v>91220251728767</v>
      </c>
      <c r="T48" s="2" t="str">
        <f t="shared" si="3"/>
        <v>9 de diciembre del 2025</v>
      </c>
      <c r="U48" s="2" t="str">
        <f>_xlfn.XLOOKUP(Tabla1[[#This Row],[instructor_2]],diccionario_!$A$1:$A$11,diccionario_!$D$1:$D$11,,0)</f>
        <v>Daniel Carvajal B.</v>
      </c>
      <c r="V48" s="2" t="str">
        <f t="shared" si="1"/>
        <v>100%</v>
      </c>
      <c r="W48" s="2" t="s">
        <v>3549</v>
      </c>
    </row>
    <row r="49" spans="1:23" ht="16.5" customHeight="1">
      <c r="A49" s="2">
        <v>768</v>
      </c>
      <c r="B49" s="24" t="s">
        <v>14</v>
      </c>
      <c r="C49" s="24" t="s">
        <v>15</v>
      </c>
      <c r="D49" s="24" t="s">
        <v>9</v>
      </c>
      <c r="E49" s="11">
        <v>46000</v>
      </c>
      <c r="F49" s="14">
        <v>0.74652777777777801</v>
      </c>
      <c r="G49" s="24" t="s">
        <v>2794</v>
      </c>
      <c r="H49" s="24" t="s">
        <v>2795</v>
      </c>
      <c r="I49" s="24" t="s">
        <v>23</v>
      </c>
      <c r="J49" s="24" t="s">
        <v>24</v>
      </c>
      <c r="K49" s="24" t="s">
        <v>44</v>
      </c>
      <c r="L49" s="24" t="s">
        <v>45</v>
      </c>
      <c r="M49" s="24"/>
      <c r="N49" s="27" t="s">
        <v>3550</v>
      </c>
      <c r="O49" s="6">
        <v>1</v>
      </c>
      <c r="P49" s="2" t="s">
        <v>3503</v>
      </c>
      <c r="Q49" s="24" t="str">
        <f>IF(Tabla1[[#This Row],[evaluacion_]]="","",IF(Tabla1[[#This Row],[evaluacion_]]=1,"Habilitado","No Habilitado"))</f>
        <v>Habilitado</v>
      </c>
      <c r="R49" s="2" t="str">
        <f>IF(Tabla1[[#This Row],[fecha]]="","",TEXT(Tabla1[[#This Row],[fecha]],"DMMAAAA")&amp;TEXT(Tabla1[[#This Row],[hora]],"HHmm"))</f>
        <v>91220251755</v>
      </c>
      <c r="S49" s="19" t="str">
        <f>_xlfn.CONCAT(Tabla1[[#This Row],[codigo_]],Tabla1[[#This Row],[correlativo_]])</f>
        <v>91220251755768</v>
      </c>
      <c r="T49" s="2" t="str">
        <f t="shared" si="3"/>
        <v>9 de diciembre del 2025</v>
      </c>
      <c r="U49" s="2" t="str">
        <f>_xlfn.XLOOKUP(Tabla1[[#This Row],[instructor_2]],diccionario_!$A$1:$A$11,diccionario_!$D$1:$D$11,,0)</f>
        <v>Daniel Carvajal B.</v>
      </c>
      <c r="V49" s="2" t="str">
        <f t="shared" si="1"/>
        <v>100%</v>
      </c>
      <c r="W49" s="2" t="s">
        <v>3551</v>
      </c>
    </row>
    <row r="50" spans="1:23" ht="16.5" customHeight="1">
      <c r="A50" s="2">
        <v>769</v>
      </c>
      <c r="B50" s="24" t="s">
        <v>14</v>
      </c>
      <c r="C50" s="24" t="s">
        <v>15</v>
      </c>
      <c r="D50" s="24" t="s">
        <v>9</v>
      </c>
      <c r="E50" s="11">
        <v>46069</v>
      </c>
      <c r="F50" s="14">
        <v>0.73263888888888895</v>
      </c>
      <c r="G50" s="24" t="s">
        <v>1655</v>
      </c>
      <c r="H50" s="24" t="s">
        <v>1656</v>
      </c>
      <c r="I50" s="24" t="s">
        <v>11</v>
      </c>
      <c r="J50" s="24" t="s">
        <v>24</v>
      </c>
      <c r="K50" s="24" t="s">
        <v>19</v>
      </c>
      <c r="L50" s="24" t="s">
        <v>13</v>
      </c>
      <c r="M50" s="24"/>
      <c r="N50" s="27" t="s">
        <v>3548</v>
      </c>
      <c r="O50" s="6">
        <v>1</v>
      </c>
      <c r="P50" s="2" t="s">
        <v>3503</v>
      </c>
      <c r="Q50" s="24" t="str">
        <f>IF(Tabla1[[#This Row],[evaluacion_]]="","",IF(Tabla1[[#This Row],[evaluacion_]]=1,"Habilitado","No Habilitado"))</f>
        <v>Habilitado</v>
      </c>
      <c r="R50" s="2" t="str">
        <f>IF(Tabla1[[#This Row],[fecha]]="","",TEXT(Tabla1[[#This Row],[fecha]],"DMMAAAA")&amp;TEXT(Tabla1[[#This Row],[hora]],"HHmm"))</f>
        <v>160220261735</v>
      </c>
      <c r="S50" s="19" t="str">
        <f>_xlfn.CONCAT(Tabla1[[#This Row],[codigo_]],Tabla1[[#This Row],[correlativo_]])</f>
        <v>160220261735769</v>
      </c>
      <c r="T50" s="2" t="str">
        <f t="shared" si="3"/>
        <v>16 de febrero del 2026</v>
      </c>
      <c r="U50" s="2" t="str">
        <f>_xlfn.XLOOKUP(Tabla1[[#This Row],[instructor_2]],diccionario_!$A$1:$A$11,diccionario_!$D$1:$D$11,,0)</f>
        <v>Daniel Carvajal B.</v>
      </c>
      <c r="V50" s="2" t="str">
        <f t="shared" si="1"/>
        <v>100%</v>
      </c>
      <c r="W50" s="2" t="s">
        <v>3552</v>
      </c>
    </row>
    <row r="51" spans="1:23" ht="16.5" customHeight="1">
      <c r="A51" s="2">
        <v>770</v>
      </c>
      <c r="B51" s="24" t="s">
        <v>14</v>
      </c>
      <c r="C51" s="24" t="s">
        <v>15</v>
      </c>
      <c r="D51" s="24" t="s">
        <v>9</v>
      </c>
      <c r="E51" s="11">
        <v>45946</v>
      </c>
      <c r="F51" s="14">
        <v>0.74166666666666703</v>
      </c>
      <c r="G51" s="24" t="s">
        <v>1655</v>
      </c>
      <c r="H51" s="24" t="s">
        <v>1656</v>
      </c>
      <c r="I51" s="24" t="s">
        <v>23</v>
      </c>
      <c r="J51" s="24" t="s">
        <v>24</v>
      </c>
      <c r="K51" s="24" t="s">
        <v>44</v>
      </c>
      <c r="L51" s="24" t="s">
        <v>45</v>
      </c>
      <c r="M51" s="24"/>
      <c r="N51" s="27" t="s">
        <v>3550</v>
      </c>
      <c r="O51" s="6">
        <v>1</v>
      </c>
      <c r="P51" s="2" t="s">
        <v>3503</v>
      </c>
      <c r="Q51" s="24" t="str">
        <f>IF(Tabla1[[#This Row],[evaluacion_]]="","",IF(Tabla1[[#This Row],[evaluacion_]]=1,"Habilitado","No Habilitado"))</f>
        <v>Habilitado</v>
      </c>
      <c r="R51" s="2" t="str">
        <f>IF(Tabla1[[#This Row],[fecha]]="","",TEXT(Tabla1[[#This Row],[fecha]],"DMMAAAA")&amp;TEXT(Tabla1[[#This Row],[hora]],"HHmm"))</f>
        <v>161020251748</v>
      </c>
      <c r="S51" s="19" t="str">
        <f>_xlfn.CONCAT(Tabla1[[#This Row],[codigo_]],Tabla1[[#This Row],[correlativo_]])</f>
        <v>161020251748770</v>
      </c>
      <c r="T51" s="2" t="str">
        <f t="shared" si="3"/>
        <v>16 de octubre del 2025</v>
      </c>
      <c r="U51" s="2" t="str">
        <f>_xlfn.XLOOKUP(Tabla1[[#This Row],[instructor_2]],diccionario_!$A$1:$A$11,diccionario_!$D$1:$D$11,,0)</f>
        <v>Daniel Carvajal B.</v>
      </c>
      <c r="V51" s="2" t="str">
        <f t="shared" si="1"/>
        <v>100%</v>
      </c>
      <c r="W51" s="2" t="s">
        <v>3553</v>
      </c>
    </row>
    <row r="52" spans="1:23" ht="16.5" customHeight="1">
      <c r="A52" s="2">
        <v>771</v>
      </c>
      <c r="B52" s="24" t="s">
        <v>14</v>
      </c>
      <c r="C52" s="24" t="s">
        <v>15</v>
      </c>
      <c r="D52" s="24" t="s">
        <v>9</v>
      </c>
      <c r="E52" s="11">
        <v>46013</v>
      </c>
      <c r="F52" s="14">
        <v>0.72083333333333299</v>
      </c>
      <c r="G52" s="24" t="s">
        <v>3554</v>
      </c>
      <c r="H52" s="24" t="s">
        <v>3555</v>
      </c>
      <c r="I52" s="24" t="s">
        <v>11</v>
      </c>
      <c r="J52" s="24" t="s">
        <v>12</v>
      </c>
      <c r="K52" s="24" t="s">
        <v>13</v>
      </c>
      <c r="L52" s="24"/>
      <c r="M52" s="24"/>
      <c r="N52" s="27" t="s">
        <v>13</v>
      </c>
      <c r="O52" s="6">
        <v>1</v>
      </c>
      <c r="P52" s="2" t="s">
        <v>3503</v>
      </c>
      <c r="Q52" s="24" t="str">
        <f>IF(Tabla1[[#This Row],[evaluacion_]]="","",IF(Tabla1[[#This Row],[evaluacion_]]=1,"Habilitado","No Habilitado"))</f>
        <v>Habilitado</v>
      </c>
      <c r="R52" s="2" t="str">
        <f>IF(Tabla1[[#This Row],[fecha]]="","",TEXT(Tabla1[[#This Row],[fecha]],"DMMAAAA")&amp;TEXT(Tabla1[[#This Row],[hora]],"HHmm"))</f>
        <v>221220251718</v>
      </c>
      <c r="S52" s="19" t="str">
        <f>_xlfn.CONCAT(Tabla1[[#This Row],[codigo_]],Tabla1[[#This Row],[correlativo_]])</f>
        <v>221220251718771</v>
      </c>
      <c r="T52" s="2" t="str">
        <f t="shared" si="3"/>
        <v>22 de diciembre del 2025</v>
      </c>
      <c r="U52" s="2" t="str">
        <f>_xlfn.XLOOKUP(Tabla1[[#This Row],[instructor_2]],diccionario_!$A$1:$A$11,diccionario_!$D$1:$D$11,,0)</f>
        <v>Daniel Carvajal B.</v>
      </c>
      <c r="V52" s="2" t="str">
        <f t="shared" si="1"/>
        <v>100%</v>
      </c>
      <c r="W52" s="2" t="s">
        <v>3556</v>
      </c>
    </row>
    <row r="53" spans="1:23" ht="16.5" customHeight="1">
      <c r="A53" s="2">
        <v>772</v>
      </c>
      <c r="B53" s="24" t="s">
        <v>14</v>
      </c>
      <c r="C53" s="24" t="s">
        <v>15</v>
      </c>
      <c r="D53" s="24" t="s">
        <v>9</v>
      </c>
      <c r="E53" s="11">
        <v>45967</v>
      </c>
      <c r="F53" s="14">
        <v>0.71388888888888902</v>
      </c>
      <c r="G53" s="24" t="s">
        <v>997</v>
      </c>
      <c r="H53" s="24" t="s">
        <v>998</v>
      </c>
      <c r="I53" s="24" t="s">
        <v>11</v>
      </c>
      <c r="J53" s="24" t="s">
        <v>24</v>
      </c>
      <c r="K53" s="24" t="s">
        <v>19</v>
      </c>
      <c r="L53" s="24" t="s">
        <v>13</v>
      </c>
      <c r="M53" s="24"/>
      <c r="N53" s="27" t="s">
        <v>3548</v>
      </c>
      <c r="O53" s="6">
        <v>1</v>
      </c>
      <c r="P53" s="2" t="s">
        <v>3503</v>
      </c>
      <c r="Q53" s="24" t="str">
        <f>IF(Tabla1[[#This Row],[evaluacion_]]="","",IF(Tabla1[[#This Row],[evaluacion_]]=1,"Habilitado","No Habilitado"))</f>
        <v>Habilitado</v>
      </c>
      <c r="R53" s="2" t="str">
        <f>IF(Tabla1[[#This Row],[fecha]]="","",TEXT(Tabla1[[#This Row],[fecha]],"DMMAAAA")&amp;TEXT(Tabla1[[#This Row],[hora]],"HHmm"))</f>
        <v>61120251708</v>
      </c>
      <c r="S53" s="19" t="str">
        <f>_xlfn.CONCAT(Tabla1[[#This Row],[codigo_]],Tabla1[[#This Row],[correlativo_]])</f>
        <v>61120251708772</v>
      </c>
      <c r="T53" s="2" t="str">
        <f t="shared" si="3"/>
        <v>6 de noviembre del 2025</v>
      </c>
      <c r="U53" s="2" t="str">
        <f>_xlfn.XLOOKUP(Tabla1[[#This Row],[instructor_2]],diccionario_!$A$1:$A$11,diccionario_!$D$1:$D$11,,0)</f>
        <v>Daniel Carvajal B.</v>
      </c>
      <c r="V53" s="2" t="str">
        <f t="shared" si="1"/>
        <v>100%</v>
      </c>
      <c r="W53" s="2" t="s">
        <v>3557</v>
      </c>
    </row>
    <row r="54" spans="1:23" ht="16.5" customHeight="1">
      <c r="A54" s="2">
        <v>773</v>
      </c>
      <c r="B54" s="24" t="s">
        <v>14</v>
      </c>
      <c r="C54" s="24" t="s">
        <v>15</v>
      </c>
      <c r="D54" s="24" t="s">
        <v>9</v>
      </c>
      <c r="E54" s="11">
        <v>45967</v>
      </c>
      <c r="F54" s="14">
        <v>0.71458333333333302</v>
      </c>
      <c r="G54" s="24" t="s">
        <v>997</v>
      </c>
      <c r="H54" s="24" t="s">
        <v>998</v>
      </c>
      <c r="I54" s="24" t="s">
        <v>23</v>
      </c>
      <c r="J54" s="24" t="s">
        <v>24</v>
      </c>
      <c r="K54" s="24" t="s">
        <v>44</v>
      </c>
      <c r="L54" s="24" t="s">
        <v>45</v>
      </c>
      <c r="M54" s="24"/>
      <c r="N54" s="27" t="s">
        <v>3550</v>
      </c>
      <c r="O54" s="6">
        <v>1</v>
      </c>
      <c r="P54" s="2" t="s">
        <v>3503</v>
      </c>
      <c r="Q54" s="24" t="str">
        <f>IF(Tabla1[[#This Row],[evaluacion_]]="","",IF(Tabla1[[#This Row],[evaluacion_]]=1,"Habilitado","No Habilitado"))</f>
        <v>Habilitado</v>
      </c>
      <c r="R54" s="2" t="str">
        <f>IF(Tabla1[[#This Row],[fecha]]="","",TEXT(Tabla1[[#This Row],[fecha]],"DMMAAAA")&amp;TEXT(Tabla1[[#This Row],[hora]],"HHmm"))</f>
        <v>61120251709</v>
      </c>
      <c r="S54" s="19" t="str">
        <f>_xlfn.CONCAT(Tabla1[[#This Row],[codigo_]],Tabla1[[#This Row],[correlativo_]])</f>
        <v>61120251709773</v>
      </c>
      <c r="T54" s="2" t="str">
        <f t="shared" si="3"/>
        <v>6 de noviembre del 2025</v>
      </c>
      <c r="U54" s="2" t="str">
        <f>_xlfn.XLOOKUP(Tabla1[[#This Row],[instructor_2]],diccionario_!$A$1:$A$11,diccionario_!$D$1:$D$11,,0)</f>
        <v>Daniel Carvajal B.</v>
      </c>
      <c r="V54" s="2" t="str">
        <f t="shared" si="1"/>
        <v>100%</v>
      </c>
      <c r="W54" s="2" t="s">
        <v>3558</v>
      </c>
    </row>
    <row r="55" spans="1:23" ht="16.5" customHeight="1">
      <c r="A55" s="2">
        <v>774</v>
      </c>
      <c r="B55" s="24" t="s">
        <v>14</v>
      </c>
      <c r="C55" s="24" t="s">
        <v>15</v>
      </c>
      <c r="D55" s="24" t="s">
        <v>9</v>
      </c>
      <c r="E55" s="11">
        <v>45967</v>
      </c>
      <c r="F55" s="14">
        <v>0.71527777777777801</v>
      </c>
      <c r="G55" s="24" t="s">
        <v>997</v>
      </c>
      <c r="H55" s="24" t="s">
        <v>998</v>
      </c>
      <c r="I55" s="24" t="s">
        <v>29</v>
      </c>
      <c r="J55" s="24" t="s">
        <v>24</v>
      </c>
      <c r="K55" s="24" t="s">
        <v>46</v>
      </c>
      <c r="L55" s="24" t="s">
        <v>39</v>
      </c>
      <c r="M55" s="24"/>
      <c r="N55" s="27" t="s">
        <v>3559</v>
      </c>
      <c r="O55" s="6">
        <v>1</v>
      </c>
      <c r="P55" s="2" t="s">
        <v>3503</v>
      </c>
      <c r="Q55" s="24" t="str">
        <f>IF(Tabla1[[#This Row],[evaluacion_]]="","",IF(Tabla1[[#This Row],[evaluacion_]]=1,"Habilitado","No Habilitado"))</f>
        <v>Habilitado</v>
      </c>
      <c r="R55" s="2" t="str">
        <f>IF(Tabla1[[#This Row],[fecha]]="","",TEXT(Tabla1[[#This Row],[fecha]],"DMMAAAA")&amp;TEXT(Tabla1[[#This Row],[hora]],"HHmm"))</f>
        <v>61120251710</v>
      </c>
      <c r="S55" s="19" t="str">
        <f>_xlfn.CONCAT(Tabla1[[#This Row],[codigo_]],Tabla1[[#This Row],[correlativo_]])</f>
        <v>61120251710774</v>
      </c>
      <c r="T55" s="2" t="str">
        <f t="shared" si="3"/>
        <v>6 de noviembre del 2025</v>
      </c>
      <c r="U55" s="2" t="str">
        <f>_xlfn.XLOOKUP(Tabla1[[#This Row],[instructor_2]],diccionario_!$A$1:$A$11,diccionario_!$D$1:$D$11,,0)</f>
        <v>Daniel Carvajal B.</v>
      </c>
      <c r="V55" s="2" t="str">
        <f t="shared" si="1"/>
        <v>100%</v>
      </c>
      <c r="W55" s="2" t="s">
        <v>3560</v>
      </c>
    </row>
    <row r="56" spans="1:23" ht="16.5" customHeight="1">
      <c r="A56" s="2">
        <v>775</v>
      </c>
      <c r="B56" s="24" t="s">
        <v>14</v>
      </c>
      <c r="C56" s="24" t="s">
        <v>15</v>
      </c>
      <c r="D56" s="24" t="s">
        <v>9</v>
      </c>
      <c r="E56" s="11">
        <v>45967</v>
      </c>
      <c r="F56" s="14">
        <v>0.71597222222222201</v>
      </c>
      <c r="G56" s="24" t="s">
        <v>2244</v>
      </c>
      <c r="H56" s="24" t="s">
        <v>2245</v>
      </c>
      <c r="I56" s="24" t="s">
        <v>11</v>
      </c>
      <c r="J56" s="24" t="s">
        <v>24</v>
      </c>
      <c r="K56" s="24" t="s">
        <v>19</v>
      </c>
      <c r="L56" s="24" t="s">
        <v>13</v>
      </c>
      <c r="M56" s="24"/>
      <c r="N56" s="27" t="s">
        <v>3548</v>
      </c>
      <c r="O56" s="6">
        <v>1</v>
      </c>
      <c r="P56" s="2" t="s">
        <v>3503</v>
      </c>
      <c r="Q56" s="24" t="str">
        <f>IF(Tabla1[[#This Row],[evaluacion_]]="","",IF(Tabla1[[#This Row],[evaluacion_]]=1,"Habilitado","No Habilitado"))</f>
        <v>Habilitado</v>
      </c>
      <c r="R56" s="2" t="str">
        <f>IF(Tabla1[[#This Row],[fecha]]="","",TEXT(Tabla1[[#This Row],[fecha]],"DMMAAAA")&amp;TEXT(Tabla1[[#This Row],[hora]],"HHmm"))</f>
        <v>61120251711</v>
      </c>
      <c r="S56" s="19" t="str">
        <f>_xlfn.CONCAT(Tabla1[[#This Row],[codigo_]],Tabla1[[#This Row],[correlativo_]])</f>
        <v>61120251711775</v>
      </c>
      <c r="T56" s="2" t="str">
        <f t="shared" si="3"/>
        <v>6 de noviembre del 2025</v>
      </c>
      <c r="U56" s="2" t="str">
        <f>_xlfn.XLOOKUP(Tabla1[[#This Row],[instructor_2]],diccionario_!$A$1:$A$11,diccionario_!$D$1:$D$11,,0)</f>
        <v>Daniel Carvajal B.</v>
      </c>
      <c r="V56" s="2" t="str">
        <f t="shared" si="1"/>
        <v>100%</v>
      </c>
      <c r="W56" s="2" t="s">
        <v>3561</v>
      </c>
    </row>
    <row r="57" spans="1:23" ht="16.5" customHeight="1">
      <c r="A57" s="2">
        <v>776</v>
      </c>
      <c r="B57" s="24" t="s">
        <v>14</v>
      </c>
      <c r="C57" s="24" t="s">
        <v>15</v>
      </c>
      <c r="D57" s="24" t="s">
        <v>9</v>
      </c>
      <c r="E57" s="11">
        <v>45933</v>
      </c>
      <c r="F57" s="14">
        <v>0.72430555555555598</v>
      </c>
      <c r="G57" s="24" t="s">
        <v>2244</v>
      </c>
      <c r="H57" s="24" t="s">
        <v>2245</v>
      </c>
      <c r="I57" s="24" t="s">
        <v>23</v>
      </c>
      <c r="J57" s="24" t="s">
        <v>24</v>
      </c>
      <c r="K57" s="24" t="s">
        <v>44</v>
      </c>
      <c r="L57" s="24" t="s">
        <v>45</v>
      </c>
      <c r="M57" s="24"/>
      <c r="N57" s="27" t="s">
        <v>3550</v>
      </c>
      <c r="O57" s="6">
        <v>1</v>
      </c>
      <c r="P57" s="2" t="s">
        <v>3503</v>
      </c>
      <c r="Q57" s="24" t="str">
        <f>IF(Tabla1[[#This Row],[evaluacion_]]="","",IF(Tabla1[[#This Row],[evaluacion_]]=1,"Habilitado","No Habilitado"))</f>
        <v>Habilitado</v>
      </c>
      <c r="R57" s="2" t="str">
        <f>IF(Tabla1[[#This Row],[fecha]]="","",TEXT(Tabla1[[#This Row],[fecha]],"DMMAAAA")&amp;TEXT(Tabla1[[#This Row],[hora]],"HHmm"))</f>
        <v>31020251723</v>
      </c>
      <c r="S57" s="19" t="str">
        <f>_xlfn.CONCAT(Tabla1[[#This Row],[codigo_]],Tabla1[[#This Row],[correlativo_]])</f>
        <v>31020251723776</v>
      </c>
      <c r="T57" s="2" t="str">
        <f t="shared" si="3"/>
        <v>3 de octubre del 2025</v>
      </c>
      <c r="U57" s="2" t="str">
        <f>_xlfn.XLOOKUP(Tabla1[[#This Row],[instructor_2]],diccionario_!$A$1:$A$11,diccionario_!$D$1:$D$11,,0)</f>
        <v>Daniel Carvajal B.</v>
      </c>
      <c r="V57" s="2" t="str">
        <f t="shared" si="1"/>
        <v>100%</v>
      </c>
      <c r="W57" s="2" t="s">
        <v>3562</v>
      </c>
    </row>
    <row r="58" spans="1:23" ht="16.5" customHeight="1">
      <c r="A58" s="2">
        <v>777</v>
      </c>
      <c r="B58" s="24" t="s">
        <v>14</v>
      </c>
      <c r="C58" s="24" t="s">
        <v>15</v>
      </c>
      <c r="D58" s="24" t="s">
        <v>9</v>
      </c>
      <c r="E58" s="11">
        <v>45933</v>
      </c>
      <c r="F58" s="14">
        <v>0.71666666666666701</v>
      </c>
      <c r="G58" s="24" t="s">
        <v>2244</v>
      </c>
      <c r="H58" s="24" t="s">
        <v>2245</v>
      </c>
      <c r="I58" s="24" t="s">
        <v>29</v>
      </c>
      <c r="J58" s="24" t="s">
        <v>24</v>
      </c>
      <c r="K58" s="24" t="s">
        <v>46</v>
      </c>
      <c r="L58" s="24" t="s">
        <v>47</v>
      </c>
      <c r="M58" s="24"/>
      <c r="N58" s="27" t="s">
        <v>3521</v>
      </c>
      <c r="O58" s="6">
        <v>1</v>
      </c>
      <c r="P58" s="2" t="s">
        <v>3503</v>
      </c>
      <c r="Q58" s="24" t="str">
        <f>IF(Tabla1[[#This Row],[evaluacion_]]="","",IF(Tabla1[[#This Row],[evaluacion_]]=1,"Habilitado","No Habilitado"))</f>
        <v>Habilitado</v>
      </c>
      <c r="R58" s="2" t="str">
        <f>IF(Tabla1[[#This Row],[fecha]]="","",TEXT(Tabla1[[#This Row],[fecha]],"DMMAAAA")&amp;TEXT(Tabla1[[#This Row],[hora]],"HHmm"))</f>
        <v>31020251712</v>
      </c>
      <c r="S58" s="19" t="str">
        <f>_xlfn.CONCAT(Tabla1[[#This Row],[codigo_]],Tabla1[[#This Row],[correlativo_]])</f>
        <v>31020251712777</v>
      </c>
      <c r="T58" s="2" t="str">
        <f t="shared" si="3"/>
        <v>3 de octubre del 2025</v>
      </c>
      <c r="U58" s="2" t="str">
        <f>_xlfn.XLOOKUP(Tabla1[[#This Row],[instructor_2]],diccionario_!$A$1:$A$11,diccionario_!$D$1:$D$11,,0)</f>
        <v>Daniel Carvajal B.</v>
      </c>
      <c r="V58" s="2" t="str">
        <f t="shared" si="1"/>
        <v>100%</v>
      </c>
      <c r="W58" s="2" t="s">
        <v>3563</v>
      </c>
    </row>
    <row r="59" spans="1:23" ht="16.5" customHeight="1">
      <c r="A59" s="2">
        <v>778</v>
      </c>
      <c r="B59" s="24" t="s">
        <v>14</v>
      </c>
      <c r="C59" s="24" t="s">
        <v>15</v>
      </c>
      <c r="D59" s="24" t="s">
        <v>9</v>
      </c>
      <c r="E59" s="11">
        <v>45931</v>
      </c>
      <c r="F59" s="14">
        <v>0.72083333333333299</v>
      </c>
      <c r="G59" s="24" t="s">
        <v>1509</v>
      </c>
      <c r="H59" s="24" t="s">
        <v>1510</v>
      </c>
      <c r="I59" s="24" t="s">
        <v>11</v>
      </c>
      <c r="J59" s="24" t="s">
        <v>24</v>
      </c>
      <c r="K59" s="24" t="s">
        <v>19</v>
      </c>
      <c r="L59" s="24" t="s">
        <v>13</v>
      </c>
      <c r="M59" s="24"/>
      <c r="N59" s="27" t="s">
        <v>3548</v>
      </c>
      <c r="O59" s="6">
        <v>1</v>
      </c>
      <c r="P59" s="2" t="s">
        <v>3503</v>
      </c>
      <c r="Q59" s="24" t="str">
        <f>IF(Tabla1[[#This Row],[evaluacion_]]="","",IF(Tabla1[[#This Row],[evaluacion_]]=1,"Habilitado","No Habilitado"))</f>
        <v>Habilitado</v>
      </c>
      <c r="R59" s="2" t="str">
        <f>IF(Tabla1[[#This Row],[fecha]]="","",TEXT(Tabla1[[#This Row],[fecha]],"DMMAAAA")&amp;TEXT(Tabla1[[#This Row],[hora]],"HHmm"))</f>
        <v>11020251718</v>
      </c>
      <c r="S59" s="19" t="str">
        <f>_xlfn.CONCAT(Tabla1[[#This Row],[codigo_]],Tabla1[[#This Row],[correlativo_]])</f>
        <v>11020251718778</v>
      </c>
      <c r="T59" s="2" t="str">
        <f t="shared" ref="T59:T90" si="4">DAY(E59) &amp; " de " &amp; TEXT(E59, "mmmm") &amp; " del " &amp; YEAR(E59)</f>
        <v>1 de octubre del 2025</v>
      </c>
      <c r="U59" s="2" t="str">
        <f>_xlfn.XLOOKUP(Tabla1[[#This Row],[instructor_2]],diccionario_!$A$1:$A$11,diccionario_!$D$1:$D$11,,0)</f>
        <v>Daniel Carvajal B.</v>
      </c>
      <c r="V59" s="2" t="str">
        <f t="shared" si="1"/>
        <v>100%</v>
      </c>
      <c r="W59" s="2" t="s">
        <v>3564</v>
      </c>
    </row>
    <row r="60" spans="1:23" ht="16.5" customHeight="1">
      <c r="A60" s="2">
        <v>779</v>
      </c>
      <c r="B60" s="24" t="s">
        <v>14</v>
      </c>
      <c r="C60" s="24" t="s">
        <v>15</v>
      </c>
      <c r="D60" s="24" t="s">
        <v>9</v>
      </c>
      <c r="E60" s="11">
        <v>45931</v>
      </c>
      <c r="F60" s="14">
        <v>0.71666666666666701</v>
      </c>
      <c r="G60" s="24" t="s">
        <v>1509</v>
      </c>
      <c r="H60" s="24" t="s">
        <v>1510</v>
      </c>
      <c r="I60" s="24" t="s">
        <v>23</v>
      </c>
      <c r="J60" s="24" t="s">
        <v>24</v>
      </c>
      <c r="K60" s="24" t="s">
        <v>44</v>
      </c>
      <c r="L60" s="24" t="s">
        <v>45</v>
      </c>
      <c r="M60" s="24"/>
      <c r="N60" s="27" t="s">
        <v>3550</v>
      </c>
      <c r="O60" s="6">
        <v>1</v>
      </c>
      <c r="P60" s="2" t="s">
        <v>3503</v>
      </c>
      <c r="Q60" s="24" t="str">
        <f>IF(Tabla1[[#This Row],[evaluacion_]]="","",IF(Tabla1[[#This Row],[evaluacion_]]=1,"Habilitado","No Habilitado"))</f>
        <v>Habilitado</v>
      </c>
      <c r="R60" s="2" t="str">
        <f>IF(Tabla1[[#This Row],[fecha]]="","",TEXT(Tabla1[[#This Row],[fecha]],"DMMAAAA")&amp;TEXT(Tabla1[[#This Row],[hora]],"HHmm"))</f>
        <v>11020251712</v>
      </c>
      <c r="S60" s="19" t="str">
        <f>_xlfn.CONCAT(Tabla1[[#This Row],[codigo_]],Tabla1[[#This Row],[correlativo_]])</f>
        <v>11020251712779</v>
      </c>
      <c r="T60" s="2" t="str">
        <f t="shared" si="4"/>
        <v>1 de octubre del 2025</v>
      </c>
      <c r="U60" s="2" t="str">
        <f>_xlfn.XLOOKUP(Tabla1[[#This Row],[instructor_2]],diccionario_!$A$1:$A$11,diccionario_!$D$1:$D$11,,0)</f>
        <v>Daniel Carvajal B.</v>
      </c>
      <c r="V60" s="2" t="str">
        <f t="shared" si="1"/>
        <v>100%</v>
      </c>
      <c r="W60" s="2" t="s">
        <v>3565</v>
      </c>
    </row>
    <row r="61" spans="1:23" ht="16.5" customHeight="1">
      <c r="A61" s="2">
        <v>780</v>
      </c>
      <c r="B61" s="24" t="s">
        <v>14</v>
      </c>
      <c r="C61" s="24" t="s">
        <v>15</v>
      </c>
      <c r="D61" s="24" t="s">
        <v>9</v>
      </c>
      <c r="E61" s="11">
        <v>45931</v>
      </c>
      <c r="F61" s="14">
        <v>0.71736111111111101</v>
      </c>
      <c r="G61" s="24" t="s">
        <v>1509</v>
      </c>
      <c r="H61" s="24" t="s">
        <v>1510</v>
      </c>
      <c r="I61" s="24" t="s">
        <v>29</v>
      </c>
      <c r="J61" s="24" t="s">
        <v>24</v>
      </c>
      <c r="K61" s="24" t="s">
        <v>46</v>
      </c>
      <c r="L61" s="24" t="s">
        <v>47</v>
      </c>
      <c r="M61" s="24"/>
      <c r="N61" s="27" t="s">
        <v>3521</v>
      </c>
      <c r="O61" s="6">
        <v>1</v>
      </c>
      <c r="P61" s="2" t="s">
        <v>3503</v>
      </c>
      <c r="Q61" s="24" t="str">
        <f>IF(Tabla1[[#This Row],[evaluacion_]]="","",IF(Tabla1[[#This Row],[evaluacion_]]=1,"Habilitado","No Habilitado"))</f>
        <v>Habilitado</v>
      </c>
      <c r="R61" s="2" t="str">
        <f>IF(Tabla1[[#This Row],[fecha]]="","",TEXT(Tabla1[[#This Row],[fecha]],"DMMAAAA")&amp;TEXT(Tabla1[[#This Row],[hora]],"HHmm"))</f>
        <v>11020251713</v>
      </c>
      <c r="S61" s="19" t="str">
        <f>_xlfn.CONCAT(Tabla1[[#This Row],[codigo_]],Tabla1[[#This Row],[correlativo_]])</f>
        <v>11020251713780</v>
      </c>
      <c r="T61" s="2" t="str">
        <f t="shared" si="4"/>
        <v>1 de octubre del 2025</v>
      </c>
      <c r="U61" s="2" t="str">
        <f>_xlfn.XLOOKUP(Tabla1[[#This Row],[instructor_2]],diccionario_!$A$1:$A$11,diccionario_!$D$1:$D$11,,0)</f>
        <v>Daniel Carvajal B.</v>
      </c>
      <c r="V61" s="2" t="str">
        <f t="shared" si="1"/>
        <v>100%</v>
      </c>
      <c r="W61" s="2" t="s">
        <v>3566</v>
      </c>
    </row>
    <row r="62" spans="1:23" ht="16.5" customHeight="1">
      <c r="A62" s="2">
        <v>781</v>
      </c>
      <c r="B62" s="24" t="s">
        <v>26</v>
      </c>
      <c r="C62" s="24" t="s">
        <v>27</v>
      </c>
      <c r="D62" s="24" t="s">
        <v>9</v>
      </c>
      <c r="E62" s="11">
        <v>46051</v>
      </c>
      <c r="F62" s="14">
        <v>0.70902777777777803</v>
      </c>
      <c r="G62" s="24" t="s">
        <v>739</v>
      </c>
      <c r="H62" s="24" t="s">
        <v>740</v>
      </c>
      <c r="I62" s="24" t="s">
        <v>11</v>
      </c>
      <c r="J62" s="24" t="s">
        <v>24</v>
      </c>
      <c r="K62" s="24" t="s">
        <v>19</v>
      </c>
      <c r="L62" s="24" t="s">
        <v>13</v>
      </c>
      <c r="M62" s="24"/>
      <c r="N62" s="27" t="s">
        <v>3548</v>
      </c>
      <c r="O62" s="6">
        <v>1</v>
      </c>
      <c r="P62" s="2" t="s">
        <v>3503</v>
      </c>
      <c r="Q62" s="24" t="str">
        <f>IF(Tabla1[[#This Row],[evaluacion_]]="","",IF(Tabla1[[#This Row],[evaluacion_]]=1,"Habilitado","No Habilitado"))</f>
        <v>Habilitado</v>
      </c>
      <c r="R62" s="2" t="str">
        <f>IF(Tabla1[[#This Row],[fecha]]="","",TEXT(Tabla1[[#This Row],[fecha]],"DMMAAAA")&amp;TEXT(Tabla1[[#This Row],[hora]],"HHmm"))</f>
        <v>290120261701</v>
      </c>
      <c r="S62" s="19" t="str">
        <f>_xlfn.CONCAT(Tabla1[[#This Row],[codigo_]],Tabla1[[#This Row],[correlativo_]])</f>
        <v>290120261701781</v>
      </c>
      <c r="T62" s="2" t="str">
        <f t="shared" si="4"/>
        <v>29 de enero del 2026</v>
      </c>
      <c r="U62" s="2" t="str">
        <f>_xlfn.XLOOKUP(Tabla1[[#This Row],[instructor_2]],diccionario_!$A$1:$A$11,diccionario_!$D$1:$D$11,,0)</f>
        <v>Gilerto Urtubia C.</v>
      </c>
      <c r="V62" s="2" t="str">
        <f t="shared" si="1"/>
        <v>100%</v>
      </c>
      <c r="W62" s="2" t="s">
        <v>3567</v>
      </c>
    </row>
    <row r="63" spans="1:23" ht="16.5" customHeight="1">
      <c r="A63" s="2">
        <v>782</v>
      </c>
      <c r="B63" s="24" t="s">
        <v>14</v>
      </c>
      <c r="C63" s="24" t="s">
        <v>15</v>
      </c>
      <c r="D63" s="24" t="s">
        <v>9</v>
      </c>
      <c r="E63" s="11">
        <v>46059</v>
      </c>
      <c r="F63" s="14">
        <v>0.52430555555555602</v>
      </c>
      <c r="G63" s="24" t="s">
        <v>739</v>
      </c>
      <c r="H63" s="24" t="s">
        <v>740</v>
      </c>
      <c r="I63" s="24" t="s">
        <v>29</v>
      </c>
      <c r="J63" s="24" t="s">
        <v>24</v>
      </c>
      <c r="K63" s="24" t="s">
        <v>46</v>
      </c>
      <c r="L63" s="24" t="s">
        <v>44</v>
      </c>
      <c r="M63" s="24"/>
      <c r="N63" s="27" t="s">
        <v>3568</v>
      </c>
      <c r="O63" s="6">
        <v>1</v>
      </c>
      <c r="P63" s="2" t="s">
        <v>3503</v>
      </c>
      <c r="Q63" s="24" t="str">
        <f>IF(Tabla1[[#This Row],[evaluacion_]]="","",IF(Tabla1[[#This Row],[evaluacion_]]=1,"Habilitado","No Habilitado"))</f>
        <v>Habilitado</v>
      </c>
      <c r="R63" s="2" t="str">
        <f>IF(Tabla1[[#This Row],[fecha]]="","",TEXT(Tabla1[[#This Row],[fecha]],"DMMAAAA")&amp;TEXT(Tabla1[[#This Row],[hora]],"HHmm"))</f>
        <v>60220261235</v>
      </c>
      <c r="S63" s="19" t="str">
        <f>_xlfn.CONCAT(Tabla1[[#This Row],[codigo_]],Tabla1[[#This Row],[correlativo_]])</f>
        <v>60220261235782</v>
      </c>
      <c r="T63" s="2" t="str">
        <f t="shared" si="4"/>
        <v>6 de febrero del 2026</v>
      </c>
      <c r="U63" s="2" t="str">
        <f>_xlfn.XLOOKUP(Tabla1[[#This Row],[instructor_2]],diccionario_!$A$1:$A$11,diccionario_!$D$1:$D$11,,0)</f>
        <v>Daniel Carvajal B.</v>
      </c>
      <c r="V63" s="2" t="str">
        <f t="shared" si="1"/>
        <v>100%</v>
      </c>
      <c r="W63" s="2" t="s">
        <v>3569</v>
      </c>
    </row>
    <row r="64" spans="1:23" ht="16.5" customHeight="1">
      <c r="A64" s="2">
        <v>783</v>
      </c>
      <c r="B64" s="24" t="s">
        <v>14</v>
      </c>
      <c r="C64" s="24" t="s">
        <v>15</v>
      </c>
      <c r="D64" s="24" t="s">
        <v>9</v>
      </c>
      <c r="E64" s="11">
        <v>46059</v>
      </c>
      <c r="F64" s="14">
        <v>0.52638888888888902</v>
      </c>
      <c r="G64" s="24" t="s">
        <v>739</v>
      </c>
      <c r="H64" s="24" t="s">
        <v>740</v>
      </c>
      <c r="I64" s="24" t="s">
        <v>23</v>
      </c>
      <c r="J64" s="24" t="s">
        <v>24</v>
      </c>
      <c r="K64" s="24" t="s">
        <v>44</v>
      </c>
      <c r="L64" s="24" t="s">
        <v>44</v>
      </c>
      <c r="M64" s="24"/>
      <c r="N64" s="27" t="s">
        <v>3570</v>
      </c>
      <c r="O64" s="6">
        <v>1</v>
      </c>
      <c r="P64" s="2" t="s">
        <v>3503</v>
      </c>
      <c r="Q64" s="24" t="str">
        <f>IF(Tabla1[[#This Row],[evaluacion_]]="","",IF(Tabla1[[#This Row],[evaluacion_]]=1,"Habilitado","No Habilitado"))</f>
        <v>Habilitado</v>
      </c>
      <c r="R64" s="2" t="str">
        <f>IF(Tabla1[[#This Row],[fecha]]="","",TEXT(Tabla1[[#This Row],[fecha]],"DMMAAAA")&amp;TEXT(Tabla1[[#This Row],[hora]],"HHmm"))</f>
        <v>60220261238</v>
      </c>
      <c r="S64" s="19" t="str">
        <f>_xlfn.CONCAT(Tabla1[[#This Row],[codigo_]],Tabla1[[#This Row],[correlativo_]])</f>
        <v>60220261238783</v>
      </c>
      <c r="T64" s="2" t="str">
        <f t="shared" si="4"/>
        <v>6 de febrero del 2026</v>
      </c>
      <c r="U64" s="2" t="str">
        <f>_xlfn.XLOOKUP(Tabla1[[#This Row],[instructor_2]],diccionario_!$A$1:$A$11,diccionario_!$D$1:$D$11,,0)</f>
        <v>Daniel Carvajal B.</v>
      </c>
      <c r="V64" s="2" t="str">
        <f t="shared" si="1"/>
        <v>100%</v>
      </c>
      <c r="W64" s="2" t="s">
        <v>3571</v>
      </c>
    </row>
    <row r="65" spans="1:23" ht="16.5" customHeight="1">
      <c r="A65" s="2">
        <v>784</v>
      </c>
      <c r="B65" s="24" t="s">
        <v>14</v>
      </c>
      <c r="C65" s="24" t="s">
        <v>15</v>
      </c>
      <c r="D65" s="24" t="s">
        <v>9</v>
      </c>
      <c r="E65" s="11">
        <v>46015</v>
      </c>
      <c r="F65" s="14">
        <v>0.54236111111111096</v>
      </c>
      <c r="G65" s="24" t="s">
        <v>1845</v>
      </c>
      <c r="H65" s="24" t="s">
        <v>1846</v>
      </c>
      <c r="I65" s="24" t="s">
        <v>11</v>
      </c>
      <c r="J65" s="24" t="s">
        <v>24</v>
      </c>
      <c r="K65" s="24" t="s">
        <v>19</v>
      </c>
      <c r="L65" s="24" t="s">
        <v>13</v>
      </c>
      <c r="M65" s="24"/>
      <c r="N65" s="27" t="s">
        <v>3548</v>
      </c>
      <c r="O65" s="6">
        <v>1</v>
      </c>
      <c r="P65" s="2" t="s">
        <v>3503</v>
      </c>
      <c r="Q65" s="24" t="str">
        <f>IF(Tabla1[[#This Row],[evaluacion_]]="","",IF(Tabla1[[#This Row],[evaluacion_]]=1,"Habilitado","No Habilitado"))</f>
        <v>Habilitado</v>
      </c>
      <c r="R65" s="2" t="str">
        <f>IF(Tabla1[[#This Row],[fecha]]="","",TEXT(Tabla1[[#This Row],[fecha]],"DMMAAAA")&amp;TEXT(Tabla1[[#This Row],[hora]],"HHmm"))</f>
        <v>241220251301</v>
      </c>
      <c r="S65" s="19" t="str">
        <f>_xlfn.CONCAT(Tabla1[[#This Row],[codigo_]],Tabla1[[#This Row],[correlativo_]])</f>
        <v>241220251301784</v>
      </c>
      <c r="T65" s="2" t="str">
        <f t="shared" si="4"/>
        <v>24 de diciembre del 2025</v>
      </c>
      <c r="U65" s="2" t="str">
        <f>_xlfn.XLOOKUP(Tabla1[[#This Row],[instructor_2]],diccionario_!$A$1:$A$11,diccionario_!$D$1:$D$11,,0)</f>
        <v>Daniel Carvajal B.</v>
      </c>
      <c r="V65" s="2" t="str">
        <f t="shared" si="1"/>
        <v>100%</v>
      </c>
      <c r="W65" s="2" t="s">
        <v>3572</v>
      </c>
    </row>
    <row r="66" spans="1:23" ht="16.5" customHeight="1">
      <c r="A66" s="2">
        <v>785</v>
      </c>
      <c r="B66" s="24" t="s">
        <v>14</v>
      </c>
      <c r="C66" s="24" t="s">
        <v>15</v>
      </c>
      <c r="D66" s="24" t="s">
        <v>9</v>
      </c>
      <c r="E66" s="11">
        <v>46015</v>
      </c>
      <c r="F66" s="14">
        <v>0.54305555555555596</v>
      </c>
      <c r="G66" s="24" t="s">
        <v>1845</v>
      </c>
      <c r="H66" s="24" t="s">
        <v>1846</v>
      </c>
      <c r="I66" s="24" t="s">
        <v>23</v>
      </c>
      <c r="J66" s="24" t="s">
        <v>24</v>
      </c>
      <c r="K66" s="24" t="s">
        <v>44</v>
      </c>
      <c r="L66" s="24" t="s">
        <v>45</v>
      </c>
      <c r="M66" s="24"/>
      <c r="N66" s="27" t="s">
        <v>3550</v>
      </c>
      <c r="O66" s="6">
        <v>1</v>
      </c>
      <c r="P66" s="2" t="s">
        <v>3503</v>
      </c>
      <c r="Q66" s="24" t="str">
        <f>IF(Tabla1[[#This Row],[evaluacion_]]="","",IF(Tabla1[[#This Row],[evaluacion_]]=1,"Habilitado","No Habilitado"))</f>
        <v>Habilitado</v>
      </c>
      <c r="R66" s="2" t="str">
        <f>IF(Tabla1[[#This Row],[fecha]]="","",TEXT(Tabla1[[#This Row],[fecha]],"DMMAAAA")&amp;TEXT(Tabla1[[#This Row],[hora]],"HHmm"))</f>
        <v>241220251302</v>
      </c>
      <c r="S66" s="19" t="str">
        <f>_xlfn.CONCAT(Tabla1[[#This Row],[codigo_]],Tabla1[[#This Row],[correlativo_]])</f>
        <v>241220251302785</v>
      </c>
      <c r="T66" s="2" t="str">
        <f t="shared" si="4"/>
        <v>24 de diciembre del 2025</v>
      </c>
      <c r="U66" s="2" t="str">
        <f>_xlfn.XLOOKUP(Tabla1[[#This Row],[instructor_2]],diccionario_!$A$1:$A$11,diccionario_!$D$1:$D$11,,0)</f>
        <v>Daniel Carvajal B.</v>
      </c>
      <c r="V66" s="2" t="str">
        <f t="shared" si="1"/>
        <v>100%</v>
      </c>
      <c r="W66" s="2" t="s">
        <v>3573</v>
      </c>
    </row>
    <row r="67" spans="1:23" ht="16.5" customHeight="1">
      <c r="A67" s="2">
        <v>786</v>
      </c>
      <c r="B67" s="24" t="s">
        <v>14</v>
      </c>
      <c r="C67" s="24" t="s">
        <v>15</v>
      </c>
      <c r="D67" s="24" t="s">
        <v>9</v>
      </c>
      <c r="E67" s="11">
        <v>46015</v>
      </c>
      <c r="F67" s="14">
        <v>0.749305555555556</v>
      </c>
      <c r="G67" s="24" t="s">
        <v>1845</v>
      </c>
      <c r="H67" s="24" t="s">
        <v>1846</v>
      </c>
      <c r="I67" s="24" t="s">
        <v>29</v>
      </c>
      <c r="J67" s="24" t="s">
        <v>24</v>
      </c>
      <c r="K67" s="24" t="s">
        <v>47</v>
      </c>
      <c r="L67" s="24" t="s">
        <v>46</v>
      </c>
      <c r="M67" s="24"/>
      <c r="N67" s="27" t="s">
        <v>3574</v>
      </c>
      <c r="O67" s="6">
        <v>1</v>
      </c>
      <c r="P67" s="2" t="s">
        <v>3503</v>
      </c>
      <c r="Q67" s="24" t="str">
        <f>IF(Tabla1[[#This Row],[evaluacion_]]="","",IF(Tabla1[[#This Row],[evaluacion_]]=1,"Habilitado","No Habilitado"))</f>
        <v>Habilitado</v>
      </c>
      <c r="R67" s="2" t="str">
        <f>IF(Tabla1[[#This Row],[fecha]]="","",TEXT(Tabla1[[#This Row],[fecha]],"DMMAAAA")&amp;TEXT(Tabla1[[#This Row],[hora]],"HHmm"))</f>
        <v>241220251759</v>
      </c>
      <c r="S67" s="19" t="str">
        <f>_xlfn.CONCAT(Tabla1[[#This Row],[codigo_]],Tabla1[[#This Row],[correlativo_]])</f>
        <v>241220251759786</v>
      </c>
      <c r="T67" s="2" t="str">
        <f t="shared" si="4"/>
        <v>24 de diciembre del 2025</v>
      </c>
      <c r="U67" s="2" t="str">
        <f>_xlfn.XLOOKUP(Tabla1[[#This Row],[instructor_2]],diccionario_!$A$1:$A$11,diccionario_!$D$1:$D$11,,0)</f>
        <v>Daniel Carvajal B.</v>
      </c>
      <c r="V67" s="2" t="str">
        <f t="shared" ref="V67:V130" si="5">TEXT(O67,"0%")</f>
        <v>100%</v>
      </c>
      <c r="W67" s="2" t="s">
        <v>3575</v>
      </c>
    </row>
    <row r="68" spans="1:23" ht="16.5" customHeight="1">
      <c r="A68" s="2">
        <v>787</v>
      </c>
      <c r="B68" s="24" t="s">
        <v>14</v>
      </c>
      <c r="C68" s="24" t="s">
        <v>15</v>
      </c>
      <c r="D68" s="24" t="s">
        <v>9</v>
      </c>
      <c r="E68" s="11">
        <v>46008</v>
      </c>
      <c r="F68" s="14">
        <v>0.70625000000000004</v>
      </c>
      <c r="G68" s="24" t="s">
        <v>1154</v>
      </c>
      <c r="H68" s="24" t="s">
        <v>1155</v>
      </c>
      <c r="I68" s="24" t="s">
        <v>11</v>
      </c>
      <c r="J68" s="24" t="s">
        <v>24</v>
      </c>
      <c r="K68" s="24" t="s">
        <v>19</v>
      </c>
      <c r="L68" s="24" t="s">
        <v>13</v>
      </c>
      <c r="M68" s="24"/>
      <c r="N68" s="27" t="s">
        <v>3548</v>
      </c>
      <c r="O68" s="6">
        <v>1</v>
      </c>
      <c r="P68" s="2" t="s">
        <v>3503</v>
      </c>
      <c r="Q68" s="24" t="str">
        <f>IF(Tabla1[[#This Row],[evaluacion_]]="","",IF(Tabla1[[#This Row],[evaluacion_]]=1,"Habilitado","No Habilitado"))</f>
        <v>Habilitado</v>
      </c>
      <c r="R68" s="2" t="str">
        <f>IF(Tabla1[[#This Row],[fecha]]="","",TEXT(Tabla1[[#This Row],[fecha]],"DMMAAAA")&amp;TEXT(Tabla1[[#This Row],[hora]],"HHmm"))</f>
        <v>171220251657</v>
      </c>
      <c r="S68" s="19" t="str">
        <f>_xlfn.CONCAT(Tabla1[[#This Row],[codigo_]],Tabla1[[#This Row],[correlativo_]])</f>
        <v>171220251657787</v>
      </c>
      <c r="T68" s="2" t="str">
        <f t="shared" si="4"/>
        <v>17 de diciembre del 2025</v>
      </c>
      <c r="U68" s="2" t="str">
        <f>_xlfn.XLOOKUP(Tabla1[[#This Row],[instructor_2]],diccionario_!$A$1:$A$11,diccionario_!$D$1:$D$11,,0)</f>
        <v>Daniel Carvajal B.</v>
      </c>
      <c r="V68" s="2" t="str">
        <f t="shared" si="5"/>
        <v>100%</v>
      </c>
      <c r="W68" s="2" t="s">
        <v>3576</v>
      </c>
    </row>
    <row r="69" spans="1:23" ht="16.5" customHeight="1">
      <c r="A69" s="2">
        <v>788</v>
      </c>
      <c r="B69" s="24" t="s">
        <v>14</v>
      </c>
      <c r="C69" s="24" t="s">
        <v>15</v>
      </c>
      <c r="D69" s="24" t="s">
        <v>9</v>
      </c>
      <c r="E69" s="11">
        <v>46008</v>
      </c>
      <c r="F69" s="14">
        <v>0.70694444444444404</v>
      </c>
      <c r="G69" s="24" t="s">
        <v>1154</v>
      </c>
      <c r="H69" s="24" t="s">
        <v>1155</v>
      </c>
      <c r="I69" s="24" t="s">
        <v>23</v>
      </c>
      <c r="J69" s="24" t="s">
        <v>24</v>
      </c>
      <c r="K69" s="24" t="s">
        <v>44</v>
      </c>
      <c r="L69" s="24" t="s">
        <v>45</v>
      </c>
      <c r="M69" s="24"/>
      <c r="N69" s="27" t="s">
        <v>3550</v>
      </c>
      <c r="O69" s="6">
        <v>1</v>
      </c>
      <c r="P69" s="2" t="s">
        <v>3503</v>
      </c>
      <c r="Q69" s="24" t="str">
        <f>IF(Tabla1[[#This Row],[evaluacion_]]="","",IF(Tabla1[[#This Row],[evaluacion_]]=1,"Habilitado","No Habilitado"))</f>
        <v>Habilitado</v>
      </c>
      <c r="R69" s="2" t="str">
        <f>IF(Tabla1[[#This Row],[fecha]]="","",TEXT(Tabla1[[#This Row],[fecha]],"DMMAAAA")&amp;TEXT(Tabla1[[#This Row],[hora]],"HHmm"))</f>
        <v>171220251658</v>
      </c>
      <c r="S69" s="19" t="str">
        <f>_xlfn.CONCAT(Tabla1[[#This Row],[codigo_]],Tabla1[[#This Row],[correlativo_]])</f>
        <v>171220251658788</v>
      </c>
      <c r="T69" s="2" t="str">
        <f t="shared" si="4"/>
        <v>17 de diciembre del 2025</v>
      </c>
      <c r="U69" s="2" t="str">
        <f>_xlfn.XLOOKUP(Tabla1[[#This Row],[instructor_2]],diccionario_!$A$1:$A$11,diccionario_!$D$1:$D$11,,0)</f>
        <v>Daniel Carvajal B.</v>
      </c>
      <c r="V69" s="2" t="str">
        <f t="shared" si="5"/>
        <v>100%</v>
      </c>
      <c r="W69" s="2" t="s">
        <v>3577</v>
      </c>
    </row>
    <row r="70" spans="1:23" ht="16.5" customHeight="1">
      <c r="A70" s="2">
        <v>789</v>
      </c>
      <c r="B70" s="24" t="s">
        <v>14</v>
      </c>
      <c r="C70" s="24" t="s">
        <v>15</v>
      </c>
      <c r="D70" s="24" t="s">
        <v>9</v>
      </c>
      <c r="E70" s="11">
        <v>46008</v>
      </c>
      <c r="F70" s="14">
        <v>0.70763888888888904</v>
      </c>
      <c r="G70" s="24" t="s">
        <v>1154</v>
      </c>
      <c r="H70" s="24" t="s">
        <v>1155</v>
      </c>
      <c r="I70" s="24" t="s">
        <v>29</v>
      </c>
      <c r="J70" s="24" t="s">
        <v>24</v>
      </c>
      <c r="K70" s="24" t="s">
        <v>47</v>
      </c>
      <c r="L70" s="24" t="s">
        <v>46</v>
      </c>
      <c r="M70" s="24"/>
      <c r="N70" s="27" t="s">
        <v>3574</v>
      </c>
      <c r="O70" s="6">
        <v>1</v>
      </c>
      <c r="P70" s="2" t="s">
        <v>3503</v>
      </c>
      <c r="Q70" s="24" t="str">
        <f>IF(Tabla1[[#This Row],[evaluacion_]]="","",IF(Tabla1[[#This Row],[evaluacion_]]=1,"Habilitado","No Habilitado"))</f>
        <v>Habilitado</v>
      </c>
      <c r="R70" s="2" t="str">
        <f>IF(Tabla1[[#This Row],[fecha]]="","",TEXT(Tabla1[[#This Row],[fecha]],"DMMAAAA")&amp;TEXT(Tabla1[[#This Row],[hora]],"HHmm"))</f>
        <v>171220251659</v>
      </c>
      <c r="S70" s="19" t="str">
        <f>_xlfn.CONCAT(Tabla1[[#This Row],[codigo_]],Tabla1[[#This Row],[correlativo_]])</f>
        <v>171220251659789</v>
      </c>
      <c r="T70" s="2" t="str">
        <f t="shared" si="4"/>
        <v>17 de diciembre del 2025</v>
      </c>
      <c r="U70" s="2" t="str">
        <f>_xlfn.XLOOKUP(Tabla1[[#This Row],[instructor_2]],diccionario_!$A$1:$A$11,diccionario_!$D$1:$D$11,,0)</f>
        <v>Daniel Carvajal B.</v>
      </c>
      <c r="V70" s="2" t="str">
        <f t="shared" si="5"/>
        <v>100%</v>
      </c>
      <c r="W70" s="2" t="s">
        <v>3578</v>
      </c>
    </row>
    <row r="71" spans="1:23" ht="16.5" customHeight="1">
      <c r="A71" s="2">
        <v>790</v>
      </c>
      <c r="B71" s="24" t="s">
        <v>32</v>
      </c>
      <c r="C71" s="24" t="s">
        <v>33</v>
      </c>
      <c r="D71" s="24" t="s">
        <v>9</v>
      </c>
      <c r="E71" s="11">
        <v>46065</v>
      </c>
      <c r="F71" s="14">
        <v>0.41666666666666702</v>
      </c>
      <c r="G71" s="24" t="s">
        <v>1843</v>
      </c>
      <c r="H71" s="24" t="s">
        <v>1844</v>
      </c>
      <c r="I71" s="24" t="s">
        <v>11</v>
      </c>
      <c r="J71" s="24" t="s">
        <v>12</v>
      </c>
      <c r="K71" s="24" t="s">
        <v>13</v>
      </c>
      <c r="L71" s="24" t="s">
        <v>25</v>
      </c>
      <c r="M71" s="24"/>
      <c r="N71" s="27" t="s">
        <v>3579</v>
      </c>
      <c r="O71" s="6">
        <v>1</v>
      </c>
      <c r="P71" s="2" t="s">
        <v>3503</v>
      </c>
      <c r="Q71" s="24" t="str">
        <f>IF(Tabla1[[#This Row],[evaluacion_]]="","",IF(Tabla1[[#This Row],[evaluacion_]]=1,"Habilitado","No Habilitado"))</f>
        <v>Habilitado</v>
      </c>
      <c r="R71" s="2" t="str">
        <f>IF(Tabla1[[#This Row],[fecha]]="","",TEXT(Tabla1[[#This Row],[fecha]],"DMMAAAA")&amp;TEXT(Tabla1[[#This Row],[hora]],"HHmm"))</f>
        <v>120220261000</v>
      </c>
      <c r="S71" s="19" t="str">
        <f>_xlfn.CONCAT(Tabla1[[#This Row],[codigo_]],Tabla1[[#This Row],[correlativo_]])</f>
        <v>120220261000790</v>
      </c>
      <c r="T71" s="2" t="str">
        <f t="shared" si="4"/>
        <v>12 de febrero del 2026</v>
      </c>
      <c r="U71" s="2" t="str">
        <f>_xlfn.XLOOKUP(Tabla1[[#This Row],[instructor_2]],diccionario_!$A$1:$A$11,diccionario_!$D$1:$D$11,,0)</f>
        <v>Guillermo Milla M.</v>
      </c>
      <c r="V71" s="2" t="str">
        <f t="shared" si="5"/>
        <v>100%</v>
      </c>
      <c r="W71" s="2" t="s">
        <v>3580</v>
      </c>
    </row>
    <row r="72" spans="1:23" ht="16.5" customHeight="1">
      <c r="A72" s="2">
        <v>791</v>
      </c>
      <c r="B72" s="24" t="s">
        <v>32</v>
      </c>
      <c r="C72" s="24" t="s">
        <v>33</v>
      </c>
      <c r="D72" s="24" t="s">
        <v>9</v>
      </c>
      <c r="E72" s="11">
        <v>46065</v>
      </c>
      <c r="F72" s="14">
        <v>0.41666666666666702</v>
      </c>
      <c r="G72" s="24" t="s">
        <v>1843</v>
      </c>
      <c r="H72" s="24" t="s">
        <v>1844</v>
      </c>
      <c r="I72" s="24" t="s">
        <v>23</v>
      </c>
      <c r="J72" s="24" t="s">
        <v>12</v>
      </c>
      <c r="K72" s="24" t="s">
        <v>41</v>
      </c>
      <c r="L72" s="24"/>
      <c r="M72" s="24"/>
      <c r="N72" s="27" t="s">
        <v>41</v>
      </c>
      <c r="O72" s="6">
        <v>1</v>
      </c>
      <c r="P72" s="2" t="s">
        <v>3503</v>
      </c>
      <c r="Q72" s="24" t="str">
        <f>IF(Tabla1[[#This Row],[evaluacion_]]="","",IF(Tabla1[[#This Row],[evaluacion_]]=1,"Habilitado","No Habilitado"))</f>
        <v>Habilitado</v>
      </c>
      <c r="R72" s="2" t="str">
        <f>IF(Tabla1[[#This Row],[fecha]]="","",TEXT(Tabla1[[#This Row],[fecha]],"DMMAAAA")&amp;TEXT(Tabla1[[#This Row],[hora]],"HHmm"))</f>
        <v>120220261000</v>
      </c>
      <c r="S72" s="19" t="str">
        <f>_xlfn.CONCAT(Tabla1[[#This Row],[codigo_]],Tabla1[[#This Row],[correlativo_]])</f>
        <v>120220261000791</v>
      </c>
      <c r="T72" s="2" t="str">
        <f t="shared" si="4"/>
        <v>12 de febrero del 2026</v>
      </c>
      <c r="U72" s="2" t="str">
        <f>_xlfn.XLOOKUP(Tabla1[[#This Row],[instructor_2]],diccionario_!$A$1:$A$11,diccionario_!$D$1:$D$11,,0)</f>
        <v>Guillermo Milla M.</v>
      </c>
      <c r="V72" s="2" t="str">
        <f t="shared" si="5"/>
        <v>100%</v>
      </c>
      <c r="W72" s="2" t="s">
        <v>3580</v>
      </c>
    </row>
    <row r="73" spans="1:23" ht="16.5" customHeight="1">
      <c r="A73" s="2">
        <v>792</v>
      </c>
      <c r="B73" s="24" t="s">
        <v>26</v>
      </c>
      <c r="C73" s="24" t="s">
        <v>27</v>
      </c>
      <c r="D73" s="24" t="s">
        <v>9</v>
      </c>
      <c r="E73" s="11">
        <v>46052</v>
      </c>
      <c r="F73" s="14">
        <v>0.70902777777777803</v>
      </c>
      <c r="G73" s="24" t="s">
        <v>3581</v>
      </c>
      <c r="H73" s="24" t="s">
        <v>3582</v>
      </c>
      <c r="I73" s="24" t="s">
        <v>11</v>
      </c>
      <c r="J73" s="24" t="s">
        <v>12</v>
      </c>
      <c r="K73" s="24" t="s">
        <v>13</v>
      </c>
      <c r="L73" s="24"/>
      <c r="M73" s="24"/>
      <c r="N73" s="27" t="s">
        <v>13</v>
      </c>
      <c r="O73" s="6">
        <v>1</v>
      </c>
      <c r="P73" s="2" t="s">
        <v>3503</v>
      </c>
      <c r="Q73" s="24" t="str">
        <f>IF(Tabla1[[#This Row],[evaluacion_]]="","",IF(Tabla1[[#This Row],[evaluacion_]]=1,"Habilitado","No Habilitado"))</f>
        <v>Habilitado</v>
      </c>
      <c r="R73" s="2" t="str">
        <f>IF(Tabla1[[#This Row],[fecha]]="","",TEXT(Tabla1[[#This Row],[fecha]],"DMMAAAA")&amp;TEXT(Tabla1[[#This Row],[hora]],"HHmm"))</f>
        <v>300120261701</v>
      </c>
      <c r="S73" s="19" t="str">
        <f>_xlfn.CONCAT(Tabla1[[#This Row],[codigo_]],Tabla1[[#This Row],[correlativo_]])</f>
        <v>300120261701792</v>
      </c>
      <c r="T73" s="2" t="str">
        <f t="shared" si="4"/>
        <v>30 de enero del 2026</v>
      </c>
      <c r="U73" s="2" t="str">
        <f>_xlfn.XLOOKUP(Tabla1[[#This Row],[instructor_2]],diccionario_!$A$1:$A$11,diccionario_!$D$1:$D$11,,0)</f>
        <v>Gilerto Urtubia C.</v>
      </c>
      <c r="V73" s="2" t="str">
        <f t="shared" si="5"/>
        <v>100%</v>
      </c>
      <c r="W73" s="2" t="s">
        <v>3583</v>
      </c>
    </row>
    <row r="74" spans="1:23" ht="16.5" customHeight="1">
      <c r="A74" s="2">
        <v>793</v>
      </c>
      <c r="B74" s="24" t="s">
        <v>26</v>
      </c>
      <c r="C74" s="24" t="s">
        <v>27</v>
      </c>
      <c r="D74" s="24" t="s">
        <v>9</v>
      </c>
      <c r="E74" s="11">
        <v>46051</v>
      </c>
      <c r="F74" s="14">
        <v>0.70486111111111105</v>
      </c>
      <c r="G74" s="24" t="s">
        <v>3584</v>
      </c>
      <c r="H74" s="24" t="s">
        <v>3585</v>
      </c>
      <c r="I74" s="24" t="s">
        <v>11</v>
      </c>
      <c r="J74" s="24" t="s">
        <v>12</v>
      </c>
      <c r="K74" s="24" t="s">
        <v>13</v>
      </c>
      <c r="L74" s="24"/>
      <c r="M74" s="24"/>
      <c r="N74" s="27" t="s">
        <v>13</v>
      </c>
      <c r="O74" s="6">
        <v>1</v>
      </c>
      <c r="P74" s="2" t="s">
        <v>3503</v>
      </c>
      <c r="Q74" s="24" t="str">
        <f>IF(Tabla1[[#This Row],[evaluacion_]]="","",IF(Tabla1[[#This Row],[evaluacion_]]=1,"Habilitado","No Habilitado"))</f>
        <v>Habilitado</v>
      </c>
      <c r="R74" s="2" t="str">
        <f>IF(Tabla1[[#This Row],[fecha]]="","",TEXT(Tabla1[[#This Row],[fecha]],"DMMAAAA")&amp;TEXT(Tabla1[[#This Row],[hora]],"HHmm"))</f>
        <v>290120261655</v>
      </c>
      <c r="S74" s="19" t="str">
        <f>_xlfn.CONCAT(Tabla1[[#This Row],[codigo_]],Tabla1[[#This Row],[correlativo_]])</f>
        <v>290120261655793</v>
      </c>
      <c r="T74" s="2" t="str">
        <f t="shared" si="4"/>
        <v>29 de enero del 2026</v>
      </c>
      <c r="U74" s="2" t="str">
        <f>_xlfn.XLOOKUP(Tabla1[[#This Row],[instructor_2]],diccionario_!$A$1:$A$11,diccionario_!$D$1:$D$11,,0)</f>
        <v>Gilerto Urtubia C.</v>
      </c>
      <c r="V74" s="2" t="str">
        <f t="shared" si="5"/>
        <v>100%</v>
      </c>
      <c r="W74" s="2" t="s">
        <v>3586</v>
      </c>
    </row>
    <row r="75" spans="1:23" ht="16.5" customHeight="1">
      <c r="A75" s="2">
        <v>794</v>
      </c>
      <c r="B75" s="24" t="s">
        <v>26</v>
      </c>
      <c r="C75" s="24" t="s">
        <v>27</v>
      </c>
      <c r="D75" s="24" t="s">
        <v>9</v>
      </c>
      <c r="E75" s="11">
        <v>46044</v>
      </c>
      <c r="F75" s="14">
        <v>0.74722222222222201</v>
      </c>
      <c r="G75" s="24" t="s">
        <v>3587</v>
      </c>
      <c r="H75" s="24" t="s">
        <v>3588</v>
      </c>
      <c r="I75" s="24" t="s">
        <v>11</v>
      </c>
      <c r="J75" s="24" t="s">
        <v>12</v>
      </c>
      <c r="K75" s="24" t="s">
        <v>13</v>
      </c>
      <c r="L75" s="24"/>
      <c r="M75" s="24"/>
      <c r="N75" s="27" t="s">
        <v>13</v>
      </c>
      <c r="O75" s="6">
        <v>1</v>
      </c>
      <c r="P75" s="2" t="s">
        <v>3503</v>
      </c>
      <c r="Q75" s="24" t="str">
        <f>IF(Tabla1[[#This Row],[evaluacion_]]="","",IF(Tabla1[[#This Row],[evaluacion_]]=1,"Habilitado","No Habilitado"))</f>
        <v>Habilitado</v>
      </c>
      <c r="R75" s="2" t="str">
        <f>IF(Tabla1[[#This Row],[fecha]]="","",TEXT(Tabla1[[#This Row],[fecha]],"DMMAAAA")&amp;TEXT(Tabla1[[#This Row],[hora]],"HHmm"))</f>
        <v>220120261756</v>
      </c>
      <c r="S75" s="19" t="str">
        <f>_xlfn.CONCAT(Tabla1[[#This Row],[codigo_]],Tabla1[[#This Row],[correlativo_]])</f>
        <v>220120261756794</v>
      </c>
      <c r="T75" s="2" t="str">
        <f t="shared" si="4"/>
        <v>22 de enero del 2026</v>
      </c>
      <c r="U75" s="2" t="str">
        <f>_xlfn.XLOOKUP(Tabla1[[#This Row],[instructor_2]],diccionario_!$A$1:$A$11,diccionario_!$D$1:$D$11,,0)</f>
        <v>Gilerto Urtubia C.</v>
      </c>
      <c r="V75" s="2" t="str">
        <f t="shared" si="5"/>
        <v>100%</v>
      </c>
      <c r="W75" s="2" t="s">
        <v>3589</v>
      </c>
    </row>
    <row r="76" spans="1:23" ht="16.5" customHeight="1">
      <c r="A76" s="2">
        <v>795</v>
      </c>
      <c r="B76" s="24" t="s">
        <v>26</v>
      </c>
      <c r="C76" s="24" t="s">
        <v>27</v>
      </c>
      <c r="D76" s="24" t="s">
        <v>9</v>
      </c>
      <c r="E76" s="11">
        <v>46037</v>
      </c>
      <c r="F76" s="14">
        <v>0.73819444444444404</v>
      </c>
      <c r="G76" s="24" t="s">
        <v>2348</v>
      </c>
      <c r="H76" s="24" t="s">
        <v>2349</v>
      </c>
      <c r="I76" s="24" t="s">
        <v>11</v>
      </c>
      <c r="J76" s="24" t="s">
        <v>12</v>
      </c>
      <c r="K76" s="24" t="s">
        <v>13</v>
      </c>
      <c r="L76" s="24"/>
      <c r="M76" s="24"/>
      <c r="N76" s="27" t="s">
        <v>13</v>
      </c>
      <c r="O76" s="6">
        <v>1</v>
      </c>
      <c r="P76" s="2" t="s">
        <v>3503</v>
      </c>
      <c r="Q76" s="24" t="str">
        <f>IF(Tabla1[[#This Row],[evaluacion_]]="","",IF(Tabla1[[#This Row],[evaluacion_]]=1,"Habilitado","No Habilitado"))</f>
        <v>Habilitado</v>
      </c>
      <c r="R76" s="2" t="str">
        <f>IF(Tabla1[[#This Row],[fecha]]="","",TEXT(Tabla1[[#This Row],[fecha]],"DMMAAAA")&amp;TEXT(Tabla1[[#This Row],[hora]],"HHmm"))</f>
        <v>150120261743</v>
      </c>
      <c r="S76" s="19" t="str">
        <f>_xlfn.CONCAT(Tabla1[[#This Row],[codigo_]],Tabla1[[#This Row],[correlativo_]])</f>
        <v>150120261743795</v>
      </c>
      <c r="T76" s="2" t="str">
        <f t="shared" si="4"/>
        <v>15 de enero del 2026</v>
      </c>
      <c r="U76" s="2" t="str">
        <f>_xlfn.XLOOKUP(Tabla1[[#This Row],[instructor_2]],diccionario_!$A$1:$A$11,diccionario_!$D$1:$D$11,,0)</f>
        <v>Gilerto Urtubia C.</v>
      </c>
      <c r="V76" s="2" t="str">
        <f t="shared" si="5"/>
        <v>100%</v>
      </c>
      <c r="W76" s="2" t="s">
        <v>3590</v>
      </c>
    </row>
    <row r="77" spans="1:23" ht="16.5" customHeight="1">
      <c r="A77" s="2">
        <v>796</v>
      </c>
      <c r="B77" s="24" t="s">
        <v>26</v>
      </c>
      <c r="C77" s="24" t="s">
        <v>27</v>
      </c>
      <c r="D77" s="24" t="s">
        <v>9</v>
      </c>
      <c r="E77" s="11">
        <v>46031</v>
      </c>
      <c r="F77" s="14">
        <v>0.74722222222222201</v>
      </c>
      <c r="G77" s="24" t="s">
        <v>3591</v>
      </c>
      <c r="H77" s="24" t="s">
        <v>3592</v>
      </c>
      <c r="I77" s="24" t="s">
        <v>11</v>
      </c>
      <c r="J77" s="24" t="s">
        <v>12</v>
      </c>
      <c r="K77" s="24" t="s">
        <v>13</v>
      </c>
      <c r="L77" s="24"/>
      <c r="M77" s="24"/>
      <c r="N77" s="27" t="s">
        <v>13</v>
      </c>
      <c r="O77" s="6">
        <v>1</v>
      </c>
      <c r="P77" s="2" t="s">
        <v>3503</v>
      </c>
      <c r="Q77" s="24" t="str">
        <f>IF(Tabla1[[#This Row],[evaluacion_]]="","",IF(Tabla1[[#This Row],[evaluacion_]]=1,"Habilitado","No Habilitado"))</f>
        <v>Habilitado</v>
      </c>
      <c r="R77" s="2" t="str">
        <f>IF(Tabla1[[#This Row],[fecha]]="","",TEXT(Tabla1[[#This Row],[fecha]],"DMMAAAA")&amp;TEXT(Tabla1[[#This Row],[hora]],"HHmm"))</f>
        <v>90120261756</v>
      </c>
      <c r="S77" s="19" t="str">
        <f>_xlfn.CONCAT(Tabla1[[#This Row],[codigo_]],Tabla1[[#This Row],[correlativo_]])</f>
        <v>90120261756796</v>
      </c>
      <c r="T77" s="2" t="str">
        <f t="shared" si="4"/>
        <v>9 de enero del 2026</v>
      </c>
      <c r="U77" s="2" t="str">
        <f>_xlfn.XLOOKUP(Tabla1[[#This Row],[instructor_2]],diccionario_!$A$1:$A$11,diccionario_!$D$1:$D$11,,0)</f>
        <v>Gilerto Urtubia C.</v>
      </c>
      <c r="V77" s="2" t="str">
        <f t="shared" si="5"/>
        <v>100%</v>
      </c>
      <c r="W77" s="2" t="s">
        <v>3593</v>
      </c>
    </row>
    <row r="78" spans="1:23" ht="16.5" customHeight="1">
      <c r="A78" s="2">
        <v>797</v>
      </c>
      <c r="B78" s="24" t="s">
        <v>26</v>
      </c>
      <c r="C78" s="24" t="s">
        <v>27</v>
      </c>
      <c r="D78" s="24" t="s">
        <v>9</v>
      </c>
      <c r="E78" s="11">
        <v>46031</v>
      </c>
      <c r="F78" s="14">
        <v>0.70069444444444395</v>
      </c>
      <c r="G78" s="24" t="s">
        <v>2601</v>
      </c>
      <c r="H78" s="24" t="s">
        <v>2602</v>
      </c>
      <c r="I78" s="24" t="s">
        <v>11</v>
      </c>
      <c r="J78" s="24" t="s">
        <v>12</v>
      </c>
      <c r="K78" s="24" t="s">
        <v>13</v>
      </c>
      <c r="L78" s="24"/>
      <c r="M78" s="24"/>
      <c r="N78" s="27" t="s">
        <v>13</v>
      </c>
      <c r="O78" s="6">
        <v>1</v>
      </c>
      <c r="P78" s="2" t="s">
        <v>3503</v>
      </c>
      <c r="Q78" s="24" t="str">
        <f>IF(Tabla1[[#This Row],[evaluacion_]]="","",IF(Tabla1[[#This Row],[evaluacion_]]=1,"Habilitado","No Habilitado"))</f>
        <v>Habilitado</v>
      </c>
      <c r="R78" s="2" t="str">
        <f>IF(Tabla1[[#This Row],[fecha]]="","",TEXT(Tabla1[[#This Row],[fecha]],"DMMAAAA")&amp;TEXT(Tabla1[[#This Row],[hora]],"HHmm"))</f>
        <v>90120261649</v>
      </c>
      <c r="S78" s="19" t="str">
        <f>_xlfn.CONCAT(Tabla1[[#This Row],[codigo_]],Tabla1[[#This Row],[correlativo_]])</f>
        <v>90120261649797</v>
      </c>
      <c r="T78" s="2" t="str">
        <f t="shared" si="4"/>
        <v>9 de enero del 2026</v>
      </c>
      <c r="U78" s="2" t="str">
        <f>_xlfn.XLOOKUP(Tabla1[[#This Row],[instructor_2]],diccionario_!$A$1:$A$11,diccionario_!$D$1:$D$11,,0)</f>
        <v>Gilerto Urtubia C.</v>
      </c>
      <c r="V78" s="2" t="str">
        <f t="shared" si="5"/>
        <v>100%</v>
      </c>
      <c r="W78" s="2" t="s">
        <v>3594</v>
      </c>
    </row>
    <row r="79" spans="1:23" ht="16.5" customHeight="1">
      <c r="A79" s="2">
        <v>798</v>
      </c>
      <c r="B79" s="24" t="s">
        <v>14</v>
      </c>
      <c r="C79" s="24" t="s">
        <v>15</v>
      </c>
      <c r="D79" s="24" t="s">
        <v>9</v>
      </c>
      <c r="E79" s="11">
        <v>46053</v>
      </c>
      <c r="F79" s="14">
        <v>0.74652777777777801</v>
      </c>
      <c r="G79" s="24" t="s">
        <v>1316</v>
      </c>
      <c r="H79" s="24" t="s">
        <v>1317</v>
      </c>
      <c r="I79" s="24" t="s">
        <v>11</v>
      </c>
      <c r="J79" s="24" t="s">
        <v>12</v>
      </c>
      <c r="K79" s="24" t="s">
        <v>13</v>
      </c>
      <c r="L79" s="24"/>
      <c r="M79" s="24"/>
      <c r="N79" s="27" t="s">
        <v>13</v>
      </c>
      <c r="O79" s="6">
        <v>1</v>
      </c>
      <c r="P79" s="2" t="s">
        <v>3503</v>
      </c>
      <c r="Q79" s="24" t="str">
        <f>IF(Tabla1[[#This Row],[evaluacion_]]="","",IF(Tabla1[[#This Row],[evaluacion_]]=1,"Habilitado","No Habilitado"))</f>
        <v>Habilitado</v>
      </c>
      <c r="R79" s="2" t="str">
        <f>IF(Tabla1[[#This Row],[fecha]]="","",TEXT(Tabla1[[#This Row],[fecha]],"DMMAAAA")&amp;TEXT(Tabla1[[#This Row],[hora]],"HHmm"))</f>
        <v>310120261755</v>
      </c>
      <c r="S79" s="19" t="str">
        <f>_xlfn.CONCAT(Tabla1[[#This Row],[codigo_]],Tabla1[[#This Row],[correlativo_]])</f>
        <v>310120261755798</v>
      </c>
      <c r="T79" s="2" t="str">
        <f t="shared" si="4"/>
        <v>31 de enero del 2026</v>
      </c>
      <c r="U79" s="2" t="str">
        <f>_xlfn.XLOOKUP(Tabla1[[#This Row],[instructor_2]],diccionario_!$A$1:$A$11,diccionario_!$D$1:$D$11,,0)</f>
        <v>Daniel Carvajal B.</v>
      </c>
      <c r="V79" s="2" t="str">
        <f t="shared" si="5"/>
        <v>100%</v>
      </c>
      <c r="W79" s="2" t="s">
        <v>3595</v>
      </c>
    </row>
    <row r="80" spans="1:23" ht="16.5" customHeight="1">
      <c r="A80" s="2">
        <v>799</v>
      </c>
      <c r="B80" s="24" t="s">
        <v>26</v>
      </c>
      <c r="C80" s="24" t="s">
        <v>27</v>
      </c>
      <c r="D80" s="24" t="s">
        <v>9</v>
      </c>
      <c r="E80" s="11">
        <v>46037</v>
      </c>
      <c r="F80" s="14">
        <v>0.69374999999999998</v>
      </c>
      <c r="G80" s="24" t="s">
        <v>3596</v>
      </c>
      <c r="H80" s="24" t="s">
        <v>3597</v>
      </c>
      <c r="I80" s="24" t="s">
        <v>11</v>
      </c>
      <c r="J80" s="24" t="s">
        <v>12</v>
      </c>
      <c r="K80" s="24" t="s">
        <v>13</v>
      </c>
      <c r="L80" s="24"/>
      <c r="M80" s="24"/>
      <c r="N80" s="27" t="s">
        <v>13</v>
      </c>
      <c r="O80" s="6">
        <v>1</v>
      </c>
      <c r="P80" s="2" t="s">
        <v>3503</v>
      </c>
      <c r="Q80" s="24" t="str">
        <f>IF(Tabla1[[#This Row],[evaluacion_]]="","",IF(Tabla1[[#This Row],[evaluacion_]]=1,"Habilitado","No Habilitado"))</f>
        <v>Habilitado</v>
      </c>
      <c r="R80" s="2" t="str">
        <f>IF(Tabla1[[#This Row],[fecha]]="","",TEXT(Tabla1[[#This Row],[fecha]],"DMMAAAA")&amp;TEXT(Tabla1[[#This Row],[hora]],"HHmm"))</f>
        <v>150120261639</v>
      </c>
      <c r="S80" s="19" t="str">
        <f>_xlfn.CONCAT(Tabla1[[#This Row],[codigo_]],Tabla1[[#This Row],[correlativo_]])</f>
        <v>150120261639799</v>
      </c>
      <c r="T80" s="2" t="str">
        <f t="shared" si="4"/>
        <v>15 de enero del 2026</v>
      </c>
      <c r="U80" s="2" t="str">
        <f>_xlfn.XLOOKUP(Tabla1[[#This Row],[instructor_2]],diccionario_!$A$1:$A$11,diccionario_!$D$1:$D$11,,0)</f>
        <v>Gilerto Urtubia C.</v>
      </c>
      <c r="V80" s="2" t="str">
        <f t="shared" si="5"/>
        <v>100%</v>
      </c>
      <c r="W80" s="2" t="s">
        <v>3598</v>
      </c>
    </row>
    <row r="81" spans="1:23" ht="16.5" customHeight="1">
      <c r="A81" s="2">
        <v>800</v>
      </c>
      <c r="B81" s="24"/>
      <c r="C81" s="24"/>
      <c r="D81" s="24"/>
      <c r="E81" s="11"/>
      <c r="F81" s="14"/>
      <c r="G81" s="24" t="s">
        <v>3596</v>
      </c>
      <c r="H81" s="24"/>
      <c r="I81" s="24"/>
      <c r="J81" s="24"/>
      <c r="K81" s="24"/>
      <c r="L81" s="24"/>
      <c r="M81" s="24"/>
      <c r="N81" s="27"/>
      <c r="O81" s="6" t="s">
        <v>3507</v>
      </c>
      <c r="P81" s="2" t="s">
        <v>3503</v>
      </c>
      <c r="Q81" s="24" t="str">
        <f>IF(Tabla1[[#This Row],[evaluacion_]]="","",IF(Tabla1[[#This Row],[evaluacion_]]=1,"Habilitado","No Habilitado"))</f>
        <v>No Habilitado</v>
      </c>
      <c r="R81" s="2" t="str">
        <f>IF(Tabla1[[#This Row],[fecha]]="","",TEXT(Tabla1[[#This Row],[fecha]],"DMMAAAA")&amp;TEXT(Tabla1[[#This Row],[hora]],"HHmm"))</f>
        <v/>
      </c>
      <c r="S81" s="19" t="str">
        <f>_xlfn.CONCAT(Tabla1[[#This Row],[codigo_]],Tabla1[[#This Row],[correlativo_]])</f>
        <v>800</v>
      </c>
      <c r="T81" s="2" t="str">
        <f t="shared" si="4"/>
        <v>0 de enero del 1900</v>
      </c>
      <c r="U81" s="2">
        <f>_xlfn.XLOOKUP(Tabla1[[#This Row],[instructor_2]],diccionario_!$A$1:$A$11,diccionario_!$D$1:$D$11,,0)</f>
        <v>0</v>
      </c>
      <c r="V81" s="2" t="str">
        <f t="shared" si="5"/>
        <v>información de calificación errónea</v>
      </c>
      <c r="W81" s="2" t="s">
        <v>3599</v>
      </c>
    </row>
    <row r="82" spans="1:23" ht="16.5" customHeight="1">
      <c r="A82" s="2">
        <v>801</v>
      </c>
      <c r="B82" s="24" t="s">
        <v>26</v>
      </c>
      <c r="C82" s="24" t="s">
        <v>27</v>
      </c>
      <c r="D82" s="24" t="s">
        <v>9</v>
      </c>
      <c r="E82" s="11">
        <v>46051</v>
      </c>
      <c r="F82" s="14">
        <v>0.72777777777777797</v>
      </c>
      <c r="G82" s="24" t="s">
        <v>3596</v>
      </c>
      <c r="H82" s="24" t="s">
        <v>3597</v>
      </c>
      <c r="I82" s="24" t="s">
        <v>11</v>
      </c>
      <c r="J82" s="24" t="s">
        <v>12</v>
      </c>
      <c r="K82" s="24" t="s">
        <v>13</v>
      </c>
      <c r="L82" s="24"/>
      <c r="M82" s="24"/>
      <c r="N82" s="27" t="s">
        <v>13</v>
      </c>
      <c r="O82" s="6">
        <v>1</v>
      </c>
      <c r="P82" s="2" t="s">
        <v>3503</v>
      </c>
      <c r="Q82" s="24" t="str">
        <f>IF(Tabla1[[#This Row],[evaluacion_]]="","",IF(Tabla1[[#This Row],[evaluacion_]]=1,"Habilitado","No Habilitado"))</f>
        <v>Habilitado</v>
      </c>
      <c r="R82" s="2" t="str">
        <f>IF(Tabla1[[#This Row],[fecha]]="","",TEXT(Tabla1[[#This Row],[fecha]],"DMMAAAA")&amp;TEXT(Tabla1[[#This Row],[hora]],"HHmm"))</f>
        <v>290120261728</v>
      </c>
      <c r="S82" s="19" t="str">
        <f>_xlfn.CONCAT(Tabla1[[#This Row],[codigo_]],Tabla1[[#This Row],[correlativo_]])</f>
        <v>290120261728801</v>
      </c>
      <c r="T82" s="2" t="str">
        <f t="shared" si="4"/>
        <v>29 de enero del 2026</v>
      </c>
      <c r="U82" s="2" t="str">
        <f>_xlfn.XLOOKUP(Tabla1[[#This Row],[instructor_2]],diccionario_!$A$1:$A$11,diccionario_!$D$1:$D$11,,0)</f>
        <v>Gilerto Urtubia C.</v>
      </c>
      <c r="V82" s="2" t="str">
        <f t="shared" si="5"/>
        <v>100%</v>
      </c>
      <c r="W82" s="2" t="s">
        <v>3599</v>
      </c>
    </row>
    <row r="83" spans="1:23" ht="16.5" customHeight="1">
      <c r="A83" s="2">
        <v>802</v>
      </c>
      <c r="B83" s="24" t="s">
        <v>7</v>
      </c>
      <c r="C83" s="24" t="s">
        <v>8</v>
      </c>
      <c r="D83" s="24" t="s">
        <v>9</v>
      </c>
      <c r="E83" s="11">
        <v>46064</v>
      </c>
      <c r="F83" s="14">
        <v>0.75</v>
      </c>
      <c r="G83" s="24" t="s">
        <v>178</v>
      </c>
      <c r="H83" s="24"/>
      <c r="I83" s="24"/>
      <c r="J83" s="24"/>
      <c r="K83" s="24"/>
      <c r="L83" s="24"/>
      <c r="M83" s="24"/>
      <c r="N83" s="27"/>
      <c r="O83" s="6" t="s">
        <v>3507</v>
      </c>
      <c r="P83" s="2" t="s">
        <v>3503</v>
      </c>
      <c r="Q83" s="24" t="str">
        <f>IF(Tabla1[[#This Row],[evaluacion_]]="","",IF(Tabla1[[#This Row],[evaluacion_]]=1,"Habilitado","No Habilitado"))</f>
        <v>No Habilitado</v>
      </c>
      <c r="R83" s="2" t="str">
        <f>IF(Tabla1[[#This Row],[fecha]]="","",TEXT(Tabla1[[#This Row],[fecha]],"DMMAAAA")&amp;TEXT(Tabla1[[#This Row],[hora]],"HHmm"))</f>
        <v>110220261800</v>
      </c>
      <c r="S83" s="19" t="str">
        <f>_xlfn.CONCAT(Tabla1[[#This Row],[codigo_]],Tabla1[[#This Row],[correlativo_]])</f>
        <v>110220261800802</v>
      </c>
      <c r="T83" s="2" t="str">
        <f t="shared" si="4"/>
        <v>11 de febrero del 2026</v>
      </c>
      <c r="U83" s="2" t="str">
        <f>_xlfn.XLOOKUP(Tabla1[[#This Row],[instructor_2]],diccionario_!$A$1:$A$11,diccionario_!$D$1:$D$11,,0)</f>
        <v>Marcelo Barrera A.</v>
      </c>
      <c r="V83" s="2" t="str">
        <f t="shared" si="5"/>
        <v>información de calificación errónea</v>
      </c>
      <c r="W83" s="2" t="s">
        <v>3600</v>
      </c>
    </row>
    <row r="84" spans="1:23" ht="16.5" customHeight="1">
      <c r="A84" s="2">
        <v>803</v>
      </c>
      <c r="B84" s="24" t="s">
        <v>14</v>
      </c>
      <c r="C84" s="24" t="s">
        <v>15</v>
      </c>
      <c r="D84" s="24"/>
      <c r="E84" s="11">
        <v>46059</v>
      </c>
      <c r="F84" s="14">
        <v>0.74305555555555602</v>
      </c>
      <c r="G84" s="24" t="s">
        <v>208</v>
      </c>
      <c r="H84" s="24"/>
      <c r="I84" s="24"/>
      <c r="J84" s="24"/>
      <c r="K84" s="24"/>
      <c r="L84" s="24"/>
      <c r="M84" s="24"/>
      <c r="N84" s="27"/>
      <c r="O84" s="6" t="s">
        <v>3507</v>
      </c>
      <c r="P84" s="2" t="s">
        <v>3503</v>
      </c>
      <c r="Q84" s="24" t="str">
        <f>IF(Tabla1[[#This Row],[evaluacion_]]="","",IF(Tabla1[[#This Row],[evaluacion_]]=1,"Habilitado","No Habilitado"))</f>
        <v>No Habilitado</v>
      </c>
      <c r="R84" s="2" t="str">
        <f>IF(Tabla1[[#This Row],[fecha]]="","",TEXT(Tabla1[[#This Row],[fecha]],"DMMAAAA")&amp;TEXT(Tabla1[[#This Row],[hora]],"HHmm"))</f>
        <v>60220261750</v>
      </c>
      <c r="S84" s="19" t="str">
        <f>_xlfn.CONCAT(Tabla1[[#This Row],[codigo_]],Tabla1[[#This Row],[correlativo_]])</f>
        <v>60220261750803</v>
      </c>
      <c r="T84" s="2" t="str">
        <f t="shared" si="4"/>
        <v>6 de febrero del 2026</v>
      </c>
      <c r="U84" s="2" t="str">
        <f>_xlfn.XLOOKUP(Tabla1[[#This Row],[instructor_2]],diccionario_!$A$1:$A$11,diccionario_!$D$1:$D$11,,0)</f>
        <v>Daniel Carvajal B.</v>
      </c>
      <c r="V84" s="2" t="str">
        <f t="shared" si="5"/>
        <v>información de calificación errónea</v>
      </c>
      <c r="W84" s="2" t="s">
        <v>3600</v>
      </c>
    </row>
    <row r="85" spans="1:23" ht="16.5" customHeight="1">
      <c r="A85" s="2">
        <v>804</v>
      </c>
      <c r="B85" s="24"/>
      <c r="C85" s="24"/>
      <c r="D85" s="24"/>
      <c r="E85" s="11"/>
      <c r="F85" s="14"/>
      <c r="G85" s="24"/>
      <c r="H85" s="24"/>
      <c r="I85" s="24"/>
      <c r="J85" s="24"/>
      <c r="K85" s="24"/>
      <c r="L85" s="24"/>
      <c r="M85" s="24"/>
      <c r="N85" s="27"/>
      <c r="O85" s="6">
        <v>1</v>
      </c>
      <c r="P85" s="2" t="s">
        <v>3503</v>
      </c>
      <c r="Q85" s="24" t="str">
        <f>IF(Tabla1[[#This Row],[evaluacion_]]="","",IF(Tabla1[[#This Row],[evaluacion_]]=1,"Habilitado","No Habilitado"))</f>
        <v>Habilitado</v>
      </c>
      <c r="R85" s="2" t="str">
        <f>IF(Tabla1[[#This Row],[fecha]]="","",TEXT(Tabla1[[#This Row],[fecha]],"DMMAAAA")&amp;TEXT(Tabla1[[#This Row],[hora]],"HHmm"))</f>
        <v/>
      </c>
      <c r="S85" s="19" t="str">
        <f>_xlfn.CONCAT(Tabla1[[#This Row],[codigo_]],Tabla1[[#This Row],[correlativo_]])</f>
        <v>804</v>
      </c>
      <c r="T85" s="2" t="str">
        <f t="shared" si="4"/>
        <v>0 de enero del 1900</v>
      </c>
      <c r="U85" s="2">
        <f>_xlfn.XLOOKUP(Tabla1[[#This Row],[instructor_2]],diccionario_!$A$1:$A$11,diccionario_!$D$1:$D$11,,0)</f>
        <v>0</v>
      </c>
      <c r="V85" s="2" t="str">
        <f t="shared" si="5"/>
        <v>100%</v>
      </c>
      <c r="W85" s="2" t="s">
        <v>3600</v>
      </c>
    </row>
    <row r="86" spans="1:23" ht="16.5" customHeight="1">
      <c r="A86" s="2">
        <v>805</v>
      </c>
      <c r="B86" s="24" t="s">
        <v>7</v>
      </c>
      <c r="C86" s="24" t="s">
        <v>8</v>
      </c>
      <c r="D86" s="24" t="s">
        <v>9</v>
      </c>
      <c r="E86" s="11">
        <v>46064</v>
      </c>
      <c r="F86" s="14">
        <v>0.75</v>
      </c>
      <c r="G86" s="24" t="s">
        <v>178</v>
      </c>
      <c r="H86" s="24" t="s">
        <v>3601</v>
      </c>
      <c r="I86" s="24" t="s">
        <v>11</v>
      </c>
      <c r="J86" s="24" t="s">
        <v>12</v>
      </c>
      <c r="K86" s="24" t="s">
        <v>13</v>
      </c>
      <c r="L86" s="24"/>
      <c r="M86" s="24"/>
      <c r="N86" s="27" t="s">
        <v>13</v>
      </c>
      <c r="O86" s="6">
        <v>1</v>
      </c>
      <c r="P86" s="2" t="s">
        <v>3503</v>
      </c>
      <c r="Q86" s="24" t="str">
        <f>IF(Tabla1[[#This Row],[evaluacion_]]="","",IF(Tabla1[[#This Row],[evaluacion_]]=1,"Habilitado","No Habilitado"))</f>
        <v>Habilitado</v>
      </c>
      <c r="R86" s="2" t="str">
        <f>IF(Tabla1[[#This Row],[fecha]]="","",TEXT(Tabla1[[#This Row],[fecha]],"DMMAAAA")&amp;TEXT(Tabla1[[#This Row],[hora]],"HHmm"))</f>
        <v>110220261800</v>
      </c>
      <c r="S86" s="19" t="str">
        <f>_xlfn.CONCAT(Tabla1[[#This Row],[codigo_]],Tabla1[[#This Row],[correlativo_]])</f>
        <v>110220261800805</v>
      </c>
      <c r="T86" s="2" t="str">
        <f t="shared" si="4"/>
        <v>11 de febrero del 2026</v>
      </c>
      <c r="U86" s="2" t="str">
        <f>_xlfn.XLOOKUP(Tabla1[[#This Row],[instructor_2]],diccionario_!$A$1:$A$11,diccionario_!$D$1:$D$11,,0)</f>
        <v>Marcelo Barrera A.</v>
      </c>
      <c r="V86" s="2" t="str">
        <f t="shared" si="5"/>
        <v>100%</v>
      </c>
      <c r="W86" s="2" t="s">
        <v>3602</v>
      </c>
    </row>
    <row r="87" spans="1:23" ht="16.5" customHeight="1">
      <c r="A87" s="2">
        <v>806</v>
      </c>
      <c r="B87" s="24" t="s">
        <v>7</v>
      </c>
      <c r="C87" s="24" t="s">
        <v>8</v>
      </c>
      <c r="D87" s="24" t="s">
        <v>9</v>
      </c>
      <c r="E87" s="11">
        <v>46069</v>
      </c>
      <c r="F87" s="14">
        <v>0.75</v>
      </c>
      <c r="G87" s="24" t="s">
        <v>178</v>
      </c>
      <c r="H87" s="24" t="s">
        <v>3603</v>
      </c>
      <c r="I87" s="24" t="s">
        <v>23</v>
      </c>
      <c r="J87" s="24" t="s">
        <v>12</v>
      </c>
      <c r="K87" s="24" t="s">
        <v>41</v>
      </c>
      <c r="L87" s="24"/>
      <c r="M87" s="24"/>
      <c r="N87" s="27" t="s">
        <v>41</v>
      </c>
      <c r="O87" s="6">
        <v>1</v>
      </c>
      <c r="P87" s="2" t="s">
        <v>3503</v>
      </c>
      <c r="Q87" s="24" t="str">
        <f>IF(Tabla1[[#This Row],[evaluacion_]]="","",IF(Tabla1[[#This Row],[evaluacion_]]=1,"Habilitado","No Habilitado"))</f>
        <v>Habilitado</v>
      </c>
      <c r="R87" s="2" t="str">
        <f>IF(Tabla1[[#This Row],[fecha]]="","",TEXT(Tabla1[[#This Row],[fecha]],"DMMAAAA")&amp;TEXT(Tabla1[[#This Row],[hora]],"HHmm"))</f>
        <v>160220261800</v>
      </c>
      <c r="S87" s="19" t="str">
        <f>_xlfn.CONCAT(Tabla1[[#This Row],[codigo_]],Tabla1[[#This Row],[correlativo_]])</f>
        <v>160220261800806</v>
      </c>
      <c r="T87" s="2" t="str">
        <f t="shared" si="4"/>
        <v>16 de febrero del 2026</v>
      </c>
      <c r="U87" s="2" t="str">
        <f>_xlfn.XLOOKUP(Tabla1[[#This Row],[instructor_2]],diccionario_!$A$1:$A$11,diccionario_!$D$1:$D$11,,0)</f>
        <v>Marcelo Barrera A.</v>
      </c>
      <c r="V87" s="2" t="str">
        <f t="shared" si="5"/>
        <v>100%</v>
      </c>
      <c r="W87" s="2" t="s">
        <v>3602</v>
      </c>
    </row>
    <row r="88" spans="1:23" ht="16.5" customHeight="1">
      <c r="A88" s="2">
        <v>807</v>
      </c>
      <c r="B88" s="24" t="s">
        <v>32</v>
      </c>
      <c r="C88" s="24" t="s">
        <v>33</v>
      </c>
      <c r="D88" s="24" t="s">
        <v>9</v>
      </c>
      <c r="E88" s="11">
        <v>46071</v>
      </c>
      <c r="F88" s="14">
        <v>0.625</v>
      </c>
      <c r="G88" s="24" t="s">
        <v>344</v>
      </c>
      <c r="H88" s="24" t="s">
        <v>345</v>
      </c>
      <c r="I88" s="24" t="s">
        <v>23</v>
      </c>
      <c r="J88" s="24" t="s">
        <v>12</v>
      </c>
      <c r="K88" s="24" t="s">
        <v>43</v>
      </c>
      <c r="L88" s="24"/>
      <c r="M88" s="24"/>
      <c r="N88" s="27" t="s">
        <v>43</v>
      </c>
      <c r="O88" s="6">
        <v>1</v>
      </c>
      <c r="P88" s="2" t="s">
        <v>3503</v>
      </c>
      <c r="Q88" s="24" t="str">
        <f>IF(Tabla1[[#This Row],[evaluacion_]]="","",IF(Tabla1[[#This Row],[evaluacion_]]=1,"Habilitado","No Habilitado"))</f>
        <v>Habilitado</v>
      </c>
      <c r="R88" s="2" t="str">
        <f>IF(Tabla1[[#This Row],[fecha]]="","",TEXT(Tabla1[[#This Row],[fecha]],"DMMAAAA")&amp;TEXT(Tabla1[[#This Row],[hora]],"HHmm"))</f>
        <v>180220261500</v>
      </c>
      <c r="S88" s="19" t="str">
        <f>_xlfn.CONCAT(Tabla1[[#This Row],[codigo_]],Tabla1[[#This Row],[correlativo_]])</f>
        <v>180220261500807</v>
      </c>
      <c r="T88" s="2" t="str">
        <f t="shared" si="4"/>
        <v>18 de febrero del 2026</v>
      </c>
      <c r="U88" s="2" t="str">
        <f>_xlfn.XLOOKUP(Tabla1[[#This Row],[instructor_2]],diccionario_!$A$1:$A$11,diccionario_!$D$1:$D$11,,0)</f>
        <v>Guillermo Milla M.</v>
      </c>
      <c r="V88" s="2" t="str">
        <f t="shared" si="5"/>
        <v>100%</v>
      </c>
      <c r="W88" s="2" t="s">
        <v>3604</v>
      </c>
    </row>
    <row r="89" spans="1:23" ht="16.5" customHeight="1">
      <c r="A89" s="2">
        <v>808</v>
      </c>
      <c r="B89" s="24" t="s">
        <v>32</v>
      </c>
      <c r="C89" s="24" t="s">
        <v>33</v>
      </c>
      <c r="D89" s="24" t="s">
        <v>9</v>
      </c>
      <c r="E89" s="11">
        <v>46071</v>
      </c>
      <c r="F89" s="14">
        <v>0.625</v>
      </c>
      <c r="G89" s="24" t="s">
        <v>1185</v>
      </c>
      <c r="H89" s="24" t="s">
        <v>1186</v>
      </c>
      <c r="I89" s="24" t="s">
        <v>23</v>
      </c>
      <c r="J89" s="24" t="s">
        <v>12</v>
      </c>
      <c r="K89" s="24" t="s">
        <v>43</v>
      </c>
      <c r="L89" s="24"/>
      <c r="M89" s="24"/>
      <c r="N89" s="27" t="s">
        <v>43</v>
      </c>
      <c r="O89" s="6">
        <v>1</v>
      </c>
      <c r="P89" s="2" t="s">
        <v>3503</v>
      </c>
      <c r="Q89" s="24" t="str">
        <f>IF(Tabla1[[#This Row],[evaluacion_]]="","",IF(Tabla1[[#This Row],[evaluacion_]]=1,"Habilitado","No Habilitado"))</f>
        <v>Habilitado</v>
      </c>
      <c r="R89" s="2" t="str">
        <f>IF(Tabla1[[#This Row],[fecha]]="","",TEXT(Tabla1[[#This Row],[fecha]],"DMMAAAA")&amp;TEXT(Tabla1[[#This Row],[hora]],"HHmm"))</f>
        <v>180220261500</v>
      </c>
      <c r="S89" s="19" t="str">
        <f>_xlfn.CONCAT(Tabla1[[#This Row],[codigo_]],Tabla1[[#This Row],[correlativo_]])</f>
        <v>180220261500808</v>
      </c>
      <c r="T89" s="2" t="str">
        <f t="shared" si="4"/>
        <v>18 de febrero del 2026</v>
      </c>
      <c r="U89" s="2" t="str">
        <f>_xlfn.XLOOKUP(Tabla1[[#This Row],[instructor_2]],diccionario_!$A$1:$A$11,diccionario_!$D$1:$D$11,,0)</f>
        <v>Guillermo Milla M.</v>
      </c>
      <c r="V89" s="2" t="str">
        <f t="shared" si="5"/>
        <v>100%</v>
      </c>
      <c r="W89" s="2" t="s">
        <v>3604</v>
      </c>
    </row>
    <row r="90" spans="1:23" ht="16.5" customHeight="1">
      <c r="A90" s="2">
        <v>809</v>
      </c>
      <c r="B90" s="24" t="s">
        <v>32</v>
      </c>
      <c r="C90" s="24" t="s">
        <v>33</v>
      </c>
      <c r="D90" s="24" t="s">
        <v>9</v>
      </c>
      <c r="E90" s="11">
        <v>46071</v>
      </c>
      <c r="F90" s="14">
        <v>0.625</v>
      </c>
      <c r="G90" s="24" t="s">
        <v>1501</v>
      </c>
      <c r="H90" s="24" t="s">
        <v>1502</v>
      </c>
      <c r="I90" s="24" t="s">
        <v>23</v>
      </c>
      <c r="J90" s="24" t="s">
        <v>12</v>
      </c>
      <c r="K90" s="24" t="s">
        <v>43</v>
      </c>
      <c r="L90" s="24"/>
      <c r="M90" s="24"/>
      <c r="N90" s="27" t="s">
        <v>43</v>
      </c>
      <c r="O90" s="6">
        <v>1</v>
      </c>
      <c r="P90" s="2" t="s">
        <v>3503</v>
      </c>
      <c r="Q90" s="24" t="str">
        <f>IF(Tabla1[[#This Row],[evaluacion_]]="","",IF(Tabla1[[#This Row],[evaluacion_]]=1,"Habilitado","No Habilitado"))</f>
        <v>Habilitado</v>
      </c>
      <c r="R90" s="2" t="str">
        <f>IF(Tabla1[[#This Row],[fecha]]="","",TEXT(Tabla1[[#This Row],[fecha]],"DMMAAAA")&amp;TEXT(Tabla1[[#This Row],[hora]],"HHmm"))</f>
        <v>180220261500</v>
      </c>
      <c r="S90" s="19" t="str">
        <f>_xlfn.CONCAT(Tabla1[[#This Row],[codigo_]],Tabla1[[#This Row],[correlativo_]])</f>
        <v>180220261500809</v>
      </c>
      <c r="T90" s="2" t="str">
        <f t="shared" si="4"/>
        <v>18 de febrero del 2026</v>
      </c>
      <c r="U90" s="2" t="str">
        <f>_xlfn.XLOOKUP(Tabla1[[#This Row],[instructor_2]],diccionario_!$A$1:$A$11,diccionario_!$D$1:$D$11,,0)</f>
        <v>Guillermo Milla M.</v>
      </c>
      <c r="V90" s="2" t="str">
        <f t="shared" si="5"/>
        <v>100%</v>
      </c>
      <c r="W90" s="2" t="s">
        <v>3604</v>
      </c>
    </row>
    <row r="91" spans="1:23" ht="16.5" customHeight="1">
      <c r="A91" s="2">
        <v>810</v>
      </c>
      <c r="B91" s="24" t="s">
        <v>32</v>
      </c>
      <c r="C91" s="24" t="s">
        <v>33</v>
      </c>
      <c r="D91" s="24" t="s">
        <v>9</v>
      </c>
      <c r="E91" s="11">
        <v>46071</v>
      </c>
      <c r="F91" s="14">
        <v>0.625</v>
      </c>
      <c r="G91" s="24" t="s">
        <v>697</v>
      </c>
      <c r="H91" s="24" t="s">
        <v>698</v>
      </c>
      <c r="I91" s="24" t="s">
        <v>23</v>
      </c>
      <c r="J91" s="24" t="s">
        <v>12</v>
      </c>
      <c r="K91" s="24" t="s">
        <v>43</v>
      </c>
      <c r="L91" s="24"/>
      <c r="M91" s="24"/>
      <c r="N91" s="27" t="s">
        <v>43</v>
      </c>
      <c r="O91" s="6">
        <v>1</v>
      </c>
      <c r="P91" s="2" t="s">
        <v>3503</v>
      </c>
      <c r="Q91" s="24" t="str">
        <f>IF(Tabla1[[#This Row],[evaluacion_]]="","",IF(Tabla1[[#This Row],[evaluacion_]]=1,"Habilitado","No Habilitado"))</f>
        <v>Habilitado</v>
      </c>
      <c r="R91" s="2" t="str">
        <f>IF(Tabla1[[#This Row],[fecha]]="","",TEXT(Tabla1[[#This Row],[fecha]],"DMMAAAA")&amp;TEXT(Tabla1[[#This Row],[hora]],"HHmm"))</f>
        <v>180220261500</v>
      </c>
      <c r="S91" s="19" t="str">
        <f>_xlfn.CONCAT(Tabla1[[#This Row],[codigo_]],Tabla1[[#This Row],[correlativo_]])</f>
        <v>180220261500810</v>
      </c>
      <c r="T91" s="2" t="str">
        <f t="shared" ref="T91:T112" si="6">DAY(E91) &amp; " de " &amp; TEXT(E91, "mmmm") &amp; " del " &amp; YEAR(E91)</f>
        <v>18 de febrero del 2026</v>
      </c>
      <c r="U91" s="2" t="str">
        <f>_xlfn.XLOOKUP(Tabla1[[#This Row],[instructor_2]],diccionario_!$A$1:$A$11,diccionario_!$D$1:$D$11,,0)</f>
        <v>Guillermo Milla M.</v>
      </c>
      <c r="V91" s="2" t="str">
        <f t="shared" si="5"/>
        <v>100%</v>
      </c>
      <c r="W91" s="2" t="s">
        <v>3604</v>
      </c>
    </row>
    <row r="92" spans="1:23" ht="16.5" customHeight="1">
      <c r="A92" s="2">
        <v>811</v>
      </c>
      <c r="B92" s="24" t="s">
        <v>32</v>
      </c>
      <c r="C92" s="24" t="s">
        <v>33</v>
      </c>
      <c r="D92" s="24" t="s">
        <v>9</v>
      </c>
      <c r="E92" s="11">
        <v>46071</v>
      </c>
      <c r="F92" s="14">
        <v>0.625</v>
      </c>
      <c r="G92" s="24" t="s">
        <v>155</v>
      </c>
      <c r="H92" s="24" t="s">
        <v>156</v>
      </c>
      <c r="I92" s="24" t="s">
        <v>23</v>
      </c>
      <c r="J92" s="24" t="s">
        <v>12</v>
      </c>
      <c r="K92" s="24" t="s">
        <v>43</v>
      </c>
      <c r="L92" s="24"/>
      <c r="M92" s="24"/>
      <c r="N92" s="27" t="s">
        <v>43</v>
      </c>
      <c r="O92" s="6">
        <v>1</v>
      </c>
      <c r="P92" s="2" t="s">
        <v>3503</v>
      </c>
      <c r="Q92" s="24" t="str">
        <f>IF(Tabla1[[#This Row],[evaluacion_]]="","",IF(Tabla1[[#This Row],[evaluacion_]]=1,"Habilitado","No Habilitado"))</f>
        <v>Habilitado</v>
      </c>
      <c r="R92" s="2" t="str">
        <f>IF(Tabla1[[#This Row],[fecha]]="","",TEXT(Tabla1[[#This Row],[fecha]],"DMMAAAA")&amp;TEXT(Tabla1[[#This Row],[hora]],"HHmm"))</f>
        <v>180220261500</v>
      </c>
      <c r="S92" s="19" t="str">
        <f>_xlfn.CONCAT(Tabla1[[#This Row],[codigo_]],Tabla1[[#This Row],[correlativo_]])</f>
        <v>180220261500811</v>
      </c>
      <c r="T92" s="2" t="str">
        <f t="shared" si="6"/>
        <v>18 de febrero del 2026</v>
      </c>
      <c r="U92" s="2" t="str">
        <f>_xlfn.XLOOKUP(Tabla1[[#This Row],[instructor_2]],diccionario_!$A$1:$A$11,diccionario_!$D$1:$D$11,,0)</f>
        <v>Guillermo Milla M.</v>
      </c>
      <c r="V92" s="2" t="str">
        <f t="shared" si="5"/>
        <v>100%</v>
      </c>
      <c r="W92" s="2" t="s">
        <v>3604</v>
      </c>
    </row>
    <row r="93" spans="1:23" ht="16.5" customHeight="1">
      <c r="A93" s="2">
        <v>812</v>
      </c>
      <c r="B93" s="24" t="s">
        <v>32</v>
      </c>
      <c r="C93" s="24" t="s">
        <v>33</v>
      </c>
      <c r="D93" s="24" t="s">
        <v>9</v>
      </c>
      <c r="E93" s="11">
        <v>46071</v>
      </c>
      <c r="F93" s="14">
        <v>0.625</v>
      </c>
      <c r="G93" s="24" t="s">
        <v>423</v>
      </c>
      <c r="H93" s="24" t="s">
        <v>424</v>
      </c>
      <c r="I93" s="24" t="s">
        <v>23</v>
      </c>
      <c r="J93" s="24" t="s">
        <v>12</v>
      </c>
      <c r="K93" s="24" t="s">
        <v>43</v>
      </c>
      <c r="L93" s="24"/>
      <c r="M93" s="24"/>
      <c r="N93" s="27" t="s">
        <v>43</v>
      </c>
      <c r="O93" s="6">
        <v>1</v>
      </c>
      <c r="P93" s="2" t="s">
        <v>3503</v>
      </c>
      <c r="Q93" s="24" t="str">
        <f>IF(Tabla1[[#This Row],[evaluacion_]]="","",IF(Tabla1[[#This Row],[evaluacion_]]=1,"Habilitado","No Habilitado"))</f>
        <v>Habilitado</v>
      </c>
      <c r="R93" s="2" t="str">
        <f>IF(Tabla1[[#This Row],[fecha]]="","",TEXT(Tabla1[[#This Row],[fecha]],"DMMAAAA")&amp;TEXT(Tabla1[[#This Row],[hora]],"HHmm"))</f>
        <v>180220261500</v>
      </c>
      <c r="S93" s="19" t="str">
        <f>_xlfn.CONCAT(Tabla1[[#This Row],[codigo_]],Tabla1[[#This Row],[correlativo_]])</f>
        <v>180220261500812</v>
      </c>
      <c r="T93" s="2" t="str">
        <f t="shared" si="6"/>
        <v>18 de febrero del 2026</v>
      </c>
      <c r="U93" s="2" t="str">
        <f>_xlfn.XLOOKUP(Tabla1[[#This Row],[instructor_2]],diccionario_!$A$1:$A$11,diccionario_!$D$1:$D$11,,0)</f>
        <v>Guillermo Milla M.</v>
      </c>
      <c r="V93" s="2" t="str">
        <f t="shared" si="5"/>
        <v>100%</v>
      </c>
      <c r="W93" s="2" t="s">
        <v>3604</v>
      </c>
    </row>
    <row r="94" spans="1:23" ht="16.5" customHeight="1">
      <c r="A94" s="2">
        <v>813</v>
      </c>
      <c r="B94" s="24" t="s">
        <v>32</v>
      </c>
      <c r="C94" s="24" t="s">
        <v>33</v>
      </c>
      <c r="D94" s="24" t="s">
        <v>9</v>
      </c>
      <c r="E94" s="11">
        <v>46071</v>
      </c>
      <c r="F94" s="14">
        <v>0.625</v>
      </c>
      <c r="G94" s="24" t="s">
        <v>1070</v>
      </c>
      <c r="H94" s="24" t="s">
        <v>1071</v>
      </c>
      <c r="I94" s="24" t="s">
        <v>23</v>
      </c>
      <c r="J94" s="24" t="s">
        <v>12</v>
      </c>
      <c r="K94" s="24" t="s">
        <v>43</v>
      </c>
      <c r="L94" s="24"/>
      <c r="M94" s="24"/>
      <c r="N94" s="27" t="s">
        <v>43</v>
      </c>
      <c r="O94" s="6">
        <v>1</v>
      </c>
      <c r="P94" s="2" t="s">
        <v>3503</v>
      </c>
      <c r="Q94" s="24" t="str">
        <f>IF(Tabla1[[#This Row],[evaluacion_]]="","",IF(Tabla1[[#This Row],[evaluacion_]]=1,"Habilitado","No Habilitado"))</f>
        <v>Habilitado</v>
      </c>
      <c r="R94" s="2" t="str">
        <f>IF(Tabla1[[#This Row],[fecha]]="","",TEXT(Tabla1[[#This Row],[fecha]],"DMMAAAA")&amp;TEXT(Tabla1[[#This Row],[hora]],"HHmm"))</f>
        <v>180220261500</v>
      </c>
      <c r="S94" s="19" t="str">
        <f>_xlfn.CONCAT(Tabla1[[#This Row],[codigo_]],Tabla1[[#This Row],[correlativo_]])</f>
        <v>180220261500813</v>
      </c>
      <c r="T94" s="2" t="str">
        <f t="shared" si="6"/>
        <v>18 de febrero del 2026</v>
      </c>
      <c r="U94" s="2" t="str">
        <f>_xlfn.XLOOKUP(Tabla1[[#This Row],[instructor_2]],diccionario_!$A$1:$A$11,diccionario_!$D$1:$D$11,,0)</f>
        <v>Guillermo Milla M.</v>
      </c>
      <c r="V94" s="2" t="str">
        <f t="shared" si="5"/>
        <v>100%</v>
      </c>
      <c r="W94" s="2" t="s">
        <v>3604</v>
      </c>
    </row>
    <row r="95" spans="1:23" ht="16.5" customHeight="1">
      <c r="A95" s="2">
        <v>814</v>
      </c>
      <c r="B95" s="24" t="s">
        <v>32</v>
      </c>
      <c r="C95" s="24" t="s">
        <v>33</v>
      </c>
      <c r="D95" s="24" t="s">
        <v>9</v>
      </c>
      <c r="E95" s="11">
        <v>46071</v>
      </c>
      <c r="F95" s="14">
        <v>0.625</v>
      </c>
      <c r="G95" s="24" t="s">
        <v>3005</v>
      </c>
      <c r="H95" s="24" t="s">
        <v>3006</v>
      </c>
      <c r="I95" s="24" t="s">
        <v>23</v>
      </c>
      <c r="J95" s="24" t="s">
        <v>12</v>
      </c>
      <c r="K95" s="24" t="s">
        <v>43</v>
      </c>
      <c r="L95" s="24"/>
      <c r="M95" s="24"/>
      <c r="N95" s="27" t="s">
        <v>43</v>
      </c>
      <c r="O95" s="6">
        <v>1</v>
      </c>
      <c r="P95" s="2" t="s">
        <v>3503</v>
      </c>
      <c r="Q95" s="24" t="str">
        <f>IF(Tabla1[[#This Row],[evaluacion_]]="","",IF(Tabla1[[#This Row],[evaluacion_]]=1,"Habilitado","No Habilitado"))</f>
        <v>Habilitado</v>
      </c>
      <c r="R95" s="2" t="str">
        <f>IF(Tabla1[[#This Row],[fecha]]="","",TEXT(Tabla1[[#This Row],[fecha]],"DMMAAAA")&amp;TEXT(Tabla1[[#This Row],[hora]],"HHmm"))</f>
        <v>180220261500</v>
      </c>
      <c r="S95" s="19" t="str">
        <f>_xlfn.CONCAT(Tabla1[[#This Row],[codigo_]],Tabla1[[#This Row],[correlativo_]])</f>
        <v>180220261500814</v>
      </c>
      <c r="T95" s="2" t="str">
        <f t="shared" si="6"/>
        <v>18 de febrero del 2026</v>
      </c>
      <c r="U95" s="2" t="str">
        <f>_xlfn.XLOOKUP(Tabla1[[#This Row],[instructor_2]],diccionario_!$A$1:$A$11,diccionario_!$D$1:$D$11,,0)</f>
        <v>Guillermo Milla M.</v>
      </c>
      <c r="V95" s="2" t="str">
        <f t="shared" si="5"/>
        <v>100%</v>
      </c>
      <c r="W95" s="2" t="s">
        <v>3604</v>
      </c>
    </row>
    <row r="96" spans="1:23" ht="16.5" customHeight="1">
      <c r="A96" s="2">
        <v>815</v>
      </c>
      <c r="B96" s="24" t="s">
        <v>7</v>
      </c>
      <c r="C96" s="24" t="s">
        <v>8</v>
      </c>
      <c r="D96" s="24" t="s">
        <v>9</v>
      </c>
      <c r="E96" s="11">
        <v>46072</v>
      </c>
      <c r="F96" s="14">
        <v>0.5</v>
      </c>
      <c r="G96" s="24" t="s">
        <v>423</v>
      </c>
      <c r="H96" s="24" t="s">
        <v>424</v>
      </c>
      <c r="I96" s="24" t="s">
        <v>11</v>
      </c>
      <c r="J96" s="24" t="s">
        <v>36</v>
      </c>
      <c r="K96" s="24" t="s">
        <v>25</v>
      </c>
      <c r="L96" s="24"/>
      <c r="M96" s="24"/>
      <c r="N96" s="27" t="s">
        <v>25</v>
      </c>
      <c r="O96" s="6">
        <v>1</v>
      </c>
      <c r="P96" s="2" t="s">
        <v>3503</v>
      </c>
      <c r="Q96" s="24" t="str">
        <f>IF(Tabla1[[#This Row],[evaluacion_]]="","",IF(Tabla1[[#This Row],[evaluacion_]]=1,"Habilitado","No Habilitado"))</f>
        <v>Habilitado</v>
      </c>
      <c r="R96" s="2" t="str">
        <f>IF(Tabla1[[#This Row],[fecha]]="","",TEXT(Tabla1[[#This Row],[fecha]],"DMMAAAA")&amp;TEXT(Tabla1[[#This Row],[hora]],"HHmm"))</f>
        <v>190220261200</v>
      </c>
      <c r="S96" s="19" t="str">
        <f>_xlfn.CONCAT(Tabla1[[#This Row],[codigo_]],Tabla1[[#This Row],[correlativo_]])</f>
        <v>190220261200815</v>
      </c>
      <c r="T96" s="2" t="str">
        <f t="shared" si="6"/>
        <v>19 de febrero del 2026</v>
      </c>
      <c r="U96" s="2" t="str">
        <f>_xlfn.XLOOKUP(Tabla1[[#This Row],[instructor_2]],diccionario_!$A$1:$A$11,diccionario_!$D$1:$D$11,,0)</f>
        <v>Marcelo Barrera A.</v>
      </c>
      <c r="V96" s="2" t="str">
        <f t="shared" si="5"/>
        <v>100%</v>
      </c>
      <c r="W96" s="2" t="s">
        <v>3605</v>
      </c>
    </row>
    <row r="97" spans="1:23" ht="16.5" customHeight="1">
      <c r="A97" s="2">
        <v>816</v>
      </c>
      <c r="B97" s="24" t="s">
        <v>7</v>
      </c>
      <c r="C97" s="24" t="s">
        <v>8</v>
      </c>
      <c r="D97" s="24" t="s">
        <v>9</v>
      </c>
      <c r="E97" s="11">
        <v>46072</v>
      </c>
      <c r="F97" s="14">
        <v>0.58333333333333304</v>
      </c>
      <c r="G97" s="24" t="s">
        <v>1185</v>
      </c>
      <c r="H97" s="24" t="s">
        <v>1186</v>
      </c>
      <c r="I97" s="24" t="s">
        <v>11</v>
      </c>
      <c r="J97" s="24" t="s">
        <v>36</v>
      </c>
      <c r="K97" s="24" t="s">
        <v>3606</v>
      </c>
      <c r="L97" s="24"/>
      <c r="M97" s="24"/>
      <c r="N97" s="27" t="s">
        <v>3606</v>
      </c>
      <c r="O97" s="6">
        <v>1</v>
      </c>
      <c r="P97" s="2" t="s">
        <v>3503</v>
      </c>
      <c r="Q97" s="24" t="str">
        <f>IF(Tabla1[[#This Row],[evaluacion_]]="","",IF(Tabla1[[#This Row],[evaluacion_]]=1,"Habilitado","No Habilitado"))</f>
        <v>Habilitado</v>
      </c>
      <c r="R97" s="2" t="str">
        <f>IF(Tabla1[[#This Row],[fecha]]="","",TEXT(Tabla1[[#This Row],[fecha]],"DMMAAAA")&amp;TEXT(Tabla1[[#This Row],[hora]],"HHmm"))</f>
        <v>190220261400</v>
      </c>
      <c r="S97" s="19" t="str">
        <f>_xlfn.CONCAT(Tabla1[[#This Row],[codigo_]],Tabla1[[#This Row],[correlativo_]])</f>
        <v>190220261400816</v>
      </c>
      <c r="T97" s="2" t="str">
        <f t="shared" si="6"/>
        <v>19 de febrero del 2026</v>
      </c>
      <c r="U97" s="2" t="str">
        <f>_xlfn.XLOOKUP(Tabla1[[#This Row],[instructor_2]],diccionario_!$A$1:$A$11,diccionario_!$D$1:$D$11,,0)</f>
        <v>Marcelo Barrera A.</v>
      </c>
      <c r="V97" s="2" t="str">
        <f t="shared" si="5"/>
        <v>100%</v>
      </c>
      <c r="W97" s="2" t="s">
        <v>3605</v>
      </c>
    </row>
    <row r="98" spans="1:23" ht="16.5" customHeight="1">
      <c r="A98" s="2">
        <v>817</v>
      </c>
      <c r="B98" s="24" t="s">
        <v>7</v>
      </c>
      <c r="C98" s="24" t="s">
        <v>8</v>
      </c>
      <c r="D98" s="24" t="s">
        <v>9</v>
      </c>
      <c r="E98" s="11">
        <v>46072</v>
      </c>
      <c r="F98" s="14">
        <v>0.54166666666666696</v>
      </c>
      <c r="G98" s="24" t="s">
        <v>3005</v>
      </c>
      <c r="H98" s="24" t="s">
        <v>3006</v>
      </c>
      <c r="I98" s="24" t="s">
        <v>11</v>
      </c>
      <c r="J98" s="24" t="s">
        <v>36</v>
      </c>
      <c r="K98" s="24" t="s">
        <v>3607</v>
      </c>
      <c r="L98" s="24"/>
      <c r="M98" s="24"/>
      <c r="N98" s="27" t="s">
        <v>3607</v>
      </c>
      <c r="O98" s="6">
        <v>1</v>
      </c>
      <c r="P98" s="2" t="s">
        <v>3503</v>
      </c>
      <c r="Q98" s="24" t="str">
        <f>IF(Tabla1[[#This Row],[evaluacion_]]="","",IF(Tabla1[[#This Row],[evaluacion_]]=1,"Habilitado","No Habilitado"))</f>
        <v>Habilitado</v>
      </c>
      <c r="R98" s="2" t="str">
        <f>IF(Tabla1[[#This Row],[fecha]]="","",TEXT(Tabla1[[#This Row],[fecha]],"DMMAAAA")&amp;TEXT(Tabla1[[#This Row],[hora]],"HHmm"))</f>
        <v>190220261300</v>
      </c>
      <c r="S98" s="19" t="str">
        <f>_xlfn.CONCAT(Tabla1[[#This Row],[codigo_]],Tabla1[[#This Row],[correlativo_]])</f>
        <v>190220261300817</v>
      </c>
      <c r="T98" s="2" t="str">
        <f t="shared" si="6"/>
        <v>19 de febrero del 2026</v>
      </c>
      <c r="U98" s="2" t="str">
        <f>_xlfn.XLOOKUP(Tabla1[[#This Row],[instructor_2]],diccionario_!$A$1:$A$11,diccionario_!$D$1:$D$11,,0)</f>
        <v>Marcelo Barrera A.</v>
      </c>
      <c r="V98" s="2" t="str">
        <f t="shared" si="5"/>
        <v>100%</v>
      </c>
      <c r="W98" s="2" t="s">
        <v>3605</v>
      </c>
    </row>
    <row r="99" spans="1:23" ht="16.5" customHeight="1">
      <c r="A99" s="2">
        <v>818</v>
      </c>
      <c r="B99" s="24" t="s">
        <v>7</v>
      </c>
      <c r="C99" s="24" t="s">
        <v>8</v>
      </c>
      <c r="D99" s="24" t="s">
        <v>9</v>
      </c>
      <c r="E99" s="11">
        <v>46072</v>
      </c>
      <c r="F99" s="14">
        <v>0.5625</v>
      </c>
      <c r="G99" s="24" t="s">
        <v>1070</v>
      </c>
      <c r="H99" s="24" t="s">
        <v>1071</v>
      </c>
      <c r="I99" s="24" t="s">
        <v>11</v>
      </c>
      <c r="J99" s="24" t="s">
        <v>36</v>
      </c>
      <c r="K99" s="24" t="s">
        <v>3608</v>
      </c>
      <c r="L99" s="24"/>
      <c r="M99" s="24"/>
      <c r="N99" s="27" t="s">
        <v>3608</v>
      </c>
      <c r="O99" s="6">
        <v>1</v>
      </c>
      <c r="P99" s="2" t="s">
        <v>3503</v>
      </c>
      <c r="Q99" s="24" t="str">
        <f>IF(Tabla1[[#This Row],[evaluacion_]]="","",IF(Tabla1[[#This Row],[evaluacion_]]=1,"Habilitado","No Habilitado"))</f>
        <v>Habilitado</v>
      </c>
      <c r="R99" s="2" t="str">
        <f>IF(Tabla1[[#This Row],[fecha]]="","",TEXT(Tabla1[[#This Row],[fecha]],"DMMAAAA")&amp;TEXT(Tabla1[[#This Row],[hora]],"HHmm"))</f>
        <v>190220261330</v>
      </c>
      <c r="S99" s="19" t="str">
        <f>_xlfn.CONCAT(Tabla1[[#This Row],[codigo_]],Tabla1[[#This Row],[correlativo_]])</f>
        <v>190220261330818</v>
      </c>
      <c r="T99" s="2" t="str">
        <f t="shared" si="6"/>
        <v>19 de febrero del 2026</v>
      </c>
      <c r="U99" s="2" t="str">
        <f>_xlfn.XLOOKUP(Tabla1[[#This Row],[instructor_2]],diccionario_!$A$1:$A$11,diccionario_!$D$1:$D$11,,0)</f>
        <v>Marcelo Barrera A.</v>
      </c>
      <c r="V99" s="2" t="str">
        <f t="shared" si="5"/>
        <v>100%</v>
      </c>
      <c r="W99" s="2" t="s">
        <v>3605</v>
      </c>
    </row>
    <row r="100" spans="1:23" ht="16.5" customHeight="1">
      <c r="A100" s="2">
        <v>819</v>
      </c>
      <c r="B100" s="24" t="s">
        <v>7</v>
      </c>
      <c r="C100" s="24" t="s">
        <v>8</v>
      </c>
      <c r="D100" s="24" t="s">
        <v>9</v>
      </c>
      <c r="E100" s="11">
        <v>46072</v>
      </c>
      <c r="F100" s="14">
        <v>0.59375</v>
      </c>
      <c r="G100" s="24" t="s">
        <v>697</v>
      </c>
      <c r="H100" s="24" t="s">
        <v>698</v>
      </c>
      <c r="I100" s="24" t="s">
        <v>11</v>
      </c>
      <c r="J100" s="24" t="s">
        <v>36</v>
      </c>
      <c r="K100" s="24" t="s">
        <v>3609</v>
      </c>
      <c r="L100" s="24"/>
      <c r="M100" s="24"/>
      <c r="N100" s="27" t="s">
        <v>3609</v>
      </c>
      <c r="O100" s="6">
        <v>1</v>
      </c>
      <c r="P100" s="2" t="s">
        <v>3503</v>
      </c>
      <c r="Q100" s="24" t="str">
        <f>IF(Tabla1[[#This Row],[evaluacion_]]="","",IF(Tabla1[[#This Row],[evaluacion_]]=1,"Habilitado","No Habilitado"))</f>
        <v>Habilitado</v>
      </c>
      <c r="R100" s="2" t="str">
        <f>IF(Tabla1[[#This Row],[fecha]]="","",TEXT(Tabla1[[#This Row],[fecha]],"DMMAAAA")&amp;TEXT(Tabla1[[#This Row],[hora]],"HHmm"))</f>
        <v>190220261415</v>
      </c>
      <c r="S100" s="19" t="str">
        <f>_xlfn.CONCAT(Tabla1[[#This Row],[codigo_]],Tabla1[[#This Row],[correlativo_]])</f>
        <v>190220261415819</v>
      </c>
      <c r="T100" s="2" t="str">
        <f t="shared" si="6"/>
        <v>19 de febrero del 2026</v>
      </c>
      <c r="U100" s="2" t="str">
        <f>_xlfn.XLOOKUP(Tabla1[[#This Row],[instructor_2]],diccionario_!$A$1:$A$11,diccionario_!$D$1:$D$11,,0)</f>
        <v>Marcelo Barrera A.</v>
      </c>
      <c r="V100" s="2" t="str">
        <f t="shared" si="5"/>
        <v>100%</v>
      </c>
      <c r="W100" s="2" t="s">
        <v>3605</v>
      </c>
    </row>
    <row r="101" spans="1:23" ht="16.5" customHeight="1">
      <c r="A101" s="2">
        <v>820</v>
      </c>
      <c r="B101" s="24" t="s">
        <v>7</v>
      </c>
      <c r="C101" s="24" t="s">
        <v>8</v>
      </c>
      <c r="D101" s="24" t="s">
        <v>9</v>
      </c>
      <c r="E101" s="11">
        <v>46079</v>
      </c>
      <c r="F101" s="14">
        <v>0.41666666666666702</v>
      </c>
      <c r="G101" s="24" t="s">
        <v>2015</v>
      </c>
      <c r="H101" s="24" t="s">
        <v>2016</v>
      </c>
      <c r="I101" s="24" t="s">
        <v>23</v>
      </c>
      <c r="J101" s="24" t="s">
        <v>12</v>
      </c>
      <c r="K101" s="24" t="s">
        <v>43</v>
      </c>
      <c r="L101" s="24" t="s">
        <v>41</v>
      </c>
      <c r="M101" s="24"/>
      <c r="N101" s="27" t="s">
        <v>3610</v>
      </c>
      <c r="O101" s="6">
        <v>1</v>
      </c>
      <c r="P101" s="2" t="s">
        <v>3503</v>
      </c>
      <c r="Q101" s="24" t="str">
        <f>IF(Tabla1[[#This Row],[evaluacion_]]="","",IF(Tabla1[[#This Row],[evaluacion_]]=1,"Habilitado","No Habilitado"))</f>
        <v>Habilitado</v>
      </c>
      <c r="R101" s="2" t="str">
        <f>IF(Tabla1[[#This Row],[fecha]]="","",TEXT(Tabla1[[#This Row],[fecha]],"DMMAAAA")&amp;TEXT(Tabla1[[#This Row],[hora]],"HHmm"))</f>
        <v>260220261000</v>
      </c>
      <c r="S101" s="19" t="str">
        <f>_xlfn.CONCAT(Tabla1[[#This Row],[codigo_]],Tabla1[[#This Row],[correlativo_]])</f>
        <v>260220261000820</v>
      </c>
      <c r="T101" s="2" t="str">
        <f t="shared" si="6"/>
        <v>26 de febrero del 2026</v>
      </c>
      <c r="U101" s="2" t="str">
        <f>_xlfn.XLOOKUP(Tabla1[[#This Row],[instructor_2]],diccionario_!$A$1:$A$11,diccionario_!$D$1:$D$11,,0)</f>
        <v>Marcelo Barrera A.</v>
      </c>
      <c r="V101" s="2" t="str">
        <f t="shared" si="5"/>
        <v>100%</v>
      </c>
      <c r="W101" s="2" t="s">
        <v>3611</v>
      </c>
    </row>
    <row r="102" spans="1:23" ht="16.5" customHeight="1">
      <c r="A102" s="2">
        <v>821</v>
      </c>
      <c r="B102" s="24" t="s">
        <v>7</v>
      </c>
      <c r="C102" s="24" t="s">
        <v>8</v>
      </c>
      <c r="D102" s="24" t="s">
        <v>9</v>
      </c>
      <c r="E102" s="11">
        <v>46079</v>
      </c>
      <c r="F102" s="14">
        <v>0.41666666666666702</v>
      </c>
      <c r="G102" s="24" t="s">
        <v>2571</v>
      </c>
      <c r="H102" s="24" t="s">
        <v>2572</v>
      </c>
      <c r="I102" s="24" t="s">
        <v>23</v>
      </c>
      <c r="J102" s="24" t="s">
        <v>12</v>
      </c>
      <c r="K102" s="24" t="s">
        <v>41</v>
      </c>
      <c r="L102" s="24" t="s">
        <v>43</v>
      </c>
      <c r="M102" s="24"/>
      <c r="N102" s="27" t="s">
        <v>3612</v>
      </c>
      <c r="O102" s="6">
        <v>1</v>
      </c>
      <c r="P102" s="2" t="s">
        <v>3503</v>
      </c>
      <c r="Q102" s="24" t="str">
        <f>IF(Tabla1[[#This Row],[evaluacion_]]="","",IF(Tabla1[[#This Row],[evaluacion_]]=1,"Habilitado","No Habilitado"))</f>
        <v>Habilitado</v>
      </c>
      <c r="R102" s="2" t="str">
        <f>IF(Tabla1[[#This Row],[fecha]]="","",TEXT(Tabla1[[#This Row],[fecha]],"DMMAAAA")&amp;TEXT(Tabla1[[#This Row],[hora]],"HHmm"))</f>
        <v>260220261000</v>
      </c>
      <c r="S102" s="19" t="str">
        <f>_xlfn.CONCAT(Tabla1[[#This Row],[codigo_]],Tabla1[[#This Row],[correlativo_]])</f>
        <v>260220261000821</v>
      </c>
      <c r="T102" s="2" t="str">
        <f t="shared" si="6"/>
        <v>26 de febrero del 2026</v>
      </c>
      <c r="U102" s="2" t="str">
        <f>_xlfn.XLOOKUP(Tabla1[[#This Row],[instructor_2]],diccionario_!$A$1:$A$11,diccionario_!$D$1:$D$11,,0)</f>
        <v>Marcelo Barrera A.</v>
      </c>
      <c r="V102" s="2" t="str">
        <f t="shared" si="5"/>
        <v>100%</v>
      </c>
      <c r="W102" s="2" t="s">
        <v>3611</v>
      </c>
    </row>
    <row r="103" spans="1:23" ht="16.5" customHeight="1">
      <c r="A103" s="2">
        <v>822</v>
      </c>
      <c r="B103" s="24" t="s">
        <v>7</v>
      </c>
      <c r="C103" s="24" t="s">
        <v>8</v>
      </c>
      <c r="D103" s="24" t="s">
        <v>9</v>
      </c>
      <c r="E103" s="11">
        <v>46072</v>
      </c>
      <c r="F103" s="14">
        <v>0.75</v>
      </c>
      <c r="G103" s="24" t="s">
        <v>465</v>
      </c>
      <c r="H103" s="24" t="s">
        <v>466</v>
      </c>
      <c r="I103" s="24" t="s">
        <v>11</v>
      </c>
      <c r="J103" s="24" t="s">
        <v>30</v>
      </c>
      <c r="K103" s="24" t="s">
        <v>37</v>
      </c>
      <c r="L103" s="24"/>
      <c r="M103" s="24"/>
      <c r="N103" s="27" t="s">
        <v>37</v>
      </c>
      <c r="O103" s="6">
        <v>1</v>
      </c>
      <c r="P103" s="2" t="s">
        <v>3503</v>
      </c>
      <c r="Q103" s="24" t="str">
        <f>IF(Tabla1[[#This Row],[evaluacion_]]="","",IF(Tabla1[[#This Row],[evaluacion_]]=1,"Habilitado","No Habilitado"))</f>
        <v>Habilitado</v>
      </c>
      <c r="R103" s="2" t="str">
        <f>IF(Tabla1[[#This Row],[fecha]]="","",TEXT(Tabla1[[#This Row],[fecha]],"DMMAAAA")&amp;TEXT(Tabla1[[#This Row],[hora]],"HHmm"))</f>
        <v>190220261800</v>
      </c>
      <c r="S103" s="19" t="str">
        <f>_xlfn.CONCAT(Tabla1[[#This Row],[codigo_]],Tabla1[[#This Row],[correlativo_]])</f>
        <v>190220261800822</v>
      </c>
      <c r="T103" s="2" t="str">
        <f t="shared" si="6"/>
        <v>19 de febrero del 2026</v>
      </c>
      <c r="U103" s="2" t="str">
        <f>_xlfn.XLOOKUP(Tabla1[[#This Row],[instructor_2]],diccionario_!$A$1:$A$11,diccionario_!$D$1:$D$11,,0)</f>
        <v>Marcelo Barrera A.</v>
      </c>
      <c r="V103" s="2" t="str">
        <f t="shared" si="5"/>
        <v>100%</v>
      </c>
      <c r="W103" s="2" t="s">
        <v>3613</v>
      </c>
    </row>
    <row r="104" spans="1:23" ht="16.5" customHeight="1">
      <c r="A104" s="2">
        <v>823</v>
      </c>
      <c r="B104" s="24" t="s">
        <v>7</v>
      </c>
      <c r="C104" s="24" t="s">
        <v>8</v>
      </c>
      <c r="D104" s="24" t="s">
        <v>9</v>
      </c>
      <c r="E104" s="11">
        <v>46072</v>
      </c>
      <c r="F104" s="14">
        <v>0.75</v>
      </c>
      <c r="G104" s="24" t="s">
        <v>465</v>
      </c>
      <c r="H104" s="24" t="s">
        <v>466</v>
      </c>
      <c r="I104" s="24" t="s">
        <v>11</v>
      </c>
      <c r="J104" s="24" t="s">
        <v>36</v>
      </c>
      <c r="K104" s="24" t="s">
        <v>25</v>
      </c>
      <c r="L104" s="24"/>
      <c r="M104" s="24"/>
      <c r="N104" s="27" t="s">
        <v>25</v>
      </c>
      <c r="O104" s="6">
        <v>1</v>
      </c>
      <c r="P104" s="2" t="s">
        <v>3503</v>
      </c>
      <c r="Q104" s="24" t="str">
        <f>IF(Tabla1[[#This Row],[evaluacion_]]="","",IF(Tabla1[[#This Row],[evaluacion_]]=1,"Habilitado","No Habilitado"))</f>
        <v>Habilitado</v>
      </c>
      <c r="R104" s="2" t="str">
        <f>IF(Tabla1[[#This Row],[fecha]]="","",TEXT(Tabla1[[#This Row],[fecha]],"DMMAAAA")&amp;TEXT(Tabla1[[#This Row],[hora]],"HHmm"))</f>
        <v>190220261800</v>
      </c>
      <c r="S104" s="19" t="str">
        <f>_xlfn.CONCAT(Tabla1[[#This Row],[codigo_]],Tabla1[[#This Row],[correlativo_]])</f>
        <v>190220261800823</v>
      </c>
      <c r="T104" s="2" t="str">
        <f t="shared" si="6"/>
        <v>19 de febrero del 2026</v>
      </c>
      <c r="U104" s="2" t="str">
        <f>_xlfn.XLOOKUP(Tabla1[[#This Row],[instructor_2]],diccionario_!$A$1:$A$11,diccionario_!$D$1:$D$11,,0)</f>
        <v>Marcelo Barrera A.</v>
      </c>
      <c r="V104" s="2" t="str">
        <f t="shared" si="5"/>
        <v>100%</v>
      </c>
      <c r="W104" s="2" t="s">
        <v>3613</v>
      </c>
    </row>
    <row r="105" spans="1:23" ht="16.5" customHeight="1">
      <c r="A105" s="2">
        <v>824</v>
      </c>
      <c r="B105" s="24" t="s">
        <v>7</v>
      </c>
      <c r="C105" s="24" t="s">
        <v>8</v>
      </c>
      <c r="D105" s="24" t="s">
        <v>9</v>
      </c>
      <c r="E105" s="11">
        <v>46079</v>
      </c>
      <c r="F105" s="14">
        <v>0.54166666666666696</v>
      </c>
      <c r="G105" s="24" t="s">
        <v>3170</v>
      </c>
      <c r="H105" s="24" t="s">
        <v>3171</v>
      </c>
      <c r="I105" s="24" t="s">
        <v>11</v>
      </c>
      <c r="J105" s="24" t="s">
        <v>36</v>
      </c>
      <c r="K105" s="24" t="s">
        <v>25</v>
      </c>
      <c r="L105" s="24"/>
      <c r="M105" s="24"/>
      <c r="N105" s="27" t="s">
        <v>25</v>
      </c>
      <c r="O105" s="6">
        <v>1</v>
      </c>
      <c r="P105" s="2" t="s">
        <v>3503</v>
      </c>
      <c r="Q105" s="24" t="str">
        <f>IF(Tabla1[[#This Row],[evaluacion_]]="","",IF(Tabla1[[#This Row],[evaluacion_]]=1,"Habilitado","No Habilitado"))</f>
        <v>Habilitado</v>
      </c>
      <c r="R105" s="2" t="str">
        <f>IF(Tabla1[[#This Row],[fecha]]="","",TEXT(Tabla1[[#This Row],[fecha]],"DMMAAAA")&amp;TEXT(Tabla1[[#This Row],[hora]],"HHmm"))</f>
        <v>260220261300</v>
      </c>
      <c r="S105" s="19" t="str">
        <f>_xlfn.CONCAT(Tabla1[[#This Row],[codigo_]],Tabla1[[#This Row],[correlativo_]])</f>
        <v>260220261300824</v>
      </c>
      <c r="T105" s="2" t="str">
        <f t="shared" si="6"/>
        <v>26 de febrero del 2026</v>
      </c>
      <c r="U105" s="2" t="str">
        <f>_xlfn.XLOOKUP(Tabla1[[#This Row],[instructor_2]],diccionario_!$A$1:$A$11,diccionario_!$D$1:$D$11,,0)</f>
        <v>Marcelo Barrera A.</v>
      </c>
      <c r="V105" s="2" t="str">
        <f t="shared" si="5"/>
        <v>100%</v>
      </c>
      <c r="W105" s="2" t="s">
        <v>3614</v>
      </c>
    </row>
    <row r="106" spans="1:23" ht="16.5" customHeight="1">
      <c r="A106" s="2">
        <v>825</v>
      </c>
      <c r="B106" s="24" t="s">
        <v>7</v>
      </c>
      <c r="C106" s="24" t="s">
        <v>8</v>
      </c>
      <c r="D106" s="24" t="s">
        <v>9</v>
      </c>
      <c r="E106" s="11">
        <v>46079</v>
      </c>
      <c r="F106" s="14">
        <v>0.54513888888888895</v>
      </c>
      <c r="G106" s="24" t="s">
        <v>3276</v>
      </c>
      <c r="H106" s="24" t="s">
        <v>3277</v>
      </c>
      <c r="I106" s="24" t="s">
        <v>11</v>
      </c>
      <c r="J106" s="24" t="s">
        <v>36</v>
      </c>
      <c r="K106" s="24" t="s">
        <v>25</v>
      </c>
      <c r="L106" s="24"/>
      <c r="M106" s="24"/>
      <c r="N106" s="27" t="s">
        <v>25</v>
      </c>
      <c r="O106" s="6">
        <v>1</v>
      </c>
      <c r="P106" s="2" t="s">
        <v>3503</v>
      </c>
      <c r="Q106" s="24" t="str">
        <f>IF(Tabla1[[#This Row],[evaluacion_]]="","",IF(Tabla1[[#This Row],[evaluacion_]]=1,"Habilitado","No Habilitado"))</f>
        <v>Habilitado</v>
      </c>
      <c r="R106" s="2" t="str">
        <f>IF(Tabla1[[#This Row],[fecha]]="","",TEXT(Tabla1[[#This Row],[fecha]],"DMMAAAA")&amp;TEXT(Tabla1[[#This Row],[hora]],"HHmm"))</f>
        <v>260220261305</v>
      </c>
      <c r="S106" s="19" t="str">
        <f>_xlfn.CONCAT(Tabla1[[#This Row],[codigo_]],Tabla1[[#This Row],[correlativo_]])</f>
        <v>260220261305825</v>
      </c>
      <c r="T106" s="2" t="str">
        <f t="shared" si="6"/>
        <v>26 de febrero del 2026</v>
      </c>
      <c r="U106" s="2" t="str">
        <f>_xlfn.XLOOKUP(Tabla1[[#This Row],[instructor_2]],diccionario_!$A$1:$A$11,diccionario_!$D$1:$D$11,,0)</f>
        <v>Marcelo Barrera A.</v>
      </c>
      <c r="V106" s="2" t="str">
        <f t="shared" si="5"/>
        <v>100%</v>
      </c>
      <c r="W106" s="2" t="s">
        <v>3614</v>
      </c>
    </row>
    <row r="107" spans="1:23" ht="16.5" customHeight="1">
      <c r="A107" s="2">
        <v>826</v>
      </c>
      <c r="B107" s="24" t="s">
        <v>7</v>
      </c>
      <c r="C107" s="24" t="s">
        <v>8</v>
      </c>
      <c r="D107" s="24" t="s">
        <v>9</v>
      </c>
      <c r="E107" s="11">
        <v>46079</v>
      </c>
      <c r="F107" s="14">
        <v>0.5</v>
      </c>
      <c r="G107" s="24" t="s">
        <v>3344</v>
      </c>
      <c r="H107" s="24" t="s">
        <v>3345</v>
      </c>
      <c r="I107" s="24" t="s">
        <v>11</v>
      </c>
      <c r="J107" s="24" t="s">
        <v>36</v>
      </c>
      <c r="K107" s="24" t="s">
        <v>25</v>
      </c>
      <c r="L107" s="24"/>
      <c r="M107" s="24"/>
      <c r="N107" s="27" t="s">
        <v>25</v>
      </c>
      <c r="O107" s="6">
        <v>1</v>
      </c>
      <c r="P107" s="2" t="s">
        <v>3503</v>
      </c>
      <c r="Q107" s="24" t="str">
        <f>IF(Tabla1[[#This Row],[evaluacion_]]="","",IF(Tabla1[[#This Row],[evaluacion_]]=1,"Habilitado","No Habilitado"))</f>
        <v>Habilitado</v>
      </c>
      <c r="R107" s="2" t="str">
        <f>IF(Tabla1[[#This Row],[fecha]]="","",TEXT(Tabla1[[#This Row],[fecha]],"DMMAAAA")&amp;TEXT(Tabla1[[#This Row],[hora]],"HHmm"))</f>
        <v>260220261200</v>
      </c>
      <c r="S107" s="19" t="str">
        <f>_xlfn.CONCAT(Tabla1[[#This Row],[codigo_]],Tabla1[[#This Row],[correlativo_]])</f>
        <v>260220261200826</v>
      </c>
      <c r="T107" s="2" t="str">
        <f t="shared" si="6"/>
        <v>26 de febrero del 2026</v>
      </c>
      <c r="U107" s="2" t="str">
        <f>_xlfn.XLOOKUP(Tabla1[[#This Row],[instructor_2]],diccionario_!$A$1:$A$11,diccionario_!$D$1:$D$11,,0)</f>
        <v>Marcelo Barrera A.</v>
      </c>
      <c r="V107" s="2" t="str">
        <f t="shared" si="5"/>
        <v>100%</v>
      </c>
      <c r="W107" s="2" t="s">
        <v>3615</v>
      </c>
    </row>
    <row r="108" spans="1:23" ht="16.5" customHeight="1">
      <c r="A108" s="2">
        <v>827</v>
      </c>
      <c r="B108" s="24" t="s">
        <v>7</v>
      </c>
      <c r="C108" s="24" t="s">
        <v>8</v>
      </c>
      <c r="D108" s="24" t="s">
        <v>9</v>
      </c>
      <c r="E108" s="11">
        <v>46079</v>
      </c>
      <c r="F108" s="14">
        <v>0.58333333333333304</v>
      </c>
      <c r="G108" s="24" t="s">
        <v>956</v>
      </c>
      <c r="H108" s="24" t="s">
        <v>957</v>
      </c>
      <c r="I108" s="24" t="s">
        <v>11</v>
      </c>
      <c r="J108" s="24" t="s">
        <v>36</v>
      </c>
      <c r="K108" s="24" t="s">
        <v>3606</v>
      </c>
      <c r="L108" s="24"/>
      <c r="M108" s="24"/>
      <c r="N108" s="27" t="s">
        <v>3606</v>
      </c>
      <c r="O108" s="6">
        <v>1</v>
      </c>
      <c r="P108" s="2" t="s">
        <v>3503</v>
      </c>
      <c r="Q108" s="24" t="str">
        <f>IF(Tabla1[[#This Row],[evaluacion_]]="","",IF(Tabla1[[#This Row],[evaluacion_]]=1,"Habilitado","No Habilitado"))</f>
        <v>Habilitado</v>
      </c>
      <c r="R108" s="2" t="str">
        <f>IF(Tabla1[[#This Row],[fecha]]="","",TEXT(Tabla1[[#This Row],[fecha]],"DMMAAAA")&amp;TEXT(Tabla1[[#This Row],[hora]],"HHmm"))</f>
        <v>260220261400</v>
      </c>
      <c r="S108" s="19" t="str">
        <f>_xlfn.CONCAT(Tabla1[[#This Row],[codigo_]],Tabla1[[#This Row],[correlativo_]])</f>
        <v>260220261400827</v>
      </c>
      <c r="T108" s="2" t="str">
        <f t="shared" si="6"/>
        <v>26 de febrero del 2026</v>
      </c>
      <c r="U108" s="2" t="str">
        <f>_xlfn.XLOOKUP(Tabla1[[#This Row],[instructor_2]],diccionario_!$A$1:$A$11,diccionario_!$D$1:$D$11,,0)</f>
        <v>Marcelo Barrera A.</v>
      </c>
      <c r="V108" s="2" t="str">
        <f t="shared" si="5"/>
        <v>100%</v>
      </c>
      <c r="W108" s="2" t="s">
        <v>3615</v>
      </c>
    </row>
    <row r="109" spans="1:23" ht="16.5" customHeight="1">
      <c r="A109" s="2">
        <v>828</v>
      </c>
      <c r="B109" s="24" t="s">
        <v>14</v>
      </c>
      <c r="C109" s="24" t="s">
        <v>15</v>
      </c>
      <c r="D109" s="24" t="s">
        <v>9</v>
      </c>
      <c r="E109" s="11">
        <v>45940</v>
      </c>
      <c r="F109" s="14">
        <v>0.74513888888888902</v>
      </c>
      <c r="G109" s="24" t="s">
        <v>817</v>
      </c>
      <c r="H109" s="24" t="s">
        <v>818</v>
      </c>
      <c r="I109" s="24" t="s">
        <v>29</v>
      </c>
      <c r="J109" s="24" t="s">
        <v>24</v>
      </c>
      <c r="K109" s="24" t="s">
        <v>46</v>
      </c>
      <c r="L109" s="24" t="s">
        <v>47</v>
      </c>
      <c r="M109" s="24"/>
      <c r="N109" s="27" t="s">
        <v>3521</v>
      </c>
      <c r="O109" s="6">
        <v>1</v>
      </c>
      <c r="P109" s="2" t="s">
        <v>3503</v>
      </c>
      <c r="Q109" s="24" t="str">
        <f>IF(Tabla1[[#This Row],[evaluacion_]]="","",IF(Tabla1[[#This Row],[evaluacion_]]=1,"Habilitado","No Habilitado"))</f>
        <v>Habilitado</v>
      </c>
      <c r="R109" s="2" t="str">
        <f>IF(Tabla1[[#This Row],[fecha]]="","",TEXT(Tabla1[[#This Row],[fecha]],"DMMAAAA")&amp;TEXT(Tabla1[[#This Row],[hora]],"HHmm"))</f>
        <v>101020251753</v>
      </c>
      <c r="S109" s="19" t="str">
        <f>_xlfn.CONCAT(Tabla1[[#This Row],[codigo_]],Tabla1[[#This Row],[correlativo_]])</f>
        <v>101020251753828</v>
      </c>
      <c r="T109" s="2" t="str">
        <f t="shared" si="6"/>
        <v>10 de octubre del 2025</v>
      </c>
      <c r="U109" s="2" t="str">
        <f>_xlfn.XLOOKUP(Tabla1[[#This Row],[instructor_2]],diccionario_!$A$1:$A$11,diccionario_!$D$1:$D$11,,0)</f>
        <v>Daniel Carvajal B.</v>
      </c>
      <c r="V109" s="2" t="str">
        <f t="shared" si="5"/>
        <v>100%</v>
      </c>
      <c r="W109" s="2" t="s">
        <v>3616</v>
      </c>
    </row>
    <row r="110" spans="1:23" ht="16.5" customHeight="1">
      <c r="A110" s="2">
        <v>829</v>
      </c>
      <c r="B110" s="24" t="s">
        <v>14</v>
      </c>
      <c r="C110" s="24" t="s">
        <v>15</v>
      </c>
      <c r="D110" s="24" t="s">
        <v>9</v>
      </c>
      <c r="E110" s="11">
        <v>45940</v>
      </c>
      <c r="F110" s="14">
        <v>0.74583333333333302</v>
      </c>
      <c r="G110" s="24" t="s">
        <v>817</v>
      </c>
      <c r="H110" s="24" t="s">
        <v>818</v>
      </c>
      <c r="I110" s="24" t="s">
        <v>23</v>
      </c>
      <c r="J110" s="24" t="s">
        <v>24</v>
      </c>
      <c r="K110" s="24" t="s">
        <v>44</v>
      </c>
      <c r="L110" s="24" t="s">
        <v>45</v>
      </c>
      <c r="M110" s="24"/>
      <c r="N110" s="27" t="s">
        <v>3550</v>
      </c>
      <c r="O110" s="6">
        <v>1</v>
      </c>
      <c r="P110" s="2" t="s">
        <v>3503</v>
      </c>
      <c r="Q110" s="24" t="str">
        <f>IF(Tabla1[[#This Row],[evaluacion_]]="","",IF(Tabla1[[#This Row],[evaluacion_]]=1,"Habilitado","No Habilitado"))</f>
        <v>Habilitado</v>
      </c>
      <c r="R110" s="2" t="str">
        <f>IF(Tabla1[[#This Row],[fecha]]="","",TEXT(Tabla1[[#This Row],[fecha]],"DMMAAAA")&amp;TEXT(Tabla1[[#This Row],[hora]],"HHmm"))</f>
        <v>101020251754</v>
      </c>
      <c r="S110" s="19" t="str">
        <f>_xlfn.CONCAT(Tabla1[[#This Row],[codigo_]],Tabla1[[#This Row],[correlativo_]])</f>
        <v>101020251754829</v>
      </c>
      <c r="T110" s="2" t="str">
        <f t="shared" si="6"/>
        <v>10 de octubre del 2025</v>
      </c>
      <c r="U110" s="2" t="str">
        <f>_xlfn.XLOOKUP(Tabla1[[#This Row],[instructor_2]],diccionario_!$A$1:$A$11,diccionario_!$D$1:$D$11,,0)</f>
        <v>Daniel Carvajal B.</v>
      </c>
      <c r="V110" s="2" t="str">
        <f t="shared" si="5"/>
        <v>100%</v>
      </c>
      <c r="W110" s="2" t="s">
        <v>3616</v>
      </c>
    </row>
    <row r="111" spans="1:23" ht="16.5" customHeight="1">
      <c r="A111" s="2">
        <v>830</v>
      </c>
      <c r="B111" s="24" t="s">
        <v>14</v>
      </c>
      <c r="C111" s="24" t="s">
        <v>15</v>
      </c>
      <c r="D111" s="24" t="s">
        <v>9</v>
      </c>
      <c r="E111" s="11">
        <v>45955</v>
      </c>
      <c r="F111" s="14">
        <v>0.53541666666666698</v>
      </c>
      <c r="G111" s="24" t="s">
        <v>3099</v>
      </c>
      <c r="H111" s="24" t="s">
        <v>3100</v>
      </c>
      <c r="I111" s="24" t="s">
        <v>29</v>
      </c>
      <c r="J111" s="24" t="s">
        <v>24</v>
      </c>
      <c r="K111" s="24" t="s">
        <v>46</v>
      </c>
      <c r="L111" s="24" t="s">
        <v>46</v>
      </c>
      <c r="M111" s="24"/>
      <c r="N111" s="27" t="s">
        <v>3617</v>
      </c>
      <c r="O111" s="6">
        <v>1</v>
      </c>
      <c r="P111" s="2" t="s">
        <v>3503</v>
      </c>
      <c r="Q111" s="24" t="str">
        <f>IF(Tabla1[[#This Row],[evaluacion_]]="","",IF(Tabla1[[#This Row],[evaluacion_]]=1,"Habilitado","No Habilitado"))</f>
        <v>Habilitado</v>
      </c>
      <c r="R111" s="2" t="str">
        <f>IF(Tabla1[[#This Row],[fecha]]="","",TEXT(Tabla1[[#This Row],[fecha]],"DMMAAAA")&amp;TEXT(Tabla1[[#This Row],[hora]],"HHmm"))</f>
        <v>251020251251</v>
      </c>
      <c r="S111" s="19" t="str">
        <f>_xlfn.CONCAT(Tabla1[[#This Row],[codigo_]],Tabla1[[#This Row],[correlativo_]])</f>
        <v>251020251251830</v>
      </c>
      <c r="T111" s="2" t="str">
        <f t="shared" si="6"/>
        <v>25 de octubre del 2025</v>
      </c>
      <c r="U111" s="2" t="str">
        <f>_xlfn.XLOOKUP(Tabla1[[#This Row],[instructor_2]],diccionario_!$A$1:$A$11,diccionario_!$D$1:$D$11,,0)</f>
        <v>Daniel Carvajal B.</v>
      </c>
      <c r="V111" s="2" t="str">
        <f t="shared" si="5"/>
        <v>100%</v>
      </c>
      <c r="W111" s="2" t="s">
        <v>3618</v>
      </c>
    </row>
    <row r="112" spans="1:23" ht="16.5" customHeight="1">
      <c r="A112" s="2">
        <v>831</v>
      </c>
      <c r="B112" s="24" t="s">
        <v>14</v>
      </c>
      <c r="C112" s="24" t="s">
        <v>15</v>
      </c>
      <c r="D112" s="24" t="s">
        <v>9</v>
      </c>
      <c r="E112" s="11">
        <v>45955</v>
      </c>
      <c r="F112" s="14">
        <v>0.53680555555555598</v>
      </c>
      <c r="G112" s="24" t="s">
        <v>3099</v>
      </c>
      <c r="H112" s="24" t="s">
        <v>3100</v>
      </c>
      <c r="I112" s="24" t="s">
        <v>23</v>
      </c>
      <c r="J112" s="24" t="s">
        <v>24</v>
      </c>
      <c r="K112" s="24" t="s">
        <v>44</v>
      </c>
      <c r="L112" s="24" t="s">
        <v>45</v>
      </c>
      <c r="M112" s="24"/>
      <c r="N112" s="27" t="s">
        <v>3550</v>
      </c>
      <c r="O112" s="6">
        <v>1</v>
      </c>
      <c r="P112" s="2" t="s">
        <v>3503</v>
      </c>
      <c r="Q112" s="24" t="str">
        <f>IF(Tabla1[[#This Row],[evaluacion_]]="","",IF(Tabla1[[#This Row],[evaluacion_]]=1,"Habilitado","No Habilitado"))</f>
        <v>Habilitado</v>
      </c>
      <c r="R112" s="2" t="str">
        <f>IF(Tabla1[[#This Row],[fecha]]="","",TEXT(Tabla1[[#This Row],[fecha]],"DMMAAAA")&amp;TEXT(Tabla1[[#This Row],[hora]],"HHmm"))</f>
        <v>251020251253</v>
      </c>
      <c r="S112" s="19" t="str">
        <f>_xlfn.CONCAT(Tabla1[[#This Row],[codigo_]],Tabla1[[#This Row],[correlativo_]])</f>
        <v>251020251253831</v>
      </c>
      <c r="T112" s="2" t="str">
        <f t="shared" si="6"/>
        <v>25 de octubre del 2025</v>
      </c>
      <c r="U112" s="2" t="str">
        <f>_xlfn.XLOOKUP(Tabla1[[#This Row],[instructor_2]],diccionario_!$A$1:$A$11,diccionario_!$D$1:$D$11,,0)</f>
        <v>Daniel Carvajal B.</v>
      </c>
      <c r="V112" s="2" t="str">
        <f t="shared" si="5"/>
        <v>100%</v>
      </c>
      <c r="W112" s="2" t="s">
        <v>3618</v>
      </c>
    </row>
    <row r="113" spans="1:23" ht="16.5" customHeight="1">
      <c r="A113" s="2">
        <v>832</v>
      </c>
      <c r="B113" s="24" t="s">
        <v>7</v>
      </c>
      <c r="C113" s="24" t="s">
        <v>8</v>
      </c>
      <c r="D113" s="24" t="s">
        <v>9</v>
      </c>
      <c r="E113" s="11">
        <v>46084</v>
      </c>
      <c r="F113" s="14">
        <v>0.625</v>
      </c>
      <c r="G113" s="24" t="s">
        <v>3421</v>
      </c>
      <c r="H113" s="24" t="s">
        <v>3422</v>
      </c>
      <c r="I113" s="24" t="s">
        <v>11</v>
      </c>
      <c r="J113" s="24" t="s">
        <v>30</v>
      </c>
      <c r="K113" s="24" t="s">
        <v>37</v>
      </c>
      <c r="L113" s="24"/>
      <c r="M113" s="24"/>
      <c r="N113" s="27" t="s">
        <v>37</v>
      </c>
      <c r="O113" s="6">
        <v>1</v>
      </c>
      <c r="P113" s="2" t="s">
        <v>3503</v>
      </c>
      <c r="Q113" s="24" t="str">
        <f>IF(Tabla1[[#This Row],[evaluacion_]]="","",IF(Tabla1[[#This Row],[evaluacion_]]=1,"Habilitado","No Habilitado"))</f>
        <v>Habilitado</v>
      </c>
      <c r="R113" s="2" t="str">
        <f>IF(Tabla1[[#This Row],[fecha]]="","",TEXT(Tabla1[[#This Row],[fecha]],"DMMAAAA")&amp;TEXT(Tabla1[[#This Row],[hora]],"HHmm"))</f>
        <v>30320261500</v>
      </c>
      <c r="S113" s="19" t="str">
        <f>_xlfn.CONCAT(Tabla1[[#This Row],[codigo_]],Tabla1[[#This Row],[correlativo_]])</f>
        <v>30320261500832</v>
      </c>
      <c r="T113" s="2" t="str">
        <f t="shared" ref="T113:T140" si="7">DAY(E113) &amp; " de " &amp; TEXT(E113, "mmmm") &amp; " del " &amp; YEAR(E113)</f>
        <v>3 de marzo del 2026</v>
      </c>
      <c r="U113" s="2" t="str">
        <f>_xlfn.XLOOKUP(Tabla1[[#This Row],[instructor_2]],diccionario_!$A$1:$A$11,diccionario_!$D$1:$D$11,,0)</f>
        <v>Marcelo Barrera A.</v>
      </c>
      <c r="V113" s="2" t="str">
        <f t="shared" si="5"/>
        <v>100%</v>
      </c>
      <c r="W113" s="2" t="s">
        <v>3619</v>
      </c>
    </row>
    <row r="114" spans="1:23" ht="16.5" customHeight="1">
      <c r="A114" s="2">
        <v>833</v>
      </c>
      <c r="B114" s="24" t="s">
        <v>7</v>
      </c>
      <c r="C114" s="24" t="s">
        <v>8</v>
      </c>
      <c r="D114" s="24" t="s">
        <v>9</v>
      </c>
      <c r="E114" s="11">
        <v>46084</v>
      </c>
      <c r="F114" s="14">
        <v>0.66666666666666696</v>
      </c>
      <c r="G114" s="24" t="s">
        <v>3135</v>
      </c>
      <c r="H114" s="24" t="s">
        <v>3136</v>
      </c>
      <c r="I114" s="24" t="s">
        <v>11</v>
      </c>
      <c r="J114" s="24" t="s">
        <v>36</v>
      </c>
      <c r="K114" s="24" t="s">
        <v>25</v>
      </c>
      <c r="L114" s="24"/>
      <c r="M114" s="24"/>
      <c r="N114" s="27" t="s">
        <v>25</v>
      </c>
      <c r="O114" s="6">
        <v>1</v>
      </c>
      <c r="P114" s="2" t="s">
        <v>3503</v>
      </c>
      <c r="Q114" s="24" t="str">
        <f>IF(Tabla1[[#This Row],[evaluacion_]]="","",IF(Tabla1[[#This Row],[evaluacion_]]=1,"Habilitado","No Habilitado"))</f>
        <v>Habilitado</v>
      </c>
      <c r="R114" s="2" t="str">
        <f>IF(Tabla1[[#This Row],[fecha]]="","",TEXT(Tabla1[[#This Row],[fecha]],"DMMAAAA")&amp;TEXT(Tabla1[[#This Row],[hora]],"HHmm"))</f>
        <v>30320261600</v>
      </c>
      <c r="S114" s="19" t="str">
        <f>_xlfn.CONCAT(Tabla1[[#This Row],[codigo_]],Tabla1[[#This Row],[correlativo_]])</f>
        <v>30320261600833</v>
      </c>
      <c r="T114" s="2" t="str">
        <f t="shared" si="7"/>
        <v>3 de marzo del 2026</v>
      </c>
      <c r="U114" s="2" t="str">
        <f>_xlfn.XLOOKUP(Tabla1[[#This Row],[instructor_2]],diccionario_!$A$1:$A$11,diccionario_!$D$1:$D$11,,0)</f>
        <v>Marcelo Barrera A.</v>
      </c>
      <c r="V114" s="2" t="str">
        <f t="shared" si="5"/>
        <v>100%</v>
      </c>
      <c r="W114" s="2" t="s">
        <v>3619</v>
      </c>
    </row>
    <row r="115" spans="1:23" ht="16.5" customHeight="1">
      <c r="A115" s="2">
        <v>834</v>
      </c>
      <c r="B115" s="24" t="s">
        <v>7</v>
      </c>
      <c r="C115" s="24" t="s">
        <v>8</v>
      </c>
      <c r="D115" s="24" t="s">
        <v>9</v>
      </c>
      <c r="E115" s="11">
        <v>46084</v>
      </c>
      <c r="F115" s="14">
        <v>0.66666666666666696</v>
      </c>
      <c r="G115" s="24" t="s">
        <v>3081</v>
      </c>
      <c r="H115" s="24" t="s">
        <v>3082</v>
      </c>
      <c r="I115" s="24" t="s">
        <v>11</v>
      </c>
      <c r="J115" s="24" t="s">
        <v>36</v>
      </c>
      <c r="K115" s="24" t="s">
        <v>25</v>
      </c>
      <c r="L115" s="24"/>
      <c r="M115" s="24"/>
      <c r="N115" s="27" t="s">
        <v>25</v>
      </c>
      <c r="O115" s="6">
        <v>1</v>
      </c>
      <c r="P115" s="2" t="s">
        <v>3503</v>
      </c>
      <c r="Q115" s="24" t="str">
        <f>IF(Tabla1[[#This Row],[evaluacion_]]="","",IF(Tabla1[[#This Row],[evaluacion_]]=1,"Habilitado","No Habilitado"))</f>
        <v>Habilitado</v>
      </c>
      <c r="R115" s="2" t="str">
        <f>IF(Tabla1[[#This Row],[fecha]]="","",TEXT(Tabla1[[#This Row],[fecha]],"DMMAAAA")&amp;TEXT(Tabla1[[#This Row],[hora]],"HHmm"))</f>
        <v>30320261600</v>
      </c>
      <c r="S115" s="19" t="str">
        <f>_xlfn.CONCAT(Tabla1[[#This Row],[codigo_]],Tabla1[[#This Row],[correlativo_]])</f>
        <v>30320261600834</v>
      </c>
      <c r="T115" s="2" t="str">
        <f t="shared" si="7"/>
        <v>3 de marzo del 2026</v>
      </c>
      <c r="U115" s="2" t="str">
        <f>_xlfn.XLOOKUP(Tabla1[[#This Row],[instructor_2]],diccionario_!$A$1:$A$11,diccionario_!$D$1:$D$11,,0)</f>
        <v>Marcelo Barrera A.</v>
      </c>
      <c r="V115" s="2" t="str">
        <f t="shared" si="5"/>
        <v>100%</v>
      </c>
      <c r="W115" s="2" t="s">
        <v>3619</v>
      </c>
    </row>
    <row r="116" spans="1:23" ht="16.5" customHeight="1">
      <c r="A116" s="2">
        <v>835</v>
      </c>
      <c r="B116" s="24" t="s">
        <v>7</v>
      </c>
      <c r="C116" s="24" t="s">
        <v>8</v>
      </c>
      <c r="D116" s="24" t="s">
        <v>9</v>
      </c>
      <c r="E116" s="11">
        <v>46084</v>
      </c>
      <c r="F116" s="14">
        <v>0.625</v>
      </c>
      <c r="G116" s="24" t="s">
        <v>3421</v>
      </c>
      <c r="H116" s="24" t="s">
        <v>3422</v>
      </c>
      <c r="I116" s="24" t="s">
        <v>38</v>
      </c>
      <c r="J116" s="24" t="s">
        <v>30</v>
      </c>
      <c r="K116" s="24" t="s">
        <v>48</v>
      </c>
      <c r="L116" s="24"/>
      <c r="M116" s="24"/>
      <c r="N116" s="27" t="s">
        <v>48</v>
      </c>
      <c r="O116" s="6">
        <v>1</v>
      </c>
      <c r="P116" s="2" t="s">
        <v>3503</v>
      </c>
      <c r="Q116" s="24" t="str">
        <f>IF(Tabla1[[#This Row],[evaluacion_]]="","",IF(Tabla1[[#This Row],[evaluacion_]]=1,"Habilitado","No Habilitado"))</f>
        <v>Habilitado</v>
      </c>
      <c r="R116" s="2" t="str">
        <f>IF(Tabla1[[#This Row],[fecha]]="","",TEXT(Tabla1[[#This Row],[fecha]],"DMMAAAA")&amp;TEXT(Tabla1[[#This Row],[hora]],"HHmm"))</f>
        <v>30320261500</v>
      </c>
      <c r="S116" s="19" t="str">
        <f>_xlfn.CONCAT(Tabla1[[#This Row],[codigo_]],Tabla1[[#This Row],[correlativo_]])</f>
        <v>30320261500835</v>
      </c>
      <c r="T116" s="2" t="str">
        <f t="shared" si="7"/>
        <v>3 de marzo del 2026</v>
      </c>
      <c r="U116" s="2" t="str">
        <f>_xlfn.XLOOKUP(Tabla1[[#This Row],[instructor_2]],diccionario_!$A$1:$A$11,diccionario_!$D$1:$D$11,,0)</f>
        <v>Marcelo Barrera A.</v>
      </c>
      <c r="V116" s="2" t="str">
        <f t="shared" si="5"/>
        <v>100%</v>
      </c>
      <c r="W116" s="2" t="s">
        <v>3619</v>
      </c>
    </row>
    <row r="117" spans="1:23" ht="16.5" customHeight="1">
      <c r="A117" s="2">
        <v>836</v>
      </c>
      <c r="B117" s="24" t="s">
        <v>7</v>
      </c>
      <c r="C117" s="24" t="s">
        <v>8</v>
      </c>
      <c r="D117" s="24" t="s">
        <v>9</v>
      </c>
      <c r="E117" s="11">
        <v>46084</v>
      </c>
      <c r="F117" s="14">
        <v>0.64583333333333304</v>
      </c>
      <c r="G117" s="24" t="s">
        <v>3421</v>
      </c>
      <c r="H117" s="24" t="s">
        <v>3422</v>
      </c>
      <c r="I117" s="24" t="s">
        <v>35</v>
      </c>
      <c r="J117" s="24" t="s">
        <v>30</v>
      </c>
      <c r="K117" s="24" t="s">
        <v>50</v>
      </c>
      <c r="L117" s="24"/>
      <c r="M117" s="24"/>
      <c r="N117" s="27" t="s">
        <v>50</v>
      </c>
      <c r="O117" s="6">
        <v>1</v>
      </c>
      <c r="P117" s="2" t="s">
        <v>3503</v>
      </c>
      <c r="Q117" s="24" t="str">
        <f>IF(Tabla1[[#This Row],[evaluacion_]]="","",IF(Tabla1[[#This Row],[evaluacion_]]=1,"Habilitado","No Habilitado"))</f>
        <v>Habilitado</v>
      </c>
      <c r="R117" s="2" t="str">
        <f>IF(Tabla1[[#This Row],[fecha]]="","",TEXT(Tabla1[[#This Row],[fecha]],"DMMAAAA")&amp;TEXT(Tabla1[[#This Row],[hora]],"HHmm"))</f>
        <v>30320261530</v>
      </c>
      <c r="S117" s="19" t="str">
        <f>_xlfn.CONCAT(Tabla1[[#This Row],[codigo_]],Tabla1[[#This Row],[correlativo_]])</f>
        <v>30320261530836</v>
      </c>
      <c r="T117" s="2" t="str">
        <f t="shared" si="7"/>
        <v>3 de marzo del 2026</v>
      </c>
      <c r="U117" s="2" t="str">
        <f>_xlfn.XLOOKUP(Tabla1[[#This Row],[instructor_2]],diccionario_!$A$1:$A$11,diccionario_!$D$1:$D$11,,0)</f>
        <v>Marcelo Barrera A.</v>
      </c>
      <c r="V117" s="2" t="str">
        <f t="shared" si="5"/>
        <v>100%</v>
      </c>
      <c r="W117" s="2" t="s">
        <v>3619</v>
      </c>
    </row>
    <row r="118" spans="1:23" ht="16.5" customHeight="1">
      <c r="A118" s="2">
        <v>837</v>
      </c>
      <c r="B118" s="24" t="s">
        <v>7</v>
      </c>
      <c r="C118" s="24" t="s">
        <v>8</v>
      </c>
      <c r="D118" s="24" t="s">
        <v>9</v>
      </c>
      <c r="E118" s="11">
        <v>46084</v>
      </c>
      <c r="F118" s="14">
        <v>0.75</v>
      </c>
      <c r="G118" s="24" t="s">
        <v>2873</v>
      </c>
      <c r="H118" s="24" t="s">
        <v>2874</v>
      </c>
      <c r="I118" s="24" t="s">
        <v>23</v>
      </c>
      <c r="J118" s="24" t="s">
        <v>12</v>
      </c>
      <c r="K118" s="24" t="s">
        <v>43</v>
      </c>
      <c r="L118" s="24"/>
      <c r="M118" s="24"/>
      <c r="N118" s="27" t="s">
        <v>43</v>
      </c>
      <c r="O118" s="6">
        <v>1</v>
      </c>
      <c r="P118" s="2" t="s">
        <v>3503</v>
      </c>
      <c r="Q118" s="24" t="str">
        <f>IF(Tabla1[[#This Row],[evaluacion_]]="","",IF(Tabla1[[#This Row],[evaluacion_]]=1,"Habilitado","No Habilitado"))</f>
        <v>Habilitado</v>
      </c>
      <c r="R118" s="2" t="str">
        <f>IF(Tabla1[[#This Row],[fecha]]="","",TEXT(Tabla1[[#This Row],[fecha]],"DMMAAAA")&amp;TEXT(Tabla1[[#This Row],[hora]],"HHmm"))</f>
        <v>30320261800</v>
      </c>
      <c r="S118" s="19" t="str">
        <f>_xlfn.CONCAT(Tabla1[[#This Row],[codigo_]],Tabla1[[#This Row],[correlativo_]])</f>
        <v>30320261800837</v>
      </c>
      <c r="T118" s="2" t="str">
        <f t="shared" si="7"/>
        <v>3 de marzo del 2026</v>
      </c>
      <c r="U118" s="2" t="str">
        <f>_xlfn.XLOOKUP(Tabla1[[#This Row],[instructor_2]],diccionario_!$A$1:$A$11,diccionario_!$D$1:$D$11,,0)</f>
        <v>Marcelo Barrera A.</v>
      </c>
      <c r="V118" s="2" t="str">
        <f t="shared" si="5"/>
        <v>100%</v>
      </c>
      <c r="W118" s="2" t="s">
        <v>3620</v>
      </c>
    </row>
    <row r="119" spans="1:23" ht="16.5" customHeight="1">
      <c r="A119" s="2">
        <v>838</v>
      </c>
      <c r="B119" s="24" t="s">
        <v>7</v>
      </c>
      <c r="C119" s="24" t="s">
        <v>8</v>
      </c>
      <c r="D119" s="24" t="s">
        <v>9</v>
      </c>
      <c r="E119" s="11">
        <v>46084</v>
      </c>
      <c r="F119" s="14">
        <v>0.75</v>
      </c>
      <c r="G119" s="24" t="s">
        <v>2461</v>
      </c>
      <c r="H119" s="24" t="s">
        <v>2462</v>
      </c>
      <c r="I119" s="24" t="s">
        <v>23</v>
      </c>
      <c r="J119" s="24" t="s">
        <v>12</v>
      </c>
      <c r="K119" s="24" t="s">
        <v>43</v>
      </c>
      <c r="L119" s="24"/>
      <c r="M119" s="24"/>
      <c r="N119" s="27" t="s">
        <v>43</v>
      </c>
      <c r="O119" s="6">
        <v>1</v>
      </c>
      <c r="P119" s="2" t="s">
        <v>3503</v>
      </c>
      <c r="Q119" s="24" t="str">
        <f>IF(Tabla1[[#This Row],[evaluacion_]]="","",IF(Tabla1[[#This Row],[evaluacion_]]=1,"Habilitado","No Habilitado"))</f>
        <v>Habilitado</v>
      </c>
      <c r="R119" s="2" t="str">
        <f>IF(Tabla1[[#This Row],[fecha]]="","",TEXT(Tabla1[[#This Row],[fecha]],"DMMAAAA")&amp;TEXT(Tabla1[[#This Row],[hora]],"HHmm"))</f>
        <v>30320261800</v>
      </c>
      <c r="S119" s="19" t="str">
        <f>_xlfn.CONCAT(Tabla1[[#This Row],[codigo_]],Tabla1[[#This Row],[correlativo_]])</f>
        <v>30320261800838</v>
      </c>
      <c r="T119" s="2" t="str">
        <f t="shared" si="7"/>
        <v>3 de marzo del 2026</v>
      </c>
      <c r="U119" s="2" t="str">
        <f>_xlfn.XLOOKUP(Tabla1[[#This Row],[instructor_2]],diccionario_!$A$1:$A$11,diccionario_!$D$1:$D$11,,0)</f>
        <v>Marcelo Barrera A.</v>
      </c>
      <c r="V119" s="2" t="str">
        <f t="shared" si="5"/>
        <v>100%</v>
      </c>
      <c r="W119" s="2" t="s">
        <v>3620</v>
      </c>
    </row>
    <row r="120" spans="1:23" ht="16.5" customHeight="1">
      <c r="A120" s="2">
        <v>839</v>
      </c>
      <c r="B120" s="24" t="s">
        <v>7</v>
      </c>
      <c r="C120" s="24" t="s">
        <v>8</v>
      </c>
      <c r="D120" s="24" t="s">
        <v>9</v>
      </c>
      <c r="E120" s="11">
        <v>46084</v>
      </c>
      <c r="F120" s="14">
        <v>0.66666666666666696</v>
      </c>
      <c r="G120" s="24" t="s">
        <v>2461</v>
      </c>
      <c r="H120" s="24" t="s">
        <v>2462</v>
      </c>
      <c r="I120" s="24" t="s">
        <v>11</v>
      </c>
      <c r="J120" s="24" t="s">
        <v>30</v>
      </c>
      <c r="K120" s="24" t="s">
        <v>37</v>
      </c>
      <c r="L120" s="24"/>
      <c r="M120" s="24"/>
      <c r="N120" s="27" t="s">
        <v>37</v>
      </c>
      <c r="O120" s="6">
        <v>1</v>
      </c>
      <c r="P120" s="2" t="s">
        <v>3503</v>
      </c>
      <c r="Q120" s="24" t="str">
        <f>IF(Tabla1[[#This Row],[evaluacion_]]="","",IF(Tabla1[[#This Row],[evaluacion_]]=1,"Habilitado","No Habilitado"))</f>
        <v>Habilitado</v>
      </c>
      <c r="R120" s="2" t="str">
        <f>IF(Tabla1[[#This Row],[fecha]]="","",TEXT(Tabla1[[#This Row],[fecha]],"DMMAAAA")&amp;TEXT(Tabla1[[#This Row],[hora]],"HHmm"))</f>
        <v>30320261600</v>
      </c>
      <c r="S120" s="19" t="str">
        <f>_xlfn.CONCAT(Tabla1[[#This Row],[codigo_]],Tabla1[[#This Row],[correlativo_]])</f>
        <v>30320261600839</v>
      </c>
      <c r="T120" s="2" t="str">
        <f t="shared" si="7"/>
        <v>3 de marzo del 2026</v>
      </c>
      <c r="U120" s="2" t="str">
        <f>_xlfn.XLOOKUP(Tabla1[[#This Row],[instructor_2]],diccionario_!$A$1:$A$11,diccionario_!$D$1:$D$11,,0)</f>
        <v>Marcelo Barrera A.</v>
      </c>
      <c r="V120" s="2" t="str">
        <f t="shared" si="5"/>
        <v>100%</v>
      </c>
      <c r="W120" s="2" t="s">
        <v>3620</v>
      </c>
    </row>
    <row r="121" spans="1:23" ht="16.5" customHeight="1">
      <c r="A121" s="2">
        <v>840</v>
      </c>
      <c r="B121" s="24" t="s">
        <v>7</v>
      </c>
      <c r="C121" s="24" t="s">
        <v>8</v>
      </c>
      <c r="D121" s="24" t="s">
        <v>9</v>
      </c>
      <c r="E121" s="11">
        <v>46084</v>
      </c>
      <c r="F121" s="14">
        <v>0.66666666666666696</v>
      </c>
      <c r="G121" s="24" t="s">
        <v>2873</v>
      </c>
      <c r="H121" s="24" t="s">
        <v>2874</v>
      </c>
      <c r="I121" s="24" t="s">
        <v>11</v>
      </c>
      <c r="J121" s="24" t="s">
        <v>30</v>
      </c>
      <c r="K121" s="24" t="s">
        <v>37</v>
      </c>
      <c r="L121" s="24"/>
      <c r="M121" s="24"/>
      <c r="N121" s="27" t="s">
        <v>37</v>
      </c>
      <c r="O121" s="6">
        <v>1</v>
      </c>
      <c r="P121" s="2" t="s">
        <v>3503</v>
      </c>
      <c r="Q121" s="24" t="str">
        <f>IF(Tabla1[[#This Row],[evaluacion_]]="","",IF(Tabla1[[#This Row],[evaluacion_]]=1,"Habilitado","No Habilitado"))</f>
        <v>Habilitado</v>
      </c>
      <c r="R121" s="2" t="str">
        <f>IF(Tabla1[[#This Row],[fecha]]="","",TEXT(Tabla1[[#This Row],[fecha]],"DMMAAAA")&amp;TEXT(Tabla1[[#This Row],[hora]],"HHmm"))</f>
        <v>30320261600</v>
      </c>
      <c r="S121" s="19" t="str">
        <f>_xlfn.CONCAT(Tabla1[[#This Row],[codigo_]],Tabla1[[#This Row],[correlativo_]])</f>
        <v>30320261600840</v>
      </c>
      <c r="T121" s="2" t="str">
        <f t="shared" si="7"/>
        <v>3 de marzo del 2026</v>
      </c>
      <c r="U121" s="2" t="str">
        <f>_xlfn.XLOOKUP(Tabla1[[#This Row],[instructor_2]],diccionario_!$A$1:$A$11,diccionario_!$D$1:$D$11,,0)</f>
        <v>Marcelo Barrera A.</v>
      </c>
      <c r="V121" s="2" t="str">
        <f t="shared" si="5"/>
        <v>100%</v>
      </c>
      <c r="W121" s="2" t="s">
        <v>3620</v>
      </c>
    </row>
    <row r="122" spans="1:23" ht="16.5" customHeight="1">
      <c r="A122" s="2">
        <v>841</v>
      </c>
      <c r="B122" s="24" t="s">
        <v>7</v>
      </c>
      <c r="C122" s="24" t="s">
        <v>8</v>
      </c>
      <c r="D122" s="24" t="s">
        <v>9</v>
      </c>
      <c r="E122" s="11">
        <v>46085</v>
      </c>
      <c r="F122" s="14">
        <v>0.70833333333333304</v>
      </c>
      <c r="G122" s="24" t="s">
        <v>235</v>
      </c>
      <c r="H122" s="24" t="s">
        <v>236</v>
      </c>
      <c r="I122" s="24" t="s">
        <v>11</v>
      </c>
      <c r="J122" s="24" t="s">
        <v>12</v>
      </c>
      <c r="K122" s="24" t="s">
        <v>13</v>
      </c>
      <c r="L122" s="24"/>
      <c r="M122" s="24"/>
      <c r="N122" s="27" t="s">
        <v>13</v>
      </c>
      <c r="O122" s="6">
        <v>1</v>
      </c>
      <c r="P122" s="2" t="s">
        <v>3503</v>
      </c>
      <c r="Q122" s="24" t="str">
        <f>IF(Tabla1[[#This Row],[evaluacion_]]="","",IF(Tabla1[[#This Row],[evaluacion_]]=1,"Habilitado","No Habilitado"))</f>
        <v>Habilitado</v>
      </c>
      <c r="R122" s="2" t="str">
        <f>IF(Tabla1[[#This Row],[fecha]]="","",TEXT(Tabla1[[#This Row],[fecha]],"DMMAAAA")&amp;TEXT(Tabla1[[#This Row],[hora]],"HHmm"))</f>
        <v>40320261700</v>
      </c>
      <c r="S122" s="19" t="str">
        <f>_xlfn.CONCAT(Tabla1[[#This Row],[codigo_]],Tabla1[[#This Row],[correlativo_]])</f>
        <v>40320261700841</v>
      </c>
      <c r="T122" s="2" t="str">
        <f t="shared" si="7"/>
        <v>4 de marzo del 2026</v>
      </c>
      <c r="U122" s="2" t="str">
        <f>_xlfn.XLOOKUP(Tabla1[[#This Row],[instructor_2]],diccionario_!$A$1:$A$11,diccionario_!$D$1:$D$11,,0)</f>
        <v>Marcelo Barrera A.</v>
      </c>
      <c r="V122" s="2" t="str">
        <f t="shared" si="5"/>
        <v>100%</v>
      </c>
      <c r="W122" s="2" t="s">
        <v>3621</v>
      </c>
    </row>
    <row r="123" spans="1:23" ht="16.5" customHeight="1">
      <c r="A123" s="2">
        <v>842</v>
      </c>
      <c r="B123" s="24" t="s">
        <v>7</v>
      </c>
      <c r="C123" s="24" t="s">
        <v>8</v>
      </c>
      <c r="D123" s="24" t="s">
        <v>9</v>
      </c>
      <c r="E123" s="11">
        <v>46085</v>
      </c>
      <c r="F123" s="14">
        <v>0.70833333333333304</v>
      </c>
      <c r="G123" s="24" t="s">
        <v>235</v>
      </c>
      <c r="H123" s="24" t="s">
        <v>236</v>
      </c>
      <c r="I123" s="24" t="s">
        <v>23</v>
      </c>
      <c r="J123" s="24" t="s">
        <v>12</v>
      </c>
      <c r="K123" s="24" t="s">
        <v>41</v>
      </c>
      <c r="L123" s="24"/>
      <c r="M123" s="24"/>
      <c r="N123" s="27" t="s">
        <v>41</v>
      </c>
      <c r="O123" s="6">
        <v>1</v>
      </c>
      <c r="P123" s="2" t="s">
        <v>3503</v>
      </c>
      <c r="Q123" s="24" t="str">
        <f>IF(Tabla1[[#This Row],[evaluacion_]]="","",IF(Tabla1[[#This Row],[evaluacion_]]=1,"Habilitado","No Habilitado"))</f>
        <v>Habilitado</v>
      </c>
      <c r="R123" s="2" t="str">
        <f>IF(Tabla1[[#This Row],[fecha]]="","",TEXT(Tabla1[[#This Row],[fecha]],"DMMAAAA")&amp;TEXT(Tabla1[[#This Row],[hora]],"HHmm"))</f>
        <v>40320261700</v>
      </c>
      <c r="S123" s="19" t="str">
        <f>_xlfn.CONCAT(Tabla1[[#This Row],[codigo_]],Tabla1[[#This Row],[correlativo_]])</f>
        <v>40320261700842</v>
      </c>
      <c r="T123" s="2" t="str">
        <f t="shared" si="7"/>
        <v>4 de marzo del 2026</v>
      </c>
      <c r="U123" s="2" t="str">
        <f>_xlfn.XLOOKUP(Tabla1[[#This Row],[instructor_2]],diccionario_!$A$1:$A$11,diccionario_!$D$1:$D$11,,0)</f>
        <v>Marcelo Barrera A.</v>
      </c>
      <c r="V123" s="2" t="str">
        <f t="shared" si="5"/>
        <v>100%</v>
      </c>
      <c r="W123" s="2" t="s">
        <v>3621</v>
      </c>
    </row>
    <row r="124" spans="1:23" ht="16.5" customHeight="1">
      <c r="A124" s="2">
        <v>843</v>
      </c>
      <c r="B124" s="24" t="s">
        <v>7</v>
      </c>
      <c r="C124" s="24" t="s">
        <v>8</v>
      </c>
      <c r="D124" s="24" t="s">
        <v>9</v>
      </c>
      <c r="E124" s="11">
        <v>46085</v>
      </c>
      <c r="F124" s="14">
        <v>0.66666666666666696</v>
      </c>
      <c r="G124" s="24" t="s">
        <v>3337</v>
      </c>
      <c r="H124" s="24" t="s">
        <v>3338</v>
      </c>
      <c r="I124" s="24" t="s">
        <v>11</v>
      </c>
      <c r="J124" s="24" t="s">
        <v>12</v>
      </c>
      <c r="K124" s="24" t="s">
        <v>13</v>
      </c>
      <c r="L124" s="24"/>
      <c r="M124" s="24"/>
      <c r="N124" s="27" t="s">
        <v>13</v>
      </c>
      <c r="O124" s="6">
        <v>1</v>
      </c>
      <c r="P124" s="2" t="s">
        <v>3503</v>
      </c>
      <c r="Q124" s="24" t="str">
        <f>IF(Tabla1[[#This Row],[evaluacion_]]="","",IF(Tabla1[[#This Row],[evaluacion_]]=1,"Habilitado","No Habilitado"))</f>
        <v>Habilitado</v>
      </c>
      <c r="R124" s="2" t="str">
        <f>IF(Tabla1[[#This Row],[fecha]]="","",TEXT(Tabla1[[#This Row],[fecha]],"DMMAAAA")&amp;TEXT(Tabla1[[#This Row],[hora]],"HHmm"))</f>
        <v>40320261600</v>
      </c>
      <c r="S124" s="19" t="str">
        <f>_xlfn.CONCAT(Tabla1[[#This Row],[codigo_]],Tabla1[[#This Row],[correlativo_]])</f>
        <v>40320261600843</v>
      </c>
      <c r="T124" s="2" t="str">
        <f t="shared" si="7"/>
        <v>4 de marzo del 2026</v>
      </c>
      <c r="U124" s="2" t="str">
        <f>_xlfn.XLOOKUP(Tabla1[[#This Row],[instructor_2]],diccionario_!$A$1:$A$11,diccionario_!$D$1:$D$11,,0)</f>
        <v>Marcelo Barrera A.</v>
      </c>
      <c r="V124" s="2" t="str">
        <f t="shared" si="5"/>
        <v>100%</v>
      </c>
      <c r="W124" s="2" t="s">
        <v>3621</v>
      </c>
    </row>
    <row r="125" spans="1:23" ht="16.5" customHeight="1">
      <c r="A125" s="2">
        <v>844</v>
      </c>
      <c r="B125" s="24" t="s">
        <v>7</v>
      </c>
      <c r="C125" s="24" t="s">
        <v>8</v>
      </c>
      <c r="D125" s="24" t="s">
        <v>9</v>
      </c>
      <c r="E125" s="11">
        <v>46085</v>
      </c>
      <c r="F125" s="14">
        <v>0.70833333333333304</v>
      </c>
      <c r="G125" s="24" t="s">
        <v>3337</v>
      </c>
      <c r="H125" s="24" t="s">
        <v>3338</v>
      </c>
      <c r="I125" s="24" t="s">
        <v>17</v>
      </c>
      <c r="J125" s="24" t="s">
        <v>12</v>
      </c>
      <c r="K125" s="24" t="s">
        <v>49</v>
      </c>
      <c r="L125" s="24"/>
      <c r="M125" s="24"/>
      <c r="N125" s="27" t="s">
        <v>49</v>
      </c>
      <c r="O125" s="6">
        <v>1</v>
      </c>
      <c r="P125" s="2" t="s">
        <v>3503</v>
      </c>
      <c r="Q125" s="24" t="str">
        <f>IF(Tabla1[[#This Row],[evaluacion_]]="","",IF(Tabla1[[#This Row],[evaluacion_]]=1,"Habilitado","No Habilitado"))</f>
        <v>Habilitado</v>
      </c>
      <c r="R125" s="2" t="str">
        <f>IF(Tabla1[[#This Row],[fecha]]="","",TEXT(Tabla1[[#This Row],[fecha]],"DMMAAAA")&amp;TEXT(Tabla1[[#This Row],[hora]],"HHmm"))</f>
        <v>40320261700</v>
      </c>
      <c r="S125" s="19" t="str">
        <f>_xlfn.CONCAT(Tabla1[[#This Row],[codigo_]],Tabla1[[#This Row],[correlativo_]])</f>
        <v>40320261700844</v>
      </c>
      <c r="T125" s="2" t="str">
        <f t="shared" si="7"/>
        <v>4 de marzo del 2026</v>
      </c>
      <c r="U125" s="2" t="str">
        <f>_xlfn.XLOOKUP(Tabla1[[#This Row],[instructor_2]],diccionario_!$A$1:$A$11,diccionario_!$D$1:$D$11,,0)</f>
        <v>Marcelo Barrera A.</v>
      </c>
      <c r="V125" s="2" t="str">
        <f t="shared" si="5"/>
        <v>100%</v>
      </c>
      <c r="W125" s="2" t="s">
        <v>3621</v>
      </c>
    </row>
    <row r="126" spans="1:23" ht="16.5" customHeight="1">
      <c r="A126" s="2">
        <v>845</v>
      </c>
      <c r="B126" s="24" t="s">
        <v>7</v>
      </c>
      <c r="C126" s="24" t="s">
        <v>8</v>
      </c>
      <c r="D126" s="24" t="s">
        <v>9</v>
      </c>
      <c r="E126" s="11">
        <v>46085</v>
      </c>
      <c r="F126" s="14">
        <v>0.70833333333333304</v>
      </c>
      <c r="G126" s="24" t="s">
        <v>3337</v>
      </c>
      <c r="H126" s="24" t="s">
        <v>3338</v>
      </c>
      <c r="I126" s="24" t="s">
        <v>11</v>
      </c>
      <c r="J126" s="24" t="s">
        <v>30</v>
      </c>
      <c r="K126" s="24" t="s">
        <v>37</v>
      </c>
      <c r="L126" s="24"/>
      <c r="M126" s="24"/>
      <c r="N126" s="27" t="s">
        <v>37</v>
      </c>
      <c r="O126" s="6">
        <v>1</v>
      </c>
      <c r="P126" s="2" t="s">
        <v>3503</v>
      </c>
      <c r="Q126" s="24" t="str">
        <f>IF(Tabla1[[#This Row],[evaluacion_]]="","",IF(Tabla1[[#This Row],[evaluacion_]]=1,"Habilitado","No Habilitado"))</f>
        <v>Habilitado</v>
      </c>
      <c r="R126" s="2" t="str">
        <f>IF(Tabla1[[#This Row],[fecha]]="","",TEXT(Tabla1[[#This Row],[fecha]],"DMMAAAA")&amp;TEXT(Tabla1[[#This Row],[hora]],"HHmm"))</f>
        <v>40320261700</v>
      </c>
      <c r="S126" s="19" t="str">
        <f>_xlfn.CONCAT(Tabla1[[#This Row],[codigo_]],Tabla1[[#This Row],[correlativo_]])</f>
        <v>40320261700845</v>
      </c>
      <c r="T126" s="2" t="str">
        <f t="shared" si="7"/>
        <v>4 de marzo del 2026</v>
      </c>
      <c r="U126" s="2" t="str">
        <f>_xlfn.XLOOKUP(Tabla1[[#This Row],[instructor_2]],diccionario_!$A$1:$A$11,diccionario_!$D$1:$D$11,,0)</f>
        <v>Marcelo Barrera A.</v>
      </c>
      <c r="V126" s="2" t="str">
        <f t="shared" si="5"/>
        <v>100%</v>
      </c>
      <c r="W126" s="2" t="s">
        <v>3621</v>
      </c>
    </row>
    <row r="127" spans="1:23" ht="16.5" customHeight="1">
      <c r="A127" s="2">
        <v>846</v>
      </c>
      <c r="B127" s="24" t="s">
        <v>7</v>
      </c>
      <c r="C127" s="24" t="s">
        <v>8</v>
      </c>
      <c r="D127" s="24" t="s">
        <v>9</v>
      </c>
      <c r="E127" s="11">
        <v>46085</v>
      </c>
      <c r="F127" s="14">
        <v>0.5</v>
      </c>
      <c r="G127" s="24" t="s">
        <v>1445</v>
      </c>
      <c r="H127" s="24" t="s">
        <v>1446</v>
      </c>
      <c r="I127" s="24" t="s">
        <v>11</v>
      </c>
      <c r="J127" s="24" t="s">
        <v>12</v>
      </c>
      <c r="K127" s="24" t="s">
        <v>13</v>
      </c>
      <c r="L127" s="24"/>
      <c r="M127" s="24"/>
      <c r="N127" s="27" t="s">
        <v>13</v>
      </c>
      <c r="O127" s="6">
        <v>1</v>
      </c>
      <c r="P127" s="2" t="s">
        <v>3503</v>
      </c>
      <c r="Q127" s="24" t="str">
        <f>IF(Tabla1[[#This Row],[evaluacion_]]="","",IF(Tabla1[[#This Row],[evaluacion_]]=1,"Habilitado","No Habilitado"))</f>
        <v>Habilitado</v>
      </c>
      <c r="R127" s="2" t="str">
        <f>IF(Tabla1[[#This Row],[fecha]]="","",TEXT(Tabla1[[#This Row],[fecha]],"DMMAAAA")&amp;TEXT(Tabla1[[#This Row],[hora]],"HHmm"))</f>
        <v>40320261200</v>
      </c>
      <c r="S127" s="19" t="str">
        <f>_xlfn.CONCAT(Tabla1[[#This Row],[codigo_]],Tabla1[[#This Row],[correlativo_]])</f>
        <v>40320261200846</v>
      </c>
      <c r="T127" s="2" t="str">
        <f t="shared" si="7"/>
        <v>4 de marzo del 2026</v>
      </c>
      <c r="U127" s="2" t="str">
        <f>_xlfn.XLOOKUP(Tabla1[[#This Row],[instructor_2]],diccionario_!$A$1:$A$11,diccionario_!$D$1:$D$11,,0)</f>
        <v>Marcelo Barrera A.</v>
      </c>
      <c r="V127" s="2" t="str">
        <f t="shared" si="5"/>
        <v>100%</v>
      </c>
      <c r="W127" s="2" t="s">
        <v>3621</v>
      </c>
    </row>
    <row r="128" spans="1:23" ht="16.5" customHeight="1">
      <c r="A128" s="2">
        <v>847</v>
      </c>
      <c r="B128" s="24" t="s">
        <v>7</v>
      </c>
      <c r="C128" s="24" t="s">
        <v>8</v>
      </c>
      <c r="D128" s="24" t="s">
        <v>9</v>
      </c>
      <c r="E128" s="11">
        <v>46085</v>
      </c>
      <c r="F128" s="14">
        <v>0.54166666666666696</v>
      </c>
      <c r="G128" s="24" t="s">
        <v>1445</v>
      </c>
      <c r="H128" s="24" t="s">
        <v>1446</v>
      </c>
      <c r="I128" s="24" t="s">
        <v>17</v>
      </c>
      <c r="J128" s="24" t="s">
        <v>12</v>
      </c>
      <c r="K128" s="24" t="s">
        <v>49</v>
      </c>
      <c r="L128" s="24"/>
      <c r="M128" s="24"/>
      <c r="N128" s="27" t="s">
        <v>49</v>
      </c>
      <c r="O128" s="6">
        <v>1</v>
      </c>
      <c r="P128" s="2" t="s">
        <v>3503</v>
      </c>
      <c r="Q128" s="24" t="str">
        <f>IF(Tabla1[[#This Row],[evaluacion_]]="","",IF(Tabla1[[#This Row],[evaluacion_]]=1,"Habilitado","No Habilitado"))</f>
        <v>Habilitado</v>
      </c>
      <c r="R128" s="2" t="str">
        <f>IF(Tabla1[[#This Row],[fecha]]="","",TEXT(Tabla1[[#This Row],[fecha]],"DMMAAAA")&amp;TEXT(Tabla1[[#This Row],[hora]],"HHmm"))</f>
        <v>40320261300</v>
      </c>
      <c r="S128" s="19" t="str">
        <f>_xlfn.CONCAT(Tabla1[[#This Row],[codigo_]],Tabla1[[#This Row],[correlativo_]])</f>
        <v>40320261300847</v>
      </c>
      <c r="T128" s="2" t="str">
        <f t="shared" si="7"/>
        <v>4 de marzo del 2026</v>
      </c>
      <c r="U128" s="2" t="str">
        <f>_xlfn.XLOOKUP(Tabla1[[#This Row],[instructor_2]],diccionario_!$A$1:$A$11,diccionario_!$D$1:$D$11,,0)</f>
        <v>Marcelo Barrera A.</v>
      </c>
      <c r="V128" s="2" t="str">
        <f t="shared" si="5"/>
        <v>100%</v>
      </c>
      <c r="W128" s="2" t="s">
        <v>3621</v>
      </c>
    </row>
    <row r="129" spans="1:23" ht="16.5" customHeight="1">
      <c r="A129" s="2">
        <v>848</v>
      </c>
      <c r="B129" s="24" t="s">
        <v>7</v>
      </c>
      <c r="C129" s="24" t="s">
        <v>8</v>
      </c>
      <c r="D129" s="24" t="s">
        <v>9</v>
      </c>
      <c r="E129" s="11">
        <v>46085</v>
      </c>
      <c r="F129" s="14">
        <v>0.625</v>
      </c>
      <c r="G129" s="24" t="s">
        <v>1445</v>
      </c>
      <c r="H129" s="24" t="s">
        <v>1446</v>
      </c>
      <c r="I129" s="24" t="s">
        <v>11</v>
      </c>
      <c r="J129" s="24" t="s">
        <v>36</v>
      </c>
      <c r="K129" s="24" t="s">
        <v>37</v>
      </c>
      <c r="L129" s="24"/>
      <c r="M129" s="24"/>
      <c r="N129" s="27" t="s">
        <v>37</v>
      </c>
      <c r="O129" s="6">
        <v>1</v>
      </c>
      <c r="P129" s="2" t="s">
        <v>3503</v>
      </c>
      <c r="Q129" s="24" t="str">
        <f>IF(Tabla1[[#This Row],[evaluacion_]]="","",IF(Tabla1[[#This Row],[evaluacion_]]=1,"Habilitado","No Habilitado"))</f>
        <v>Habilitado</v>
      </c>
      <c r="R129" s="2" t="str">
        <f>IF(Tabla1[[#This Row],[fecha]]="","",TEXT(Tabla1[[#This Row],[fecha]],"DMMAAAA")&amp;TEXT(Tabla1[[#This Row],[hora]],"HHmm"))</f>
        <v>40320261500</v>
      </c>
      <c r="S129" s="19" t="str">
        <f>_xlfn.CONCAT(Tabla1[[#This Row],[codigo_]],Tabla1[[#This Row],[correlativo_]])</f>
        <v>40320261500848</v>
      </c>
      <c r="T129" s="2" t="str">
        <f t="shared" si="7"/>
        <v>4 de marzo del 2026</v>
      </c>
      <c r="U129" s="2" t="str">
        <f>_xlfn.XLOOKUP(Tabla1[[#This Row],[instructor_2]],diccionario_!$A$1:$A$11,diccionario_!$D$1:$D$11,,0)</f>
        <v>Marcelo Barrera A.</v>
      </c>
      <c r="V129" s="2" t="str">
        <f t="shared" si="5"/>
        <v>100%</v>
      </c>
      <c r="W129" s="2" t="s">
        <v>3621</v>
      </c>
    </row>
    <row r="130" spans="1:23" ht="16.5" customHeight="1">
      <c r="A130" s="2">
        <v>849</v>
      </c>
      <c r="B130" s="24" t="s">
        <v>7</v>
      </c>
      <c r="C130" s="24" t="s">
        <v>8</v>
      </c>
      <c r="D130" s="24" t="s">
        <v>9</v>
      </c>
      <c r="E130" s="11">
        <v>46086</v>
      </c>
      <c r="F130" s="14">
        <v>0.33333333333333298</v>
      </c>
      <c r="G130" s="24" t="s">
        <v>235</v>
      </c>
      <c r="H130" s="24" t="s">
        <v>236</v>
      </c>
      <c r="I130" s="24" t="s">
        <v>11</v>
      </c>
      <c r="J130" s="24" t="s">
        <v>30</v>
      </c>
      <c r="K130" s="24" t="s">
        <v>37</v>
      </c>
      <c r="L130" s="24" t="s">
        <v>25</v>
      </c>
      <c r="M130" s="24"/>
      <c r="N130" s="27" t="s">
        <v>3526</v>
      </c>
      <c r="O130" s="6">
        <v>1</v>
      </c>
      <c r="P130" s="2" t="s">
        <v>3503</v>
      </c>
      <c r="Q130" s="24" t="str">
        <f>IF(Tabla1[[#This Row],[evaluacion_]]="","",IF(Tabla1[[#This Row],[evaluacion_]]=1,"Habilitado","No Habilitado"))</f>
        <v>Habilitado</v>
      </c>
      <c r="R130" s="2" t="str">
        <f>IF(Tabla1[[#This Row],[fecha]]="","",TEXT(Tabla1[[#This Row],[fecha]],"DMMAAAA")&amp;TEXT(Tabla1[[#This Row],[hora]],"HHmm"))</f>
        <v>50320260800</v>
      </c>
      <c r="S130" s="19" t="str">
        <f>_xlfn.CONCAT(Tabla1[[#This Row],[codigo_]],Tabla1[[#This Row],[correlativo_]])</f>
        <v>50320260800849</v>
      </c>
      <c r="T130" s="2" t="str">
        <f t="shared" si="7"/>
        <v>5 de marzo del 2026</v>
      </c>
      <c r="U130" s="2" t="str">
        <f>_xlfn.XLOOKUP(Tabla1[[#This Row],[instructor_2]],diccionario_!$A$1:$A$11,diccionario_!$D$1:$D$11,,0)</f>
        <v>Marcelo Barrera A.</v>
      </c>
      <c r="V130" s="2" t="str">
        <f t="shared" si="5"/>
        <v>100%</v>
      </c>
      <c r="W130" s="2" t="s">
        <v>3622</v>
      </c>
    </row>
    <row r="131" spans="1:23" ht="16.5" customHeight="1">
      <c r="A131" s="2">
        <v>850</v>
      </c>
      <c r="B131" s="24" t="s">
        <v>32</v>
      </c>
      <c r="C131" s="24" t="s">
        <v>33</v>
      </c>
      <c r="D131" s="24" t="s">
        <v>9</v>
      </c>
      <c r="E131" s="11">
        <v>46090</v>
      </c>
      <c r="F131" s="14">
        <v>0.45833333333333298</v>
      </c>
      <c r="G131" s="24" t="s">
        <v>885</v>
      </c>
      <c r="H131" s="24" t="s">
        <v>886</v>
      </c>
      <c r="I131" s="24" t="s">
        <v>11</v>
      </c>
      <c r="J131" s="24" t="s">
        <v>36</v>
      </c>
      <c r="K131" s="24" t="s">
        <v>25</v>
      </c>
      <c r="L131" s="24"/>
      <c r="M131" s="24"/>
      <c r="N131" s="27" t="s">
        <v>25</v>
      </c>
      <c r="O131" s="6">
        <v>1</v>
      </c>
      <c r="P131" s="2" t="s">
        <v>3503</v>
      </c>
      <c r="Q131" s="24" t="str">
        <f>IF(Tabla1[[#This Row],[evaluacion_]]="","",IF(Tabla1[[#This Row],[evaluacion_]]=1,"Habilitado","No Habilitado"))</f>
        <v>Habilitado</v>
      </c>
      <c r="R131" s="2" t="str">
        <f>IF(Tabla1[[#This Row],[fecha]]="","",TEXT(Tabla1[[#This Row],[fecha]],"DMMAAAA")&amp;TEXT(Tabla1[[#This Row],[hora]],"HHmm"))</f>
        <v>90320261100</v>
      </c>
      <c r="S131" s="19" t="str">
        <f>_xlfn.CONCAT(Tabla1[[#This Row],[codigo_]],Tabla1[[#This Row],[correlativo_]])</f>
        <v>90320261100850</v>
      </c>
      <c r="T131" s="2" t="str">
        <f t="shared" si="7"/>
        <v>9 de marzo del 2026</v>
      </c>
      <c r="U131" s="2" t="str">
        <f>_xlfn.XLOOKUP(Tabla1[[#This Row],[instructor_2]],diccionario_!$A$1:$A$11,diccionario_!$D$1:$D$11,,0)</f>
        <v>Guillermo Milla M.</v>
      </c>
      <c r="V131" s="2" t="str">
        <f t="shared" ref="V131:V144" si="8">TEXT(O131,"0%")</f>
        <v>100%</v>
      </c>
      <c r="W131" s="2" t="s">
        <v>3623</v>
      </c>
    </row>
    <row r="132" spans="1:23" ht="16.5" customHeight="1">
      <c r="A132" s="2">
        <v>851</v>
      </c>
      <c r="B132" s="24" t="s">
        <v>32</v>
      </c>
      <c r="C132" s="24" t="s">
        <v>33</v>
      </c>
      <c r="D132" s="24" t="s">
        <v>9</v>
      </c>
      <c r="E132" s="11">
        <v>46042</v>
      </c>
      <c r="F132" s="14">
        <v>0.75</v>
      </c>
      <c r="G132" s="24" t="s">
        <v>2309</v>
      </c>
      <c r="H132" s="24" t="s">
        <v>2310</v>
      </c>
      <c r="I132" s="24" t="s">
        <v>11</v>
      </c>
      <c r="J132" s="24" t="s">
        <v>30</v>
      </c>
      <c r="K132" s="24" t="s">
        <v>37</v>
      </c>
      <c r="L132" s="24" t="s">
        <v>25</v>
      </c>
      <c r="M132" s="24"/>
      <c r="N132" s="27" t="s">
        <v>3526</v>
      </c>
      <c r="O132" s="6">
        <v>1</v>
      </c>
      <c r="P132" s="2" t="s">
        <v>3503</v>
      </c>
      <c r="Q132" s="24" t="str">
        <f>IF(Tabla1[[#This Row],[evaluacion_]]="","",IF(Tabla1[[#This Row],[evaluacion_]]=1,"Habilitado","No Habilitado"))</f>
        <v>Habilitado</v>
      </c>
      <c r="R132" s="2" t="str">
        <f>IF(Tabla1[[#This Row],[fecha]]="","",TEXT(Tabla1[[#This Row],[fecha]],"DMMAAAA")&amp;TEXT(Tabla1[[#This Row],[hora]],"HHmm"))</f>
        <v>200120261800</v>
      </c>
      <c r="S132" s="19" t="str">
        <f>_xlfn.CONCAT(Tabla1[[#This Row],[codigo_]],Tabla1[[#This Row],[correlativo_]])</f>
        <v>200120261800851</v>
      </c>
      <c r="T132" s="2" t="str">
        <f t="shared" si="7"/>
        <v>20 de enero del 2026</v>
      </c>
      <c r="U132" s="2" t="str">
        <f>_xlfn.XLOOKUP(Tabla1[[#This Row],[instructor_2]],diccionario_!$A$1:$A$11,diccionario_!$D$1:$D$11,,0)</f>
        <v>Guillermo Milla M.</v>
      </c>
      <c r="V132" s="2" t="str">
        <f t="shared" si="8"/>
        <v>100%</v>
      </c>
      <c r="W132" s="2" t="s">
        <v>3624</v>
      </c>
    </row>
    <row r="133" spans="1:23" ht="16.5" customHeight="1">
      <c r="A133" s="2">
        <v>852</v>
      </c>
      <c r="B133" s="24" t="s">
        <v>32</v>
      </c>
      <c r="C133" s="24" t="s">
        <v>33</v>
      </c>
      <c r="D133" s="24" t="s">
        <v>9</v>
      </c>
      <c r="E133" s="11">
        <v>46042</v>
      </c>
      <c r="F133" s="14">
        <v>0.75</v>
      </c>
      <c r="G133" s="24" t="s">
        <v>2309</v>
      </c>
      <c r="H133" s="24" t="s">
        <v>2310</v>
      </c>
      <c r="I133" s="24" t="s">
        <v>38</v>
      </c>
      <c r="J133" s="24" t="s">
        <v>36</v>
      </c>
      <c r="K133" s="24" t="s">
        <v>48</v>
      </c>
      <c r="L133" s="24"/>
      <c r="M133" s="24"/>
      <c r="N133" s="27" t="s">
        <v>48</v>
      </c>
      <c r="O133" s="6">
        <v>1</v>
      </c>
      <c r="P133" s="2" t="s">
        <v>3503</v>
      </c>
      <c r="Q133" s="24" t="str">
        <f>IF(Tabla1[[#This Row],[evaluacion_]]="","",IF(Tabla1[[#This Row],[evaluacion_]]=1,"Habilitado","No Habilitado"))</f>
        <v>Habilitado</v>
      </c>
      <c r="R133" s="2" t="str">
        <f>IF(Tabla1[[#This Row],[fecha]]="","",TEXT(Tabla1[[#This Row],[fecha]],"DMMAAAA")&amp;TEXT(Tabla1[[#This Row],[hora]],"HHmm"))</f>
        <v>200120261800</v>
      </c>
      <c r="S133" s="19" t="str">
        <f>_xlfn.CONCAT(Tabla1[[#This Row],[codigo_]],Tabla1[[#This Row],[correlativo_]])</f>
        <v>200120261800852</v>
      </c>
      <c r="T133" s="2" t="str">
        <f t="shared" si="7"/>
        <v>20 de enero del 2026</v>
      </c>
      <c r="U133" s="2" t="str">
        <f>_xlfn.XLOOKUP(Tabla1[[#This Row],[instructor_2]],diccionario_!$A$1:$A$11,diccionario_!$D$1:$D$11,,0)</f>
        <v>Guillermo Milla M.</v>
      </c>
      <c r="V133" s="2" t="str">
        <f t="shared" si="8"/>
        <v>100%</v>
      </c>
      <c r="W133" s="2" t="s">
        <v>3624</v>
      </c>
    </row>
    <row r="134" spans="1:23" ht="16.5" customHeight="1">
      <c r="A134" s="2">
        <v>853</v>
      </c>
      <c r="B134" s="24" t="s">
        <v>32</v>
      </c>
      <c r="C134" s="24" t="s">
        <v>33</v>
      </c>
      <c r="D134" s="24" t="s">
        <v>9</v>
      </c>
      <c r="E134" s="11">
        <v>46037</v>
      </c>
      <c r="F134" s="14">
        <v>0.75</v>
      </c>
      <c r="G134" s="24" t="s">
        <v>3419</v>
      </c>
      <c r="H134" s="24" t="s">
        <v>3420</v>
      </c>
      <c r="I134" s="24" t="s">
        <v>11</v>
      </c>
      <c r="J134" s="24" t="s">
        <v>30</v>
      </c>
      <c r="K134" s="24" t="s">
        <v>37</v>
      </c>
      <c r="L134" s="24" t="s">
        <v>25</v>
      </c>
      <c r="M134" s="24"/>
      <c r="N134" s="27" t="s">
        <v>3526</v>
      </c>
      <c r="O134" s="6">
        <v>1</v>
      </c>
      <c r="P134" s="2" t="s">
        <v>3503</v>
      </c>
      <c r="Q134" s="24" t="str">
        <f>IF(Tabla1[[#This Row],[evaluacion_]]="","",IF(Tabla1[[#This Row],[evaluacion_]]=1,"Habilitado","No Habilitado"))</f>
        <v>Habilitado</v>
      </c>
      <c r="R134" s="2" t="str">
        <f>IF(Tabla1[[#This Row],[fecha]]="","",TEXT(Tabla1[[#This Row],[fecha]],"DMMAAAA")&amp;TEXT(Tabla1[[#This Row],[hora]],"HHmm"))</f>
        <v>150120261800</v>
      </c>
      <c r="S134" s="19" t="str">
        <f>_xlfn.CONCAT(Tabla1[[#This Row],[codigo_]],Tabla1[[#This Row],[correlativo_]])</f>
        <v>150120261800853</v>
      </c>
      <c r="T134" s="2" t="str">
        <f t="shared" si="7"/>
        <v>15 de enero del 2026</v>
      </c>
      <c r="U134" s="2" t="str">
        <f>_xlfn.XLOOKUP(Tabla1[[#This Row],[instructor_2]],diccionario_!$A$1:$A$11,diccionario_!$D$1:$D$11,,0)</f>
        <v>Guillermo Milla M.</v>
      </c>
      <c r="V134" s="2" t="str">
        <f t="shared" si="8"/>
        <v>100%</v>
      </c>
      <c r="W134" s="2" t="s">
        <v>3625</v>
      </c>
    </row>
    <row r="135" spans="1:23" ht="16.5" customHeight="1">
      <c r="A135" s="2">
        <v>854</v>
      </c>
      <c r="B135" s="24" t="s">
        <v>32</v>
      </c>
      <c r="C135" s="24" t="s">
        <v>33</v>
      </c>
      <c r="D135" s="24" t="s">
        <v>9</v>
      </c>
      <c r="E135" s="11">
        <v>46037</v>
      </c>
      <c r="F135" s="14">
        <v>0.75</v>
      </c>
      <c r="G135" s="24" t="s">
        <v>3419</v>
      </c>
      <c r="H135" s="24" t="s">
        <v>3420</v>
      </c>
      <c r="I135" s="24" t="s">
        <v>38</v>
      </c>
      <c r="J135" s="24" t="s">
        <v>36</v>
      </c>
      <c r="K135" s="24" t="s">
        <v>48</v>
      </c>
      <c r="L135" s="24"/>
      <c r="M135" s="24"/>
      <c r="N135" s="27" t="s">
        <v>48</v>
      </c>
      <c r="O135" s="6">
        <v>1</v>
      </c>
      <c r="P135" s="2" t="s">
        <v>3503</v>
      </c>
      <c r="Q135" s="24" t="str">
        <f>IF(Tabla1[[#This Row],[evaluacion_]]="","",IF(Tabla1[[#This Row],[evaluacion_]]=1,"Habilitado","No Habilitado"))</f>
        <v>Habilitado</v>
      </c>
      <c r="R135" s="2" t="str">
        <f>IF(Tabla1[[#This Row],[fecha]]="","",TEXT(Tabla1[[#This Row],[fecha]],"DMMAAAA")&amp;TEXT(Tabla1[[#This Row],[hora]],"HHmm"))</f>
        <v>150120261800</v>
      </c>
      <c r="S135" s="19" t="str">
        <f>_xlfn.CONCAT(Tabla1[[#This Row],[codigo_]],Tabla1[[#This Row],[correlativo_]])</f>
        <v>150120261800854</v>
      </c>
      <c r="T135" s="2" t="str">
        <f t="shared" si="7"/>
        <v>15 de enero del 2026</v>
      </c>
      <c r="U135" s="2" t="str">
        <f>_xlfn.XLOOKUP(Tabla1[[#This Row],[instructor_2]],diccionario_!$A$1:$A$11,diccionario_!$D$1:$D$11,,0)</f>
        <v>Guillermo Milla M.</v>
      </c>
      <c r="V135" s="2" t="str">
        <f t="shared" si="8"/>
        <v>100%</v>
      </c>
      <c r="W135" s="2" t="s">
        <v>3625</v>
      </c>
    </row>
    <row r="136" spans="1:23" ht="16.5" customHeight="1">
      <c r="A136" s="2">
        <v>855</v>
      </c>
      <c r="B136" s="24" t="s">
        <v>7</v>
      </c>
      <c r="C136" s="24" t="s">
        <v>8</v>
      </c>
      <c r="D136" s="24" t="s">
        <v>9</v>
      </c>
      <c r="E136" s="11">
        <v>46098</v>
      </c>
      <c r="F136" s="14">
        <v>0.41666666666666702</v>
      </c>
      <c r="G136" s="24" t="s">
        <v>216</v>
      </c>
      <c r="H136" s="24" t="s">
        <v>217</v>
      </c>
      <c r="I136" s="24" t="s">
        <v>11</v>
      </c>
      <c r="J136" s="24" t="s">
        <v>36</v>
      </c>
      <c r="K136" s="24" t="s">
        <v>25</v>
      </c>
      <c r="L136" s="24"/>
      <c r="M136" s="24"/>
      <c r="N136" s="27" t="s">
        <v>25</v>
      </c>
      <c r="O136" s="6">
        <v>1</v>
      </c>
      <c r="P136" s="2" t="s">
        <v>3503</v>
      </c>
      <c r="Q136" s="24" t="str">
        <f>IF(Tabla1[[#This Row],[evaluacion_]]="","",IF(Tabla1[[#This Row],[evaluacion_]]=1,"Habilitado","No Habilitado"))</f>
        <v>Habilitado</v>
      </c>
      <c r="R136" s="2" t="str">
        <f>IF(Tabla1[[#This Row],[fecha]]="","",TEXT(Tabla1[[#This Row],[fecha]],"DMMAAAA")&amp;TEXT(Tabla1[[#This Row],[hora]],"HHmm"))</f>
        <v>170320261000</v>
      </c>
      <c r="S136" s="19" t="str">
        <f>_xlfn.CONCAT(Tabla1[[#This Row],[codigo_]],Tabla1[[#This Row],[correlativo_]])</f>
        <v>170320261000855</v>
      </c>
      <c r="T136" s="2" t="str">
        <f t="shared" si="7"/>
        <v>17 de marzo del 2026</v>
      </c>
      <c r="U136" s="2" t="str">
        <f>_xlfn.XLOOKUP(Tabla1[[#This Row],[instructor_2]],diccionario_!$A$1:$A$11,diccionario_!$D$1:$D$11,,0)</f>
        <v>Marcelo Barrera A.</v>
      </c>
      <c r="V136" s="2" t="str">
        <f t="shared" si="8"/>
        <v>100%</v>
      </c>
      <c r="W136" s="2" t="s">
        <v>3626</v>
      </c>
    </row>
    <row r="137" spans="1:23" ht="16.5" customHeight="1">
      <c r="A137" s="2">
        <v>856</v>
      </c>
      <c r="B137" s="24" t="s">
        <v>7</v>
      </c>
      <c r="C137" s="24" t="s">
        <v>8</v>
      </c>
      <c r="D137" s="24" t="s">
        <v>9</v>
      </c>
      <c r="E137" s="11">
        <v>46098</v>
      </c>
      <c r="F137" s="14">
        <v>0.41666666666666702</v>
      </c>
      <c r="G137" s="24" t="s">
        <v>63</v>
      </c>
      <c r="H137" s="24" t="s">
        <v>64</v>
      </c>
      <c r="I137" s="24" t="s">
        <v>11</v>
      </c>
      <c r="J137" s="24" t="s">
        <v>36</v>
      </c>
      <c r="K137" s="24" t="s">
        <v>25</v>
      </c>
      <c r="L137" s="24"/>
      <c r="M137" s="24"/>
      <c r="N137" s="27" t="s">
        <v>25</v>
      </c>
      <c r="O137" s="6">
        <v>1</v>
      </c>
      <c r="P137" s="2" t="s">
        <v>3503</v>
      </c>
      <c r="Q137" s="24" t="str">
        <f>IF(Tabla1[[#This Row],[evaluacion_]]="","",IF(Tabla1[[#This Row],[evaluacion_]]=1,"Habilitado","No Habilitado"))</f>
        <v>Habilitado</v>
      </c>
      <c r="R137" s="2" t="str">
        <f>IF(Tabla1[[#This Row],[fecha]]="","",TEXT(Tabla1[[#This Row],[fecha]],"DMMAAAA")&amp;TEXT(Tabla1[[#This Row],[hora]],"HHmm"))</f>
        <v>170320261000</v>
      </c>
      <c r="S137" s="19" t="str">
        <f>_xlfn.CONCAT(Tabla1[[#This Row],[codigo_]],Tabla1[[#This Row],[correlativo_]])</f>
        <v>170320261000856</v>
      </c>
      <c r="T137" s="2" t="str">
        <f t="shared" si="7"/>
        <v>17 de marzo del 2026</v>
      </c>
      <c r="U137" s="2" t="str">
        <f>_xlfn.XLOOKUP(Tabla1[[#This Row],[instructor_2]],diccionario_!$A$1:$A$11,diccionario_!$D$1:$D$11,,0)</f>
        <v>Marcelo Barrera A.</v>
      </c>
      <c r="V137" s="2" t="str">
        <f t="shared" si="8"/>
        <v>100%</v>
      </c>
      <c r="W137" s="2" t="s">
        <v>3626</v>
      </c>
    </row>
    <row r="138" spans="1:23" ht="16.5" customHeight="1">
      <c r="A138" s="2">
        <v>857</v>
      </c>
      <c r="B138" s="24" t="s">
        <v>7</v>
      </c>
      <c r="C138" s="24" t="s">
        <v>8</v>
      </c>
      <c r="D138" s="24" t="s">
        <v>9</v>
      </c>
      <c r="E138" s="11">
        <v>46097</v>
      </c>
      <c r="F138" s="14">
        <v>0.45833333333333298</v>
      </c>
      <c r="G138" s="24" t="s">
        <v>216</v>
      </c>
      <c r="H138" s="24" t="s">
        <v>217</v>
      </c>
      <c r="I138" s="24" t="s">
        <v>11</v>
      </c>
      <c r="J138" s="24" t="s">
        <v>12</v>
      </c>
      <c r="K138" s="24" t="s">
        <v>13</v>
      </c>
      <c r="L138" s="24"/>
      <c r="M138" s="24"/>
      <c r="N138" s="27" t="s">
        <v>13</v>
      </c>
      <c r="O138" s="6">
        <v>1</v>
      </c>
      <c r="P138" s="2" t="s">
        <v>3503</v>
      </c>
      <c r="Q138" s="24" t="str">
        <f>IF(Tabla1[[#This Row],[evaluacion_]]="","",IF(Tabla1[[#This Row],[evaluacion_]]=1,"Habilitado","No Habilitado"))</f>
        <v>Habilitado</v>
      </c>
      <c r="R138" s="2" t="str">
        <f>IF(Tabla1[[#This Row],[fecha]]="","",TEXT(Tabla1[[#This Row],[fecha]],"DMMAAAA")&amp;TEXT(Tabla1[[#This Row],[hora]],"HHmm"))</f>
        <v>160320261100</v>
      </c>
      <c r="S138" s="19" t="str">
        <f>_xlfn.CONCAT(Tabla1[[#This Row],[codigo_]],Tabla1[[#This Row],[correlativo_]])</f>
        <v>160320261100857</v>
      </c>
      <c r="T138" s="2" t="str">
        <f t="shared" si="7"/>
        <v>16 de marzo del 2026</v>
      </c>
      <c r="U138" s="2" t="str">
        <f>_xlfn.XLOOKUP(Tabla1[[#This Row],[instructor_2]],diccionario_!$A$1:$A$11,diccionario_!$D$1:$D$11,,0)</f>
        <v>Marcelo Barrera A.</v>
      </c>
      <c r="V138" s="2" t="str">
        <f t="shared" si="8"/>
        <v>100%</v>
      </c>
      <c r="W138" s="2" t="s">
        <v>3626</v>
      </c>
    </row>
    <row r="139" spans="1:23" ht="16.5" customHeight="1">
      <c r="A139" s="2">
        <v>858</v>
      </c>
      <c r="B139" s="24" t="s">
        <v>7</v>
      </c>
      <c r="C139" s="24" t="s">
        <v>8</v>
      </c>
      <c r="D139" s="24" t="s">
        <v>9</v>
      </c>
      <c r="E139" s="11">
        <v>46098</v>
      </c>
      <c r="F139" s="14">
        <v>0.625</v>
      </c>
      <c r="G139" s="24" t="s">
        <v>921</v>
      </c>
      <c r="H139" s="24" t="s">
        <v>922</v>
      </c>
      <c r="I139" s="24" t="s">
        <v>11</v>
      </c>
      <c r="J139" s="24" t="s">
        <v>36</v>
      </c>
      <c r="K139" s="24" t="s">
        <v>25</v>
      </c>
      <c r="L139" s="24"/>
      <c r="M139" s="24"/>
      <c r="N139" s="27" t="s">
        <v>25</v>
      </c>
      <c r="O139" s="6" t="s">
        <v>3507</v>
      </c>
      <c r="P139" s="2" t="s">
        <v>3503</v>
      </c>
      <c r="Q139" s="24" t="str">
        <f>IF(Tabla1[[#This Row],[evaluacion_]]="","",IF(Tabla1[[#This Row],[evaluacion_]]=1,"Habilitado","No Habilitado"))</f>
        <v>No Habilitado</v>
      </c>
      <c r="R139" s="2" t="str">
        <f>IF(Tabla1[[#This Row],[fecha]]="","",TEXT(Tabla1[[#This Row],[fecha]],"DMMAAAA")&amp;TEXT(Tabla1[[#This Row],[hora]],"HHmm"))</f>
        <v>170320261500</v>
      </c>
      <c r="S139" s="19" t="str">
        <f>_xlfn.CONCAT(Tabla1[[#This Row],[codigo_]],Tabla1[[#This Row],[correlativo_]])</f>
        <v>170320261500858</v>
      </c>
      <c r="T139" s="2" t="str">
        <f t="shared" si="7"/>
        <v>17 de marzo del 2026</v>
      </c>
      <c r="U139" s="2" t="str">
        <f>_xlfn.XLOOKUP(Tabla1[[#This Row],[instructor_2]],diccionario_!$A$1:$A$11,diccionario_!$D$1:$D$11,,0)</f>
        <v>Marcelo Barrera A.</v>
      </c>
      <c r="V139" s="2" t="str">
        <f t="shared" si="8"/>
        <v>información de calificación errónea</v>
      </c>
      <c r="W139" s="2" t="s">
        <v>3627</v>
      </c>
    </row>
    <row r="140" spans="1:23" ht="16.5" customHeight="1">
      <c r="A140" s="2">
        <v>859</v>
      </c>
      <c r="B140" s="24" t="s">
        <v>7</v>
      </c>
      <c r="C140" s="24" t="s">
        <v>8</v>
      </c>
      <c r="D140" s="24" t="s">
        <v>9</v>
      </c>
      <c r="E140" s="11">
        <v>46098</v>
      </c>
      <c r="F140" s="14">
        <v>0.625</v>
      </c>
      <c r="G140" s="24" t="s">
        <v>921</v>
      </c>
      <c r="H140" s="24" t="s">
        <v>922</v>
      </c>
      <c r="I140" s="24" t="s">
        <v>11</v>
      </c>
      <c r="J140" s="24" t="s">
        <v>36</v>
      </c>
      <c r="K140" s="24" t="s">
        <v>25</v>
      </c>
      <c r="L140" s="24"/>
      <c r="M140" s="24"/>
      <c r="N140" s="27" t="s">
        <v>25</v>
      </c>
      <c r="O140" s="6">
        <v>1</v>
      </c>
      <c r="P140" s="2" t="s">
        <v>3503</v>
      </c>
      <c r="Q140" s="24" t="str">
        <f>IF(Tabla1[[#This Row],[evaluacion_]]="","",IF(Tabla1[[#This Row],[evaluacion_]]=1,"Habilitado","No Habilitado"))</f>
        <v>Habilitado</v>
      </c>
      <c r="R140" s="2" t="str">
        <f>IF(Tabla1[[#This Row],[fecha]]="","",TEXT(Tabla1[[#This Row],[fecha]],"DMMAAAA")&amp;TEXT(Tabla1[[#This Row],[hora]],"HHmm"))</f>
        <v>170320261500</v>
      </c>
      <c r="S140" s="19" t="str">
        <f>_xlfn.CONCAT(Tabla1[[#This Row],[codigo_]],Tabla1[[#This Row],[correlativo_]])</f>
        <v>170320261500859</v>
      </c>
      <c r="T140" s="2" t="str">
        <f t="shared" si="7"/>
        <v>17 de marzo del 2026</v>
      </c>
      <c r="U140" s="2" t="str">
        <f>_xlfn.XLOOKUP(Tabla1[[#This Row],[instructor_2]],diccionario_!$A$1:$A$11,diccionario_!$D$1:$D$11,,0)</f>
        <v>Marcelo Barrera A.</v>
      </c>
      <c r="V140" s="2" t="str">
        <f t="shared" si="8"/>
        <v>100%</v>
      </c>
      <c r="W140" s="2" t="s">
        <v>3628</v>
      </c>
    </row>
    <row r="141" spans="1:23" ht="16.5" customHeight="1">
      <c r="A141" s="2">
        <v>860</v>
      </c>
      <c r="B141" s="24" t="s">
        <v>7</v>
      </c>
      <c r="C141" s="24" t="s">
        <v>8</v>
      </c>
      <c r="D141" s="24" t="s">
        <v>9</v>
      </c>
      <c r="E141" s="11">
        <v>46100</v>
      </c>
      <c r="F141" s="14">
        <v>0.625</v>
      </c>
      <c r="G141" s="24" t="s">
        <v>2615</v>
      </c>
      <c r="H141" s="24" t="s">
        <v>2616</v>
      </c>
      <c r="I141" s="24" t="s">
        <v>40</v>
      </c>
      <c r="J141" s="24"/>
      <c r="K141" s="24"/>
      <c r="L141" s="24"/>
      <c r="M141" s="24"/>
      <c r="N141" s="27"/>
      <c r="O141" s="6">
        <v>1</v>
      </c>
      <c r="P141" s="2" t="s">
        <v>3503</v>
      </c>
      <c r="Q141" s="24" t="str">
        <f>IF(Tabla1[[#This Row],[evaluacion_]]="","",IF(Tabla1[[#This Row],[evaluacion_]]=1,"Habilitado","No Habilitado"))</f>
        <v>Habilitado</v>
      </c>
      <c r="R141" s="2" t="str">
        <f>IF(Tabla1[[#This Row],[fecha]]="","",TEXT(Tabla1[[#This Row],[fecha]],"DMMAAAA")&amp;TEXT(Tabla1[[#This Row],[hora]],"HHmm"))</f>
        <v>190320261500</v>
      </c>
      <c r="S141" s="19" t="str">
        <f>_xlfn.CONCAT(Tabla1[[#This Row],[codigo_]],Tabla1[[#This Row],[correlativo_]])</f>
        <v>190320261500860</v>
      </c>
      <c r="T141" s="2" t="str">
        <f t="shared" ref="T141:T172" si="9">DAY(E141) &amp; " de " &amp; TEXT(E141, "mmmm") &amp; " del " &amp; YEAR(E141)</f>
        <v>19 de marzo del 2026</v>
      </c>
      <c r="U141" s="2" t="str">
        <f>_xlfn.XLOOKUP(Tabla1[[#This Row],[instructor_2]],diccionario_!$A$1:$A$11,diccionario_!$D$1:$D$11,,0)</f>
        <v>Marcelo Barrera A.</v>
      </c>
      <c r="V141" s="2" t="str">
        <f t="shared" si="8"/>
        <v>100%</v>
      </c>
      <c r="W141" s="2" t="s">
        <v>3629</v>
      </c>
    </row>
    <row r="142" spans="1:23" ht="16.5" customHeight="1">
      <c r="A142" s="2">
        <v>861</v>
      </c>
      <c r="B142" s="24" t="s">
        <v>32</v>
      </c>
      <c r="C142" s="24" t="s">
        <v>33</v>
      </c>
      <c r="D142" s="24" t="s">
        <v>9</v>
      </c>
      <c r="E142" s="11">
        <v>46091</v>
      </c>
      <c r="F142" s="14">
        <v>0.41666666666666702</v>
      </c>
      <c r="G142" s="24" t="s">
        <v>120</v>
      </c>
      <c r="H142" s="24" t="s">
        <v>121</v>
      </c>
      <c r="I142" s="24" t="s">
        <v>11</v>
      </c>
      <c r="J142" s="24" t="s">
        <v>36</v>
      </c>
      <c r="K142" s="24" t="s">
        <v>25</v>
      </c>
      <c r="L142" s="24"/>
      <c r="M142" s="24"/>
      <c r="N142" s="27" t="s">
        <v>25</v>
      </c>
      <c r="O142" s="6">
        <v>1</v>
      </c>
      <c r="P142" s="2" t="s">
        <v>3503</v>
      </c>
      <c r="Q142" s="24" t="str">
        <f>IF(Tabla1[[#This Row],[evaluacion_]]="","",IF(Tabla1[[#This Row],[evaluacion_]]=1,"Habilitado","No Habilitado"))</f>
        <v>Habilitado</v>
      </c>
      <c r="R142" s="2" t="str">
        <f>IF(Tabla1[[#This Row],[fecha]]="","",TEXT(Tabla1[[#This Row],[fecha]],"DMMAAAA")&amp;TEXT(Tabla1[[#This Row],[hora]],"HHmm"))</f>
        <v>100320261000</v>
      </c>
      <c r="S142" s="19" t="str">
        <f>_xlfn.CONCAT(Tabla1[[#This Row],[codigo_]],Tabla1[[#This Row],[correlativo_]])</f>
        <v>100320261000861</v>
      </c>
      <c r="T142" s="2" t="str">
        <f t="shared" si="9"/>
        <v>10 de marzo del 2026</v>
      </c>
      <c r="U142" s="2" t="str">
        <f>_xlfn.XLOOKUP(Tabla1[[#This Row],[instructor_2]],diccionario_!$A$1:$A$11,diccionario_!$D$1:$D$11,,0)</f>
        <v>Guillermo Milla M.</v>
      </c>
      <c r="V142" s="2" t="str">
        <f t="shared" si="8"/>
        <v>100%</v>
      </c>
      <c r="W142" s="2" t="s">
        <v>3630</v>
      </c>
    </row>
    <row r="143" spans="1:23" ht="16.5" customHeight="1">
      <c r="A143" s="2">
        <v>862</v>
      </c>
      <c r="B143" s="24" t="s">
        <v>32</v>
      </c>
      <c r="C143" s="24" t="s">
        <v>33</v>
      </c>
      <c r="D143" s="24" t="s">
        <v>9</v>
      </c>
      <c r="E143" s="11">
        <v>46091</v>
      </c>
      <c r="F143" s="14">
        <v>0.41666666666666702</v>
      </c>
      <c r="G143" s="24" t="s">
        <v>120</v>
      </c>
      <c r="H143" s="24" t="s">
        <v>121</v>
      </c>
      <c r="I143" s="24" t="s">
        <v>11</v>
      </c>
      <c r="J143" s="24" t="s">
        <v>36</v>
      </c>
      <c r="K143" s="24" t="s">
        <v>25</v>
      </c>
      <c r="L143" s="24"/>
      <c r="M143" s="24"/>
      <c r="N143" s="27" t="s">
        <v>25</v>
      </c>
      <c r="O143" s="6">
        <v>1</v>
      </c>
      <c r="P143" s="2" t="s">
        <v>3503</v>
      </c>
      <c r="Q143" s="24" t="str">
        <f>IF(Tabla1[[#This Row],[evaluacion_]]="","",IF(Tabla1[[#This Row],[evaluacion_]]=1,"Habilitado","No Habilitado"))</f>
        <v>Habilitado</v>
      </c>
      <c r="R143" s="2" t="str">
        <f>IF(Tabla1[[#This Row],[fecha]]="","",TEXT(Tabla1[[#This Row],[fecha]],"DMMAAAA")&amp;TEXT(Tabla1[[#This Row],[hora]],"HHmm"))</f>
        <v>100320261000</v>
      </c>
      <c r="S143" s="19" t="str">
        <f>_xlfn.CONCAT(Tabla1[[#This Row],[codigo_]],Tabla1[[#This Row],[correlativo_]])</f>
        <v>100320261000862</v>
      </c>
      <c r="T143" s="2" t="str">
        <f t="shared" si="9"/>
        <v>10 de marzo del 2026</v>
      </c>
      <c r="U143" s="2" t="str">
        <f>_xlfn.XLOOKUP(Tabla1[[#This Row],[instructor_2]],diccionario_!$A$1:$A$11,diccionario_!$D$1:$D$11,,0)</f>
        <v>Guillermo Milla M.</v>
      </c>
      <c r="V143" s="2" t="str">
        <f t="shared" si="8"/>
        <v>100%</v>
      </c>
      <c r="W143" s="2" t="s">
        <v>3631</v>
      </c>
    </row>
    <row r="144" spans="1:23" ht="16.5" customHeight="1">
      <c r="A144" s="2">
        <v>863</v>
      </c>
      <c r="B144" s="24" t="s">
        <v>32</v>
      </c>
      <c r="C144" s="24" t="s">
        <v>33</v>
      </c>
      <c r="D144" s="24" t="s">
        <v>9</v>
      </c>
      <c r="E144" s="11">
        <v>46091</v>
      </c>
      <c r="F144" s="14">
        <v>0.41666666666666702</v>
      </c>
      <c r="G144" s="24" t="s">
        <v>120</v>
      </c>
      <c r="H144" s="24" t="s">
        <v>121</v>
      </c>
      <c r="I144" s="24" t="s">
        <v>11</v>
      </c>
      <c r="J144" s="24" t="s">
        <v>36</v>
      </c>
      <c r="K144" s="24" t="s">
        <v>25</v>
      </c>
      <c r="L144" s="24"/>
      <c r="M144" s="24"/>
      <c r="N144" s="27" t="s">
        <v>25</v>
      </c>
      <c r="O144" s="6">
        <v>1</v>
      </c>
      <c r="P144" s="2" t="s">
        <v>3503</v>
      </c>
      <c r="Q144" s="24" t="str">
        <f>IF(Tabla1[[#This Row],[evaluacion_]]="","",IF(Tabla1[[#This Row],[evaluacion_]]=1,"Habilitado","No Habilitado"))</f>
        <v>Habilitado</v>
      </c>
      <c r="R144" s="2" t="str">
        <f>IF(Tabla1[[#This Row],[fecha]]="","",TEXT(Tabla1[[#This Row],[fecha]],"DMMAAAA")&amp;TEXT(Tabla1[[#This Row],[hora]],"HHmm"))</f>
        <v>100320261000</v>
      </c>
      <c r="S144" s="19" t="str">
        <f>_xlfn.CONCAT(Tabla1[[#This Row],[codigo_]],Tabla1[[#This Row],[correlativo_]])</f>
        <v>100320261000863</v>
      </c>
      <c r="T144" s="2" t="str">
        <f t="shared" si="9"/>
        <v>10 de marzo del 2026</v>
      </c>
      <c r="U144" s="2" t="str">
        <f>_xlfn.XLOOKUP(Tabla1[[#This Row],[instructor_2]],diccionario_!$A$1:$A$11,diccionario_!$D$1:$D$11,,0)</f>
        <v>Guillermo Milla M.</v>
      </c>
      <c r="V144" s="2" t="str">
        <f t="shared" si="8"/>
        <v>100%</v>
      </c>
      <c r="W144" s="2" t="s">
        <v>3632</v>
      </c>
    </row>
    <row r="145" spans="1:23" ht="16.5" customHeight="1">
      <c r="A145" s="2">
        <v>864</v>
      </c>
      <c r="B145" s="24" t="s">
        <v>7</v>
      </c>
      <c r="C145" s="24" t="s">
        <v>8</v>
      </c>
      <c r="D145" s="24" t="s">
        <v>9</v>
      </c>
      <c r="E145" s="11">
        <v>46101</v>
      </c>
      <c r="F145" s="29">
        <v>0.41666666666666702</v>
      </c>
      <c r="G145" s="24" t="s">
        <v>1236</v>
      </c>
      <c r="H145" s="24" t="s">
        <v>1237</v>
      </c>
      <c r="I145" s="24" t="s">
        <v>11</v>
      </c>
      <c r="J145" s="24" t="s">
        <v>36</v>
      </c>
      <c r="K145" s="24" t="s">
        <v>37</v>
      </c>
      <c r="L145" s="24"/>
      <c r="M145" s="24"/>
      <c r="N145" s="27" t="s">
        <v>37</v>
      </c>
      <c r="O145" s="6">
        <v>1</v>
      </c>
      <c r="P145" s="2" t="s">
        <v>3503</v>
      </c>
      <c r="Q145" s="24" t="str">
        <f>IF(Tabla1[[#This Row],[evaluacion_]]="","",IF(Tabla1[[#This Row],[evaluacion_]]=1,"Habilitado","No Habilitado"))</f>
        <v>Habilitado</v>
      </c>
      <c r="R145" s="2" t="str">
        <f>IF(Tabla1[[#This Row],[fecha]]="","",TEXT(Tabla1[[#This Row],[fecha]],"DMMAAAA")&amp;TEXT(Tabla1[[#This Row],[hora]],"HHmm"))</f>
        <v>200320261000</v>
      </c>
      <c r="S145" s="19" t="str">
        <f>_xlfn.CONCAT(Tabla1[[#This Row],[codigo_]],Tabla1[[#This Row],[correlativo_]])</f>
        <v>200320261000864</v>
      </c>
      <c r="T145" s="2" t="str">
        <f t="shared" si="9"/>
        <v>20 de marzo del 2026</v>
      </c>
      <c r="U145" s="2" t="str">
        <f>_xlfn.XLOOKUP(Tabla1[[#This Row],[instructor_2]],diccionario_!$A$1:$A$11,diccionario_!$D$1:$D$11,,0)</f>
        <v>Marcelo Barrera A.</v>
      </c>
      <c r="V145" s="2" t="str">
        <f t="shared" ref="V145:V176" si="10">TEXT(O145,"0%")</f>
        <v>100%</v>
      </c>
      <c r="W145" s="2" t="s">
        <v>3633</v>
      </c>
    </row>
    <row r="146" spans="1:23" ht="16.5" customHeight="1">
      <c r="A146" s="2">
        <v>865</v>
      </c>
      <c r="B146" s="24" t="s">
        <v>7</v>
      </c>
      <c r="C146" s="24" t="s">
        <v>8</v>
      </c>
      <c r="D146" s="24" t="s">
        <v>9</v>
      </c>
      <c r="E146" s="11">
        <v>46101</v>
      </c>
      <c r="F146" s="29">
        <v>0.45833333333333298</v>
      </c>
      <c r="G146" s="24" t="s">
        <v>1236</v>
      </c>
      <c r="H146" s="24" t="s">
        <v>1237</v>
      </c>
      <c r="I146" s="24" t="s">
        <v>11</v>
      </c>
      <c r="J146" s="24" t="s">
        <v>30</v>
      </c>
      <c r="K146" s="24" t="s">
        <v>25</v>
      </c>
      <c r="L146" s="24"/>
      <c r="M146" s="24"/>
      <c r="N146" s="27" t="s">
        <v>25</v>
      </c>
      <c r="O146" s="6">
        <v>1</v>
      </c>
      <c r="P146" s="2" t="s">
        <v>3503</v>
      </c>
      <c r="Q146" s="24" t="str">
        <f>IF(Tabla1[[#This Row],[evaluacion_]]="","",IF(Tabla1[[#This Row],[evaluacion_]]=1,"Habilitado","No Habilitado"))</f>
        <v>Habilitado</v>
      </c>
      <c r="R146" s="2" t="str">
        <f>IF(Tabla1[[#This Row],[fecha]]="","",TEXT(Tabla1[[#This Row],[fecha]],"DMMAAAA")&amp;TEXT(Tabla1[[#This Row],[hora]],"HHmm"))</f>
        <v>200320261100</v>
      </c>
      <c r="S146" s="19" t="str">
        <f>_xlfn.CONCAT(Tabla1[[#This Row],[codigo_]],Tabla1[[#This Row],[correlativo_]])</f>
        <v>200320261100865</v>
      </c>
      <c r="T146" s="2" t="str">
        <f t="shared" si="9"/>
        <v>20 de marzo del 2026</v>
      </c>
      <c r="U146" s="2" t="str">
        <f>_xlfn.XLOOKUP(Tabla1[[#This Row],[instructor_2]],diccionario_!$A$1:$A$11,diccionario_!$D$1:$D$11,,0)</f>
        <v>Marcelo Barrera A.</v>
      </c>
      <c r="V146" s="2" t="str">
        <f t="shared" si="10"/>
        <v>100%</v>
      </c>
      <c r="W146" s="2" t="s">
        <v>3633</v>
      </c>
    </row>
    <row r="147" spans="1:23" ht="16.5" customHeight="1">
      <c r="A147" s="2">
        <v>866</v>
      </c>
      <c r="B147" s="24" t="s">
        <v>7</v>
      </c>
      <c r="C147" s="24" t="s">
        <v>8</v>
      </c>
      <c r="D147" s="24" t="s">
        <v>9</v>
      </c>
      <c r="E147" s="11">
        <v>46092</v>
      </c>
      <c r="F147" s="29">
        <v>0.75</v>
      </c>
      <c r="G147" s="24" t="s">
        <v>1859</v>
      </c>
      <c r="H147" s="24" t="s">
        <v>1860</v>
      </c>
      <c r="I147" s="24" t="s">
        <v>11</v>
      </c>
      <c r="J147" s="24" t="s">
        <v>36</v>
      </c>
      <c r="K147" s="24" t="s">
        <v>25</v>
      </c>
      <c r="L147" s="24"/>
      <c r="M147" s="24"/>
      <c r="N147" s="27" t="s">
        <v>25</v>
      </c>
      <c r="O147" s="6">
        <v>1</v>
      </c>
      <c r="P147" s="2" t="s">
        <v>3503</v>
      </c>
      <c r="Q147" s="24" t="str">
        <f>IF(Tabla1[[#This Row],[evaluacion_]]="","",IF(Tabla1[[#This Row],[evaluacion_]]=1,"Habilitado","No Habilitado"))</f>
        <v>Habilitado</v>
      </c>
      <c r="R147" s="2" t="str">
        <f>IF(Tabla1[[#This Row],[fecha]]="","",TEXT(Tabla1[[#This Row],[fecha]],"DMMAAAA")&amp;TEXT(Tabla1[[#This Row],[hora]],"HHmm"))</f>
        <v>110320261800</v>
      </c>
      <c r="S147" s="19" t="str">
        <f>_xlfn.CONCAT(Tabla1[[#This Row],[codigo_]],Tabla1[[#This Row],[correlativo_]])</f>
        <v>110320261800866</v>
      </c>
      <c r="T147" s="2" t="str">
        <f t="shared" si="9"/>
        <v>11 de marzo del 2026</v>
      </c>
      <c r="U147" s="2" t="str">
        <f>_xlfn.XLOOKUP(Tabla1[[#This Row],[instructor_2]],diccionario_!$A$1:$A$11,diccionario_!$D$1:$D$11,,0)</f>
        <v>Marcelo Barrera A.</v>
      </c>
      <c r="V147" s="2" t="str">
        <f t="shared" si="10"/>
        <v>100%</v>
      </c>
      <c r="W147" s="2" t="s">
        <v>3634</v>
      </c>
    </row>
    <row r="148" spans="1:23" ht="16.5" customHeight="1">
      <c r="A148" s="2">
        <v>867</v>
      </c>
      <c r="B148" s="24" t="s">
        <v>7</v>
      </c>
      <c r="C148" s="24" t="s">
        <v>8</v>
      </c>
      <c r="D148" s="24" t="s">
        <v>9</v>
      </c>
      <c r="E148" s="11">
        <v>46092</v>
      </c>
      <c r="F148" s="29">
        <v>0.75</v>
      </c>
      <c r="G148" s="24" t="s">
        <v>1859</v>
      </c>
      <c r="H148" s="24" t="s">
        <v>1860</v>
      </c>
      <c r="I148" s="24" t="s">
        <v>38</v>
      </c>
      <c r="J148" s="24" t="s">
        <v>30</v>
      </c>
      <c r="K148" s="24" t="s">
        <v>48</v>
      </c>
      <c r="L148" s="24"/>
      <c r="M148" s="24"/>
      <c r="N148" s="27" t="s">
        <v>48</v>
      </c>
      <c r="O148" s="6">
        <v>1</v>
      </c>
      <c r="P148" s="2" t="s">
        <v>3503</v>
      </c>
      <c r="Q148" s="24" t="str">
        <f>IF(Tabla1[[#This Row],[evaluacion_]]="","",IF(Tabla1[[#This Row],[evaluacion_]]=1,"Habilitado","No Habilitado"))</f>
        <v>Habilitado</v>
      </c>
      <c r="R148" s="2" t="str">
        <f>IF(Tabla1[[#This Row],[fecha]]="","",TEXT(Tabla1[[#This Row],[fecha]],"DMMAAAA")&amp;TEXT(Tabla1[[#This Row],[hora]],"HHmm"))</f>
        <v>110320261800</v>
      </c>
      <c r="S148" s="19" t="str">
        <f>_xlfn.CONCAT(Tabla1[[#This Row],[codigo_]],Tabla1[[#This Row],[correlativo_]])</f>
        <v>110320261800867</v>
      </c>
      <c r="T148" s="2" t="str">
        <f t="shared" si="9"/>
        <v>11 de marzo del 2026</v>
      </c>
      <c r="U148" s="2" t="str">
        <f>_xlfn.XLOOKUP(Tabla1[[#This Row],[instructor_2]],diccionario_!$A$1:$A$11,diccionario_!$D$1:$D$11,,0)</f>
        <v>Marcelo Barrera A.</v>
      </c>
      <c r="V148" s="2" t="str">
        <f t="shared" si="10"/>
        <v>100%</v>
      </c>
      <c r="W148" s="2" t="s">
        <v>3634</v>
      </c>
    </row>
    <row r="149" spans="1:23" ht="16.5" customHeight="1">
      <c r="A149" s="2">
        <v>868</v>
      </c>
      <c r="B149" s="24" t="s">
        <v>7</v>
      </c>
      <c r="C149" s="24" t="s">
        <v>8</v>
      </c>
      <c r="D149" s="24" t="s">
        <v>9</v>
      </c>
      <c r="E149" s="11">
        <v>46079</v>
      </c>
      <c r="F149" s="29">
        <v>0.41666666666666702</v>
      </c>
      <c r="G149" s="24" t="s">
        <v>1851</v>
      </c>
      <c r="H149" s="24" t="s">
        <v>1852</v>
      </c>
      <c r="I149" s="24" t="s">
        <v>11</v>
      </c>
      <c r="J149" s="24" t="s">
        <v>12</v>
      </c>
      <c r="K149" s="24" t="s">
        <v>13</v>
      </c>
      <c r="L149" s="24" t="s">
        <v>25</v>
      </c>
      <c r="M149" s="24"/>
      <c r="N149" s="27" t="s">
        <v>3579</v>
      </c>
      <c r="O149" s="6">
        <v>1</v>
      </c>
      <c r="P149" s="2" t="s">
        <v>3503</v>
      </c>
      <c r="Q149" s="24" t="str">
        <f>IF(Tabla1[[#This Row],[evaluacion_]]="","",IF(Tabla1[[#This Row],[evaluacion_]]=1,"Habilitado","No Habilitado"))</f>
        <v>Habilitado</v>
      </c>
      <c r="R149" s="2" t="str">
        <f>IF(Tabla1[[#This Row],[fecha]]="","",TEXT(Tabla1[[#This Row],[fecha]],"DMMAAAA")&amp;TEXT(Tabla1[[#This Row],[hora]],"HHmm"))</f>
        <v>260220261000</v>
      </c>
      <c r="S149" s="19" t="str">
        <f>_xlfn.CONCAT(Tabla1[[#This Row],[codigo_]],Tabla1[[#This Row],[correlativo_]])</f>
        <v>260220261000868</v>
      </c>
      <c r="T149" s="2" t="str">
        <f t="shared" si="9"/>
        <v>26 de febrero del 2026</v>
      </c>
      <c r="U149" s="2" t="str">
        <f>_xlfn.XLOOKUP(Tabla1[[#This Row],[instructor_2]],diccionario_!$A$1:$A$11,diccionario_!$D$1:$D$11,,0)</f>
        <v>Marcelo Barrera A.</v>
      </c>
      <c r="V149" s="2" t="str">
        <f t="shared" si="10"/>
        <v>100%</v>
      </c>
      <c r="W149" s="2" t="s">
        <v>3635</v>
      </c>
    </row>
    <row r="150" spans="1:23" ht="16.5" customHeight="1">
      <c r="A150" s="2">
        <v>869</v>
      </c>
      <c r="B150" s="24" t="s">
        <v>7</v>
      </c>
      <c r="C150" s="24" t="s">
        <v>8</v>
      </c>
      <c r="D150" s="24" t="s">
        <v>9</v>
      </c>
      <c r="E150" s="11">
        <v>46080</v>
      </c>
      <c r="F150" s="29">
        <v>0.45833333333333298</v>
      </c>
      <c r="G150" s="24" t="s">
        <v>1851</v>
      </c>
      <c r="H150" s="24" t="s">
        <v>1852</v>
      </c>
      <c r="I150" s="24" t="s">
        <v>23</v>
      </c>
      <c r="J150" s="24" t="s">
        <v>12</v>
      </c>
      <c r="K150" s="24" t="s">
        <v>41</v>
      </c>
      <c r="L150" s="24" t="s">
        <v>43</v>
      </c>
      <c r="M150" s="24"/>
      <c r="N150" s="27" t="s">
        <v>3612</v>
      </c>
      <c r="O150" s="6">
        <v>1</v>
      </c>
      <c r="P150" s="2" t="s">
        <v>3503</v>
      </c>
      <c r="Q150" s="24" t="str">
        <f>IF(Tabla1[[#This Row],[evaluacion_]]="","",IF(Tabla1[[#This Row],[evaluacion_]]=1,"Habilitado","No Habilitado"))</f>
        <v>Habilitado</v>
      </c>
      <c r="R150" s="2" t="str">
        <f>IF(Tabla1[[#This Row],[fecha]]="","",TEXT(Tabla1[[#This Row],[fecha]],"DMMAAAA")&amp;TEXT(Tabla1[[#This Row],[hora]],"HHmm"))</f>
        <v>270220261100</v>
      </c>
      <c r="S150" s="19" t="str">
        <f>_xlfn.CONCAT(Tabla1[[#This Row],[codigo_]],Tabla1[[#This Row],[correlativo_]])</f>
        <v>270220261100869</v>
      </c>
      <c r="T150" s="2" t="str">
        <f t="shared" si="9"/>
        <v>27 de febrero del 2026</v>
      </c>
      <c r="U150" s="2" t="str">
        <f>_xlfn.XLOOKUP(Tabla1[[#This Row],[instructor_2]],diccionario_!$A$1:$A$11,diccionario_!$D$1:$D$11,,0)</f>
        <v>Marcelo Barrera A.</v>
      </c>
      <c r="V150" s="2" t="str">
        <f t="shared" si="10"/>
        <v>100%</v>
      </c>
      <c r="W150" s="2" t="s">
        <v>3635</v>
      </c>
    </row>
    <row r="151" spans="1:23" ht="16.5" customHeight="1">
      <c r="A151" s="2">
        <v>870</v>
      </c>
      <c r="B151" s="24" t="s">
        <v>7</v>
      </c>
      <c r="C151" s="24" t="s">
        <v>8</v>
      </c>
      <c r="D151" s="24" t="s">
        <v>9</v>
      </c>
      <c r="E151" s="11">
        <v>46081</v>
      </c>
      <c r="F151" s="29">
        <v>0.5</v>
      </c>
      <c r="G151" s="24" t="s">
        <v>1851</v>
      </c>
      <c r="H151" s="24" t="s">
        <v>1852</v>
      </c>
      <c r="I151" s="24" t="s">
        <v>38</v>
      </c>
      <c r="J151" s="24" t="s">
        <v>36</v>
      </c>
      <c r="K151" s="24" t="s">
        <v>48</v>
      </c>
      <c r="L151" s="24"/>
      <c r="M151" s="24"/>
      <c r="N151" s="27" t="s">
        <v>48</v>
      </c>
      <c r="O151" s="6">
        <v>1</v>
      </c>
      <c r="P151" s="2" t="s">
        <v>3503</v>
      </c>
      <c r="Q151" s="24" t="str">
        <f>IF(Tabla1[[#This Row],[evaluacion_]]="","",IF(Tabla1[[#This Row],[evaluacion_]]=1,"Habilitado","No Habilitado"))</f>
        <v>Habilitado</v>
      </c>
      <c r="R151" s="2" t="str">
        <f>IF(Tabla1[[#This Row],[fecha]]="","",TEXT(Tabla1[[#This Row],[fecha]],"DMMAAAA")&amp;TEXT(Tabla1[[#This Row],[hora]],"HHmm"))</f>
        <v>280220261200</v>
      </c>
      <c r="S151" s="19" t="str">
        <f>_xlfn.CONCAT(Tabla1[[#This Row],[codigo_]],Tabla1[[#This Row],[correlativo_]])</f>
        <v>280220261200870</v>
      </c>
      <c r="T151" s="2" t="str">
        <f t="shared" si="9"/>
        <v>28 de febrero del 2026</v>
      </c>
      <c r="U151" s="2" t="str">
        <f>_xlfn.XLOOKUP(Tabla1[[#This Row],[instructor_2]],diccionario_!$A$1:$A$11,diccionario_!$D$1:$D$11,,0)</f>
        <v>Marcelo Barrera A.</v>
      </c>
      <c r="V151" s="2" t="str">
        <f t="shared" si="10"/>
        <v>100%</v>
      </c>
      <c r="W151" s="2" t="s">
        <v>3635</v>
      </c>
    </row>
    <row r="152" spans="1:23" ht="16.5" customHeight="1">
      <c r="A152" s="2">
        <v>871</v>
      </c>
      <c r="B152" s="24" t="s">
        <v>7</v>
      </c>
      <c r="C152" s="24" t="s">
        <v>8</v>
      </c>
      <c r="D152" s="24" t="s">
        <v>9</v>
      </c>
      <c r="E152" s="11">
        <v>46079</v>
      </c>
      <c r="F152" s="29">
        <v>0.75</v>
      </c>
      <c r="G152" s="24" t="s">
        <v>2177</v>
      </c>
      <c r="H152" s="24" t="s">
        <v>2178</v>
      </c>
      <c r="I152" s="24" t="s">
        <v>11</v>
      </c>
      <c r="J152" s="24" t="s">
        <v>12</v>
      </c>
      <c r="K152" s="24" t="s">
        <v>13</v>
      </c>
      <c r="L152" s="24" t="s">
        <v>25</v>
      </c>
      <c r="M152" s="24"/>
      <c r="N152" s="27" t="s">
        <v>3579</v>
      </c>
      <c r="O152" s="6">
        <v>1</v>
      </c>
      <c r="P152" s="2" t="s">
        <v>3503</v>
      </c>
      <c r="Q152" s="24" t="str">
        <f>IF(Tabla1[[#This Row],[evaluacion_]]="","",IF(Tabla1[[#This Row],[evaluacion_]]=1,"Habilitado","No Habilitado"))</f>
        <v>Habilitado</v>
      </c>
      <c r="R152" s="2" t="str">
        <f>IF(Tabla1[[#This Row],[fecha]]="","",TEXT(Tabla1[[#This Row],[fecha]],"DMMAAAA")&amp;TEXT(Tabla1[[#This Row],[hora]],"HHmm"))</f>
        <v>260220261800</v>
      </c>
      <c r="S152" s="19" t="str">
        <f>_xlfn.CONCAT(Tabla1[[#This Row],[codigo_]],Tabla1[[#This Row],[correlativo_]])</f>
        <v>260220261800871</v>
      </c>
      <c r="T152" s="2" t="str">
        <f t="shared" si="9"/>
        <v>26 de febrero del 2026</v>
      </c>
      <c r="U152" s="2" t="str">
        <f>_xlfn.XLOOKUP(Tabla1[[#This Row],[instructor_2]],diccionario_!$A$1:$A$11,diccionario_!$D$1:$D$11,,0)</f>
        <v>Marcelo Barrera A.</v>
      </c>
      <c r="V152" s="2" t="str">
        <f t="shared" si="10"/>
        <v>100%</v>
      </c>
      <c r="W152" s="2" t="s">
        <v>3635</v>
      </c>
    </row>
    <row r="153" spans="1:23" ht="16.5" customHeight="1">
      <c r="A153" s="2">
        <v>872</v>
      </c>
      <c r="B153" s="24" t="s">
        <v>7</v>
      </c>
      <c r="C153" s="24" t="s">
        <v>8</v>
      </c>
      <c r="D153" s="24" t="s">
        <v>9</v>
      </c>
      <c r="E153" s="11">
        <v>46079</v>
      </c>
      <c r="F153" s="29">
        <v>0.75</v>
      </c>
      <c r="G153" s="24" t="s">
        <v>2177</v>
      </c>
      <c r="H153" s="24" t="s">
        <v>2178</v>
      </c>
      <c r="I153" s="24" t="s">
        <v>23</v>
      </c>
      <c r="J153" s="24" t="s">
        <v>12</v>
      </c>
      <c r="K153" s="24" t="s">
        <v>41</v>
      </c>
      <c r="L153" s="24" t="s">
        <v>43</v>
      </c>
      <c r="M153" s="24"/>
      <c r="N153" s="27" t="s">
        <v>3612</v>
      </c>
      <c r="O153" s="6">
        <v>1</v>
      </c>
      <c r="P153" s="2" t="s">
        <v>3503</v>
      </c>
      <c r="Q153" s="24" t="str">
        <f>IF(Tabla1[[#This Row],[evaluacion_]]="","",IF(Tabla1[[#This Row],[evaluacion_]]=1,"Habilitado","No Habilitado"))</f>
        <v>Habilitado</v>
      </c>
      <c r="R153" s="2" t="str">
        <f>IF(Tabla1[[#This Row],[fecha]]="","",TEXT(Tabla1[[#This Row],[fecha]],"DMMAAAA")&amp;TEXT(Tabla1[[#This Row],[hora]],"HHmm"))</f>
        <v>260220261800</v>
      </c>
      <c r="S153" s="19" t="str">
        <f>_xlfn.CONCAT(Tabla1[[#This Row],[codigo_]],Tabla1[[#This Row],[correlativo_]])</f>
        <v>260220261800872</v>
      </c>
      <c r="T153" s="2" t="str">
        <f t="shared" si="9"/>
        <v>26 de febrero del 2026</v>
      </c>
      <c r="U153" s="2" t="str">
        <f>_xlfn.XLOOKUP(Tabla1[[#This Row],[instructor_2]],diccionario_!$A$1:$A$11,diccionario_!$D$1:$D$11,,0)</f>
        <v>Marcelo Barrera A.</v>
      </c>
      <c r="V153" s="2" t="str">
        <f t="shared" si="10"/>
        <v>100%</v>
      </c>
      <c r="W153" s="2" t="s">
        <v>3635</v>
      </c>
    </row>
    <row r="154" spans="1:23" ht="16.5" customHeight="1">
      <c r="A154" s="2">
        <v>873</v>
      </c>
      <c r="B154" s="24" t="s">
        <v>7</v>
      </c>
      <c r="C154" s="24" t="s">
        <v>8</v>
      </c>
      <c r="D154" s="24" t="s">
        <v>9</v>
      </c>
      <c r="E154" s="11">
        <v>46079</v>
      </c>
      <c r="F154" s="29">
        <v>0.77083333333333304</v>
      </c>
      <c r="G154" s="24" t="s">
        <v>2177</v>
      </c>
      <c r="H154" s="24" t="s">
        <v>2178</v>
      </c>
      <c r="I154" s="24" t="s">
        <v>11</v>
      </c>
      <c r="J154" s="24" t="s">
        <v>30</v>
      </c>
      <c r="K154" s="24" t="s">
        <v>37</v>
      </c>
      <c r="L154" s="24"/>
      <c r="M154" s="24"/>
      <c r="N154" s="27" t="s">
        <v>37</v>
      </c>
      <c r="O154" s="6">
        <v>1</v>
      </c>
      <c r="P154" s="2" t="s">
        <v>3503</v>
      </c>
      <c r="Q154" s="24" t="str">
        <f>IF(Tabla1[[#This Row],[evaluacion_]]="","",IF(Tabla1[[#This Row],[evaluacion_]]=1,"Habilitado","No Habilitado"))</f>
        <v>Habilitado</v>
      </c>
      <c r="R154" s="2" t="str">
        <f>IF(Tabla1[[#This Row],[fecha]]="","",TEXT(Tabla1[[#This Row],[fecha]],"DMMAAAA")&amp;TEXT(Tabla1[[#This Row],[hora]],"HHmm"))</f>
        <v>260220261830</v>
      </c>
      <c r="S154" s="19" t="str">
        <f>_xlfn.CONCAT(Tabla1[[#This Row],[codigo_]],Tabla1[[#This Row],[correlativo_]])</f>
        <v>260220261830873</v>
      </c>
      <c r="T154" s="2" t="str">
        <f t="shared" si="9"/>
        <v>26 de febrero del 2026</v>
      </c>
      <c r="U154" s="2" t="str">
        <f>_xlfn.XLOOKUP(Tabla1[[#This Row],[instructor_2]],diccionario_!$A$1:$A$11,diccionario_!$D$1:$D$11,,0)</f>
        <v>Marcelo Barrera A.</v>
      </c>
      <c r="V154" s="2" t="str">
        <f t="shared" si="10"/>
        <v>100%</v>
      </c>
      <c r="W154" s="2" t="s">
        <v>3635</v>
      </c>
    </row>
    <row r="155" spans="1:23" ht="16.5" customHeight="1">
      <c r="A155" s="2">
        <v>874</v>
      </c>
      <c r="B155" s="24" t="s">
        <v>7</v>
      </c>
      <c r="C155" s="24" t="s">
        <v>8</v>
      </c>
      <c r="D155" s="24" t="s">
        <v>9</v>
      </c>
      <c r="E155" s="11">
        <v>46093</v>
      </c>
      <c r="F155" s="29">
        <v>0.75</v>
      </c>
      <c r="G155" s="24" t="s">
        <v>1129</v>
      </c>
      <c r="H155" s="24" t="s">
        <v>1130</v>
      </c>
      <c r="I155" s="24" t="s">
        <v>11</v>
      </c>
      <c r="J155" s="24" t="s">
        <v>36</v>
      </c>
      <c r="K155" s="24" t="s">
        <v>25</v>
      </c>
      <c r="L155" s="24"/>
      <c r="M155" s="24"/>
      <c r="N155" s="27" t="s">
        <v>25</v>
      </c>
      <c r="O155" s="6">
        <v>1</v>
      </c>
      <c r="P155" s="2" t="s">
        <v>3503</v>
      </c>
      <c r="Q155" s="24" t="str">
        <f>IF(Tabla1[[#This Row],[evaluacion_]]="","",IF(Tabla1[[#This Row],[evaluacion_]]=1,"Habilitado","No Habilitado"))</f>
        <v>Habilitado</v>
      </c>
      <c r="R155" s="2" t="str">
        <f>IF(Tabla1[[#This Row],[fecha]]="","",TEXT(Tabla1[[#This Row],[fecha]],"DMMAAAA")&amp;TEXT(Tabla1[[#This Row],[hora]],"HHmm"))</f>
        <v>120320261800</v>
      </c>
      <c r="S155" s="19" t="str">
        <f>_xlfn.CONCAT(Tabla1[[#This Row],[codigo_]],Tabla1[[#This Row],[correlativo_]])</f>
        <v>120320261800874</v>
      </c>
      <c r="T155" s="2" t="str">
        <f t="shared" si="9"/>
        <v>12 de marzo del 2026</v>
      </c>
      <c r="U155" s="2" t="str">
        <f>_xlfn.XLOOKUP(Tabla1[[#This Row],[instructor_2]],diccionario_!$A$1:$A$11,diccionario_!$D$1:$D$11,,0)</f>
        <v>Marcelo Barrera A.</v>
      </c>
      <c r="V155" s="2" t="str">
        <f t="shared" si="10"/>
        <v>100%</v>
      </c>
      <c r="W155" s="2" t="s">
        <v>3636</v>
      </c>
    </row>
    <row r="156" spans="1:23" ht="16.5" customHeight="1">
      <c r="A156" s="2">
        <v>875</v>
      </c>
      <c r="B156" s="24" t="s">
        <v>7</v>
      </c>
      <c r="C156" s="24" t="s">
        <v>8</v>
      </c>
      <c r="D156" s="24" t="s">
        <v>9</v>
      </c>
      <c r="E156" s="11">
        <v>46077</v>
      </c>
      <c r="F156" s="29">
        <v>0.41666666666666702</v>
      </c>
      <c r="G156" s="24" t="s">
        <v>1333</v>
      </c>
      <c r="H156" s="24" t="s">
        <v>1334</v>
      </c>
      <c r="I156" s="24" t="s">
        <v>11</v>
      </c>
      <c r="J156" s="24" t="s">
        <v>30</v>
      </c>
      <c r="K156" s="24" t="s">
        <v>37</v>
      </c>
      <c r="L156" s="24" t="s">
        <v>25</v>
      </c>
      <c r="M156" s="24"/>
      <c r="N156" s="27" t="s">
        <v>3526</v>
      </c>
      <c r="O156" s="6">
        <v>1</v>
      </c>
      <c r="P156" s="2" t="s">
        <v>3503</v>
      </c>
      <c r="Q156" s="24" t="str">
        <f>IF(Tabla1[[#This Row],[evaluacion_]]="","",IF(Tabla1[[#This Row],[evaluacion_]]=1,"Habilitado","No Habilitado"))</f>
        <v>Habilitado</v>
      </c>
      <c r="R156" s="2" t="str">
        <f>IF(Tabla1[[#This Row],[fecha]]="","",TEXT(Tabla1[[#This Row],[fecha]],"DMMAAAA")&amp;TEXT(Tabla1[[#This Row],[hora]],"HHmm"))</f>
        <v>240220261000</v>
      </c>
      <c r="S156" s="19" t="str">
        <f>_xlfn.CONCAT(Tabla1[[#This Row],[codigo_]],Tabla1[[#This Row],[correlativo_]])</f>
        <v>240220261000875</v>
      </c>
      <c r="T156" s="2" t="str">
        <f t="shared" si="9"/>
        <v>24 de febrero del 2026</v>
      </c>
      <c r="U156" s="2" t="str">
        <f>_xlfn.XLOOKUP(Tabla1[[#This Row],[instructor_2]],diccionario_!$A$1:$A$11,diccionario_!$D$1:$D$11,,0)</f>
        <v>Marcelo Barrera A.</v>
      </c>
      <c r="V156" s="2" t="str">
        <f t="shared" si="10"/>
        <v>100%</v>
      </c>
      <c r="W156" s="2" t="s">
        <v>3637</v>
      </c>
    </row>
    <row r="157" spans="1:23" ht="16.5" customHeight="1">
      <c r="A157" s="2">
        <v>876</v>
      </c>
      <c r="B157" s="24" t="s">
        <v>7</v>
      </c>
      <c r="C157" s="24" t="s">
        <v>8</v>
      </c>
      <c r="D157" s="24" t="s">
        <v>9</v>
      </c>
      <c r="E157" s="11">
        <v>46077</v>
      </c>
      <c r="F157" s="29">
        <v>0.41666666666666702</v>
      </c>
      <c r="G157" s="24" t="s">
        <v>1333</v>
      </c>
      <c r="H157" s="24" t="s">
        <v>1334</v>
      </c>
      <c r="I157" s="24" t="s">
        <v>35</v>
      </c>
      <c r="J157" s="24" t="s">
        <v>30</v>
      </c>
      <c r="K157" s="24" t="s">
        <v>50</v>
      </c>
      <c r="L157" s="24"/>
      <c r="M157" s="24"/>
      <c r="N157" s="27" t="s">
        <v>50</v>
      </c>
      <c r="O157" s="6">
        <v>1</v>
      </c>
      <c r="P157" s="2" t="s">
        <v>3503</v>
      </c>
      <c r="Q157" s="24" t="str">
        <f>IF(Tabla1[[#This Row],[evaluacion_]]="","",IF(Tabla1[[#This Row],[evaluacion_]]=1,"Habilitado","No Habilitado"))</f>
        <v>Habilitado</v>
      </c>
      <c r="R157" s="2" t="str">
        <f>IF(Tabla1[[#This Row],[fecha]]="","",TEXT(Tabla1[[#This Row],[fecha]],"DMMAAAA")&amp;TEXT(Tabla1[[#This Row],[hora]],"HHmm"))</f>
        <v>240220261000</v>
      </c>
      <c r="S157" s="19" t="str">
        <f>_xlfn.CONCAT(Tabla1[[#This Row],[codigo_]],Tabla1[[#This Row],[correlativo_]])</f>
        <v>240220261000876</v>
      </c>
      <c r="T157" s="2" t="str">
        <f t="shared" si="9"/>
        <v>24 de febrero del 2026</v>
      </c>
      <c r="U157" s="2" t="str">
        <f>_xlfn.XLOOKUP(Tabla1[[#This Row],[instructor_2]],diccionario_!$A$1:$A$11,diccionario_!$D$1:$D$11,,0)</f>
        <v>Marcelo Barrera A.</v>
      </c>
      <c r="V157" s="2" t="str">
        <f t="shared" si="10"/>
        <v>100%</v>
      </c>
      <c r="W157" s="2" t="s">
        <v>3637</v>
      </c>
    </row>
    <row r="158" spans="1:23" ht="16.5" customHeight="1">
      <c r="A158" s="2">
        <v>877</v>
      </c>
      <c r="B158" s="24" t="s">
        <v>7</v>
      </c>
      <c r="C158" s="24" t="s">
        <v>8</v>
      </c>
      <c r="D158" s="24" t="s">
        <v>9</v>
      </c>
      <c r="E158" s="11">
        <v>46077</v>
      </c>
      <c r="F158" s="29">
        <v>0.41666666666666702</v>
      </c>
      <c r="G158" s="24" t="s">
        <v>1333</v>
      </c>
      <c r="H158" s="24" t="s">
        <v>1334</v>
      </c>
      <c r="I158" s="24" t="s">
        <v>38</v>
      </c>
      <c r="J158" s="24" t="s">
        <v>36</v>
      </c>
      <c r="K158" s="24" t="s">
        <v>48</v>
      </c>
      <c r="L158" s="24"/>
      <c r="M158" s="24"/>
      <c r="N158" s="27" t="s">
        <v>48</v>
      </c>
      <c r="O158" s="6">
        <v>1</v>
      </c>
      <c r="P158" s="2" t="s">
        <v>3503</v>
      </c>
      <c r="Q158" s="24" t="str">
        <f>IF(Tabla1[[#This Row],[evaluacion_]]="","",IF(Tabla1[[#This Row],[evaluacion_]]=1,"Habilitado","No Habilitado"))</f>
        <v>Habilitado</v>
      </c>
      <c r="R158" s="2" t="str">
        <f>IF(Tabla1[[#This Row],[fecha]]="","",TEXT(Tabla1[[#This Row],[fecha]],"DMMAAAA")&amp;TEXT(Tabla1[[#This Row],[hora]],"HHmm"))</f>
        <v>240220261000</v>
      </c>
      <c r="S158" s="19" t="str">
        <f>_xlfn.CONCAT(Tabla1[[#This Row],[codigo_]],Tabla1[[#This Row],[correlativo_]])</f>
        <v>240220261000877</v>
      </c>
      <c r="T158" s="2" t="str">
        <f t="shared" si="9"/>
        <v>24 de febrero del 2026</v>
      </c>
      <c r="U158" s="2" t="str">
        <f>_xlfn.XLOOKUP(Tabla1[[#This Row],[instructor_2]],diccionario_!$A$1:$A$11,diccionario_!$D$1:$D$11,,0)</f>
        <v>Marcelo Barrera A.</v>
      </c>
      <c r="V158" s="2" t="str">
        <f t="shared" si="10"/>
        <v>100%</v>
      </c>
      <c r="W158" s="2" t="s">
        <v>3637</v>
      </c>
    </row>
    <row r="159" spans="1:23" ht="16.5" customHeight="1">
      <c r="A159" s="2">
        <v>878</v>
      </c>
      <c r="B159" s="24" t="s">
        <v>14</v>
      </c>
      <c r="C159" s="24" t="s">
        <v>15</v>
      </c>
      <c r="D159" s="24" t="s">
        <v>9</v>
      </c>
      <c r="E159" s="11">
        <v>46073</v>
      </c>
      <c r="F159" s="29">
        <v>0.65972222222222199</v>
      </c>
      <c r="G159" s="24" t="s">
        <v>73</v>
      </c>
      <c r="H159" s="24" t="s">
        <v>74</v>
      </c>
      <c r="I159" s="24" t="s">
        <v>11</v>
      </c>
      <c r="J159" s="24" t="s">
        <v>24</v>
      </c>
      <c r="K159" s="24" t="s">
        <v>19</v>
      </c>
      <c r="L159" s="24" t="s">
        <v>13</v>
      </c>
      <c r="M159" s="24"/>
      <c r="N159" s="27" t="s">
        <v>3548</v>
      </c>
      <c r="O159" s="6">
        <v>1</v>
      </c>
      <c r="P159" s="2" t="s">
        <v>3503</v>
      </c>
      <c r="Q159" s="24" t="str">
        <f>IF(Tabla1[[#This Row],[evaluacion_]]="","",IF(Tabla1[[#This Row],[evaluacion_]]=1,"Habilitado","No Habilitado"))</f>
        <v>Habilitado</v>
      </c>
      <c r="R159" s="2" t="str">
        <f>IF(Tabla1[[#This Row],[fecha]]="","",TEXT(Tabla1[[#This Row],[fecha]],"DMMAAAA")&amp;TEXT(Tabla1[[#This Row],[hora]],"HHmm"))</f>
        <v>200220261550</v>
      </c>
      <c r="S159" s="19" t="str">
        <f>_xlfn.CONCAT(Tabla1[[#This Row],[codigo_]],Tabla1[[#This Row],[correlativo_]])</f>
        <v>200220261550878</v>
      </c>
      <c r="T159" s="2" t="str">
        <f t="shared" si="9"/>
        <v>20 de febrero del 2026</v>
      </c>
      <c r="U159" s="2" t="str">
        <f>_xlfn.XLOOKUP(Tabla1[[#This Row],[instructor_2]],diccionario_!$A$1:$A$11,diccionario_!$D$1:$D$11,,0)</f>
        <v>Daniel Carvajal B.</v>
      </c>
      <c r="V159" s="2" t="str">
        <f t="shared" si="10"/>
        <v>100%</v>
      </c>
      <c r="W159" s="2" t="s">
        <v>3638</v>
      </c>
    </row>
    <row r="160" spans="1:23" ht="16.5" customHeight="1">
      <c r="A160" s="2">
        <v>879</v>
      </c>
      <c r="B160" s="24" t="s">
        <v>14</v>
      </c>
      <c r="C160" s="24" t="s">
        <v>15</v>
      </c>
      <c r="D160" s="24" t="s">
        <v>9</v>
      </c>
      <c r="E160" s="11">
        <v>46073</v>
      </c>
      <c r="F160" s="29">
        <v>0.66041666666666698</v>
      </c>
      <c r="G160" s="24" t="s">
        <v>73</v>
      </c>
      <c r="H160" s="24" t="s">
        <v>74</v>
      </c>
      <c r="I160" s="24" t="s">
        <v>29</v>
      </c>
      <c r="J160" s="24" t="s">
        <v>24</v>
      </c>
      <c r="K160" s="24" t="s">
        <v>46</v>
      </c>
      <c r="L160" s="24" t="s">
        <v>47</v>
      </c>
      <c r="M160" s="24"/>
      <c r="N160" s="27" t="s">
        <v>3521</v>
      </c>
      <c r="O160" s="6">
        <v>1</v>
      </c>
      <c r="P160" s="2" t="s">
        <v>3503</v>
      </c>
      <c r="Q160" s="24" t="str">
        <f>IF(Tabla1[[#This Row],[evaluacion_]]="","",IF(Tabla1[[#This Row],[evaluacion_]]=1,"Habilitado","No Habilitado"))</f>
        <v>Habilitado</v>
      </c>
      <c r="R160" s="2" t="str">
        <f>IF(Tabla1[[#This Row],[fecha]]="","",TEXT(Tabla1[[#This Row],[fecha]],"DMMAAAA")&amp;TEXT(Tabla1[[#This Row],[hora]],"HHmm"))</f>
        <v>200220261551</v>
      </c>
      <c r="S160" s="19" t="str">
        <f>_xlfn.CONCAT(Tabla1[[#This Row],[codigo_]],Tabla1[[#This Row],[correlativo_]])</f>
        <v>200220261551879</v>
      </c>
      <c r="T160" s="2" t="str">
        <f t="shared" si="9"/>
        <v>20 de febrero del 2026</v>
      </c>
      <c r="U160" s="2" t="str">
        <f>_xlfn.XLOOKUP(Tabla1[[#This Row],[instructor_2]],diccionario_!$A$1:$A$11,diccionario_!$D$1:$D$11,,0)</f>
        <v>Daniel Carvajal B.</v>
      </c>
      <c r="V160" s="2" t="str">
        <f t="shared" si="10"/>
        <v>100%</v>
      </c>
      <c r="W160" s="2" t="s">
        <v>3638</v>
      </c>
    </row>
    <row r="161" spans="1:23" ht="16.5" customHeight="1">
      <c r="A161" s="2">
        <v>880</v>
      </c>
      <c r="B161" s="24" t="s">
        <v>14</v>
      </c>
      <c r="C161" s="24" t="s">
        <v>15</v>
      </c>
      <c r="D161" s="24" t="s">
        <v>9</v>
      </c>
      <c r="E161" s="11">
        <v>46073</v>
      </c>
      <c r="F161" s="29">
        <v>0.66111111111111098</v>
      </c>
      <c r="G161" s="24" t="s">
        <v>73</v>
      </c>
      <c r="H161" s="24" t="s">
        <v>74</v>
      </c>
      <c r="I161" s="24" t="s">
        <v>23</v>
      </c>
      <c r="J161" s="24" t="s">
        <v>24</v>
      </c>
      <c r="K161" s="24" t="s">
        <v>44</v>
      </c>
      <c r="L161" s="24" t="s">
        <v>45</v>
      </c>
      <c r="M161" s="24"/>
      <c r="N161" s="27" t="s">
        <v>3550</v>
      </c>
      <c r="O161" s="6">
        <v>1</v>
      </c>
      <c r="P161" s="2" t="s">
        <v>3503</v>
      </c>
      <c r="Q161" s="24" t="str">
        <f>IF(Tabla1[[#This Row],[evaluacion_]]="","",IF(Tabla1[[#This Row],[evaluacion_]]=1,"Habilitado","No Habilitado"))</f>
        <v>Habilitado</v>
      </c>
      <c r="R161" s="2" t="str">
        <f>IF(Tabla1[[#This Row],[fecha]]="","",TEXT(Tabla1[[#This Row],[fecha]],"DMMAAAA")&amp;TEXT(Tabla1[[#This Row],[hora]],"HHmm"))</f>
        <v>200220261552</v>
      </c>
      <c r="S161" s="19" t="str">
        <f>_xlfn.CONCAT(Tabla1[[#This Row],[codigo_]],Tabla1[[#This Row],[correlativo_]])</f>
        <v>200220261552880</v>
      </c>
      <c r="T161" s="2" t="str">
        <f t="shared" si="9"/>
        <v>20 de febrero del 2026</v>
      </c>
      <c r="U161" s="2" t="str">
        <f>_xlfn.XLOOKUP(Tabla1[[#This Row],[instructor_2]],diccionario_!$A$1:$A$11,diccionario_!$D$1:$D$11,,0)</f>
        <v>Daniel Carvajal B.</v>
      </c>
      <c r="V161" s="2" t="str">
        <f t="shared" si="10"/>
        <v>100%</v>
      </c>
      <c r="W161" s="2" t="s">
        <v>3638</v>
      </c>
    </row>
    <row r="162" spans="1:23" ht="16.5" customHeight="1">
      <c r="A162" s="2">
        <v>881</v>
      </c>
      <c r="B162" s="24" t="s">
        <v>14</v>
      </c>
      <c r="C162" s="24" t="s">
        <v>15</v>
      </c>
      <c r="D162" s="24" t="s">
        <v>9</v>
      </c>
      <c r="E162" s="11">
        <v>46080</v>
      </c>
      <c r="F162" s="29">
        <v>0.67569444444444404</v>
      </c>
      <c r="G162" s="24" t="s">
        <v>1957</v>
      </c>
      <c r="H162" s="24" t="s">
        <v>1958</v>
      </c>
      <c r="I162" s="24" t="s">
        <v>11</v>
      </c>
      <c r="J162" s="24" t="s">
        <v>24</v>
      </c>
      <c r="K162" s="24" t="s">
        <v>19</v>
      </c>
      <c r="L162" s="24" t="s">
        <v>13</v>
      </c>
      <c r="M162" s="24"/>
      <c r="N162" s="27" t="s">
        <v>3548</v>
      </c>
      <c r="O162" s="6">
        <v>1</v>
      </c>
      <c r="P162" s="2" t="s">
        <v>3503</v>
      </c>
      <c r="Q162" s="24" t="str">
        <f>IF(Tabla1[[#This Row],[evaluacion_]]="","",IF(Tabla1[[#This Row],[evaluacion_]]=1,"Habilitado","No Habilitado"))</f>
        <v>Habilitado</v>
      </c>
      <c r="R162" s="2" t="str">
        <f>IF(Tabla1[[#This Row],[fecha]]="","",TEXT(Tabla1[[#This Row],[fecha]],"DMMAAAA")&amp;TEXT(Tabla1[[#This Row],[hora]],"HHmm"))</f>
        <v>270220261613</v>
      </c>
      <c r="S162" s="19" t="str">
        <f>_xlfn.CONCAT(Tabla1[[#This Row],[codigo_]],Tabla1[[#This Row],[correlativo_]])</f>
        <v>270220261613881</v>
      </c>
      <c r="T162" s="2" t="str">
        <f t="shared" si="9"/>
        <v>27 de febrero del 2026</v>
      </c>
      <c r="U162" s="2" t="str">
        <f>_xlfn.XLOOKUP(Tabla1[[#This Row],[instructor_2]],diccionario_!$A$1:$A$11,diccionario_!$D$1:$D$11,,0)</f>
        <v>Daniel Carvajal B.</v>
      </c>
      <c r="V162" s="2" t="str">
        <f t="shared" si="10"/>
        <v>100%</v>
      </c>
      <c r="W162" s="2" t="s">
        <v>3639</v>
      </c>
    </row>
    <row r="163" spans="1:23" ht="16.5" customHeight="1">
      <c r="A163" s="2">
        <v>882</v>
      </c>
      <c r="B163" s="24" t="s">
        <v>14</v>
      </c>
      <c r="C163" s="24" t="s">
        <v>15</v>
      </c>
      <c r="D163" s="24" t="s">
        <v>9</v>
      </c>
      <c r="E163" s="11">
        <v>46080</v>
      </c>
      <c r="F163" s="29">
        <v>0.67708333333333304</v>
      </c>
      <c r="G163" s="24" t="s">
        <v>1957</v>
      </c>
      <c r="H163" s="24" t="s">
        <v>1958</v>
      </c>
      <c r="I163" s="24" t="s">
        <v>29</v>
      </c>
      <c r="J163" s="24" t="s">
        <v>24</v>
      </c>
      <c r="K163" s="24" t="s">
        <v>47</v>
      </c>
      <c r="L163" s="24" t="s">
        <v>46</v>
      </c>
      <c r="M163" s="24"/>
      <c r="N163" s="27" t="s">
        <v>3574</v>
      </c>
      <c r="O163" s="6">
        <v>1</v>
      </c>
      <c r="P163" s="2" t="s">
        <v>3503</v>
      </c>
      <c r="Q163" s="24" t="str">
        <f>IF(Tabla1[[#This Row],[evaluacion_]]="","",IF(Tabla1[[#This Row],[evaluacion_]]=1,"Habilitado","No Habilitado"))</f>
        <v>Habilitado</v>
      </c>
      <c r="R163" s="2" t="str">
        <f>IF(Tabla1[[#This Row],[fecha]]="","",TEXT(Tabla1[[#This Row],[fecha]],"DMMAAAA")&amp;TEXT(Tabla1[[#This Row],[hora]],"HHmm"))</f>
        <v>270220261615</v>
      </c>
      <c r="S163" s="19" t="str">
        <f>_xlfn.CONCAT(Tabla1[[#This Row],[codigo_]],Tabla1[[#This Row],[correlativo_]])</f>
        <v>270220261615882</v>
      </c>
      <c r="T163" s="2" t="str">
        <f t="shared" si="9"/>
        <v>27 de febrero del 2026</v>
      </c>
      <c r="U163" s="2" t="str">
        <f>_xlfn.XLOOKUP(Tabla1[[#This Row],[instructor_2]],diccionario_!$A$1:$A$11,diccionario_!$D$1:$D$11,,0)</f>
        <v>Daniel Carvajal B.</v>
      </c>
      <c r="V163" s="2" t="str">
        <f t="shared" si="10"/>
        <v>100%</v>
      </c>
      <c r="W163" s="2" t="s">
        <v>3639</v>
      </c>
    </row>
    <row r="164" spans="1:23" ht="16.5" customHeight="1">
      <c r="A164" s="2">
        <v>883</v>
      </c>
      <c r="B164" s="24" t="s">
        <v>14</v>
      </c>
      <c r="C164" s="24" t="s">
        <v>15</v>
      </c>
      <c r="D164" s="24" t="s">
        <v>9</v>
      </c>
      <c r="E164" s="11">
        <v>46080</v>
      </c>
      <c r="F164" s="29">
        <v>0.67847222222222203</v>
      </c>
      <c r="G164" s="24" t="s">
        <v>1957</v>
      </c>
      <c r="H164" s="24" t="s">
        <v>1958</v>
      </c>
      <c r="I164" s="24" t="s">
        <v>23</v>
      </c>
      <c r="J164" s="24" t="s">
        <v>24</v>
      </c>
      <c r="K164" s="24" t="s">
        <v>44</v>
      </c>
      <c r="L164" s="24" t="s">
        <v>45</v>
      </c>
      <c r="M164" s="24"/>
      <c r="N164" s="27" t="s">
        <v>3550</v>
      </c>
      <c r="O164" s="6">
        <v>1</v>
      </c>
      <c r="P164" s="2" t="s">
        <v>3503</v>
      </c>
      <c r="Q164" s="24" t="str">
        <f>IF(Tabla1[[#This Row],[evaluacion_]]="","",IF(Tabla1[[#This Row],[evaluacion_]]=1,"Habilitado","No Habilitado"))</f>
        <v>Habilitado</v>
      </c>
      <c r="R164" s="2" t="str">
        <f>IF(Tabla1[[#This Row],[fecha]]="","",TEXT(Tabla1[[#This Row],[fecha]],"DMMAAAA")&amp;TEXT(Tabla1[[#This Row],[hora]],"HHmm"))</f>
        <v>270220261617</v>
      </c>
      <c r="S164" s="19" t="str">
        <f>_xlfn.CONCAT(Tabla1[[#This Row],[codigo_]],Tabla1[[#This Row],[correlativo_]])</f>
        <v>270220261617883</v>
      </c>
      <c r="T164" s="2" t="str">
        <f t="shared" si="9"/>
        <v>27 de febrero del 2026</v>
      </c>
      <c r="U164" s="2" t="str">
        <f>_xlfn.XLOOKUP(Tabla1[[#This Row],[instructor_2]],diccionario_!$A$1:$A$11,diccionario_!$D$1:$D$11,,0)</f>
        <v>Daniel Carvajal B.</v>
      </c>
      <c r="V164" s="2" t="str">
        <f t="shared" si="10"/>
        <v>100%</v>
      </c>
      <c r="W164" s="2" t="s">
        <v>3639</v>
      </c>
    </row>
    <row r="165" spans="1:23" ht="16.5" customHeight="1">
      <c r="A165" s="2">
        <v>884</v>
      </c>
      <c r="B165" s="24" t="s">
        <v>14</v>
      </c>
      <c r="C165" s="24" t="s">
        <v>15</v>
      </c>
      <c r="D165" s="24" t="s">
        <v>9</v>
      </c>
      <c r="E165" s="11">
        <v>46058</v>
      </c>
      <c r="F165" s="29">
        <v>0.70902777777777803</v>
      </c>
      <c r="G165" s="24" t="s">
        <v>3109</v>
      </c>
      <c r="H165" s="24" t="s">
        <v>3110</v>
      </c>
      <c r="I165" s="24" t="s">
        <v>11</v>
      </c>
      <c r="J165" s="24" t="s">
        <v>24</v>
      </c>
      <c r="K165" s="24" t="s">
        <v>19</v>
      </c>
      <c r="L165" s="24" t="s">
        <v>13</v>
      </c>
      <c r="M165" s="24"/>
      <c r="N165" s="27" t="s">
        <v>3548</v>
      </c>
      <c r="O165" s="6">
        <v>1</v>
      </c>
      <c r="P165" s="2" t="s">
        <v>3503</v>
      </c>
      <c r="Q165" s="24" t="str">
        <f>IF(Tabla1[[#This Row],[evaluacion_]]="","",IF(Tabla1[[#This Row],[evaluacion_]]=1,"Habilitado","No Habilitado"))</f>
        <v>Habilitado</v>
      </c>
      <c r="R165" s="2" t="str">
        <f>IF(Tabla1[[#This Row],[fecha]]="","",TEXT(Tabla1[[#This Row],[fecha]],"DMMAAAA")&amp;TEXT(Tabla1[[#This Row],[hora]],"HHmm"))</f>
        <v>50220261701</v>
      </c>
      <c r="S165" s="19" t="str">
        <f>_xlfn.CONCAT(Tabla1[[#This Row],[codigo_]],Tabla1[[#This Row],[correlativo_]])</f>
        <v>50220261701884</v>
      </c>
      <c r="T165" s="2" t="str">
        <f t="shared" si="9"/>
        <v>5 de febrero del 2026</v>
      </c>
      <c r="U165" s="2" t="str">
        <f>_xlfn.XLOOKUP(Tabla1[[#This Row],[instructor_2]],diccionario_!$A$1:$A$11,diccionario_!$D$1:$D$11,,0)</f>
        <v>Daniel Carvajal B.</v>
      </c>
      <c r="V165" s="2" t="str">
        <f t="shared" si="10"/>
        <v>100%</v>
      </c>
      <c r="W165" s="2" t="s">
        <v>3640</v>
      </c>
    </row>
    <row r="166" spans="1:23" ht="16.5" customHeight="1">
      <c r="A166" s="2">
        <v>885</v>
      </c>
      <c r="B166" s="24" t="s">
        <v>14</v>
      </c>
      <c r="C166" s="24" t="s">
        <v>15</v>
      </c>
      <c r="D166" s="24" t="s">
        <v>9</v>
      </c>
      <c r="E166" s="11">
        <v>46058</v>
      </c>
      <c r="F166" s="29">
        <v>0.70972222222222203</v>
      </c>
      <c r="G166" s="24" t="s">
        <v>3109</v>
      </c>
      <c r="H166" s="24" t="s">
        <v>3110</v>
      </c>
      <c r="I166" s="24" t="s">
        <v>29</v>
      </c>
      <c r="J166" s="24" t="s">
        <v>24</v>
      </c>
      <c r="K166" s="24" t="s">
        <v>47</v>
      </c>
      <c r="L166" s="24" t="s">
        <v>46</v>
      </c>
      <c r="M166" s="24"/>
      <c r="N166" s="27" t="s">
        <v>3574</v>
      </c>
      <c r="O166" s="6">
        <v>1</v>
      </c>
      <c r="P166" s="2" t="s">
        <v>3503</v>
      </c>
      <c r="Q166" s="24" t="str">
        <f>IF(Tabla1[[#This Row],[evaluacion_]]="","",IF(Tabla1[[#This Row],[evaluacion_]]=1,"Habilitado","No Habilitado"))</f>
        <v>Habilitado</v>
      </c>
      <c r="R166" s="2" t="str">
        <f>IF(Tabla1[[#This Row],[fecha]]="","",TEXT(Tabla1[[#This Row],[fecha]],"DMMAAAA")&amp;TEXT(Tabla1[[#This Row],[hora]],"HHmm"))</f>
        <v>50220261702</v>
      </c>
      <c r="S166" s="19" t="str">
        <f>_xlfn.CONCAT(Tabla1[[#This Row],[codigo_]],Tabla1[[#This Row],[correlativo_]])</f>
        <v>50220261702885</v>
      </c>
      <c r="T166" s="2" t="str">
        <f t="shared" si="9"/>
        <v>5 de febrero del 2026</v>
      </c>
      <c r="U166" s="2" t="str">
        <f>_xlfn.XLOOKUP(Tabla1[[#This Row],[instructor_2]],diccionario_!$A$1:$A$11,diccionario_!$D$1:$D$11,,0)</f>
        <v>Daniel Carvajal B.</v>
      </c>
      <c r="V166" s="2" t="str">
        <f t="shared" si="10"/>
        <v>100%</v>
      </c>
      <c r="W166" s="2" t="s">
        <v>3640</v>
      </c>
    </row>
    <row r="167" spans="1:23" ht="16.5" customHeight="1">
      <c r="A167" s="2">
        <v>886</v>
      </c>
      <c r="B167" s="24" t="s">
        <v>14</v>
      </c>
      <c r="C167" s="24" t="s">
        <v>15</v>
      </c>
      <c r="D167" s="24" t="s">
        <v>9</v>
      </c>
      <c r="E167" s="11">
        <v>46058</v>
      </c>
      <c r="F167" s="29">
        <v>0.71041666666666703</v>
      </c>
      <c r="G167" s="24" t="s">
        <v>3109</v>
      </c>
      <c r="H167" s="24" t="s">
        <v>3110</v>
      </c>
      <c r="I167" s="24" t="s">
        <v>23</v>
      </c>
      <c r="J167" s="24" t="s">
        <v>24</v>
      </c>
      <c r="K167" s="24" t="s">
        <v>44</v>
      </c>
      <c r="L167" s="24" t="s">
        <v>45</v>
      </c>
      <c r="M167" s="24"/>
      <c r="N167" s="27" t="s">
        <v>3550</v>
      </c>
      <c r="O167" s="6">
        <v>1</v>
      </c>
      <c r="P167" s="2" t="s">
        <v>3503</v>
      </c>
      <c r="Q167" s="24" t="str">
        <f>IF(Tabla1[[#This Row],[evaluacion_]]="","",IF(Tabla1[[#This Row],[evaluacion_]]=1,"Habilitado","No Habilitado"))</f>
        <v>Habilitado</v>
      </c>
      <c r="R167" s="2" t="str">
        <f>IF(Tabla1[[#This Row],[fecha]]="","",TEXT(Tabla1[[#This Row],[fecha]],"DMMAAAA")&amp;TEXT(Tabla1[[#This Row],[hora]],"HHmm"))</f>
        <v>50220261703</v>
      </c>
      <c r="S167" s="19" t="str">
        <f>_xlfn.CONCAT(Tabla1[[#This Row],[codigo_]],Tabla1[[#This Row],[correlativo_]])</f>
        <v>50220261703886</v>
      </c>
      <c r="T167" s="2" t="str">
        <f t="shared" si="9"/>
        <v>5 de febrero del 2026</v>
      </c>
      <c r="U167" s="2" t="str">
        <f>_xlfn.XLOOKUP(Tabla1[[#This Row],[instructor_2]],diccionario_!$A$1:$A$11,diccionario_!$D$1:$D$11,,0)</f>
        <v>Daniel Carvajal B.</v>
      </c>
      <c r="V167" s="2" t="str">
        <f t="shared" si="10"/>
        <v>100%</v>
      </c>
      <c r="W167" s="2" t="s">
        <v>3640</v>
      </c>
    </row>
    <row r="168" spans="1:23" ht="16.5" customHeight="1">
      <c r="A168" s="2">
        <v>887</v>
      </c>
      <c r="B168" s="24" t="s">
        <v>14</v>
      </c>
      <c r="C168" s="24" t="s">
        <v>15</v>
      </c>
      <c r="D168" s="24" t="s">
        <v>9</v>
      </c>
      <c r="E168" s="11">
        <v>46058</v>
      </c>
      <c r="F168" s="29">
        <v>0.70138888888888895</v>
      </c>
      <c r="G168" s="24" t="s">
        <v>1391</v>
      </c>
      <c r="H168" s="24" t="s">
        <v>1392</v>
      </c>
      <c r="I168" s="24" t="s">
        <v>11</v>
      </c>
      <c r="J168" s="24" t="s">
        <v>24</v>
      </c>
      <c r="K168" s="24" t="s">
        <v>19</v>
      </c>
      <c r="L168" s="24" t="s">
        <v>13</v>
      </c>
      <c r="M168" s="24"/>
      <c r="N168" s="27" t="s">
        <v>3548</v>
      </c>
      <c r="O168" s="6">
        <v>1</v>
      </c>
      <c r="P168" s="2" t="s">
        <v>3503</v>
      </c>
      <c r="Q168" s="24" t="str">
        <f>IF(Tabla1[[#This Row],[evaluacion_]]="","",IF(Tabla1[[#This Row],[evaluacion_]]=1,"Habilitado","No Habilitado"))</f>
        <v>Habilitado</v>
      </c>
      <c r="R168" s="2" t="str">
        <f>IF(Tabla1[[#This Row],[fecha]]="","",TEXT(Tabla1[[#This Row],[fecha]],"DMMAAAA")&amp;TEXT(Tabla1[[#This Row],[hora]],"HHmm"))</f>
        <v>50220261650</v>
      </c>
      <c r="S168" s="19" t="str">
        <f>_xlfn.CONCAT(Tabla1[[#This Row],[codigo_]],Tabla1[[#This Row],[correlativo_]])</f>
        <v>50220261650887</v>
      </c>
      <c r="T168" s="2" t="str">
        <f t="shared" si="9"/>
        <v>5 de febrero del 2026</v>
      </c>
      <c r="U168" s="2" t="str">
        <f>_xlfn.XLOOKUP(Tabla1[[#This Row],[instructor_2]],diccionario_!$A$1:$A$11,diccionario_!$D$1:$D$11,,0)</f>
        <v>Daniel Carvajal B.</v>
      </c>
      <c r="V168" s="2" t="str">
        <f t="shared" si="10"/>
        <v>100%</v>
      </c>
      <c r="W168" s="2" t="s">
        <v>3641</v>
      </c>
    </row>
    <row r="169" spans="1:23" ht="16.5" customHeight="1">
      <c r="A169" s="2">
        <v>888</v>
      </c>
      <c r="B169" s="24" t="s">
        <v>14</v>
      </c>
      <c r="C169" s="24" t="s">
        <v>15</v>
      </c>
      <c r="D169" s="24" t="s">
        <v>9</v>
      </c>
      <c r="E169" s="11">
        <v>46058</v>
      </c>
      <c r="F169" s="29">
        <v>0.70208333333333295</v>
      </c>
      <c r="G169" s="24" t="s">
        <v>1391</v>
      </c>
      <c r="H169" s="24" t="s">
        <v>1392</v>
      </c>
      <c r="I169" s="24" t="s">
        <v>29</v>
      </c>
      <c r="J169" s="24" t="s">
        <v>24</v>
      </c>
      <c r="K169" s="24" t="s">
        <v>47</v>
      </c>
      <c r="L169" s="24" t="s">
        <v>46</v>
      </c>
      <c r="M169" s="24"/>
      <c r="N169" s="27" t="s">
        <v>3574</v>
      </c>
      <c r="O169" s="6">
        <v>1</v>
      </c>
      <c r="P169" s="2" t="s">
        <v>3503</v>
      </c>
      <c r="Q169" s="24" t="str">
        <f>IF(Tabla1[[#This Row],[evaluacion_]]="","",IF(Tabla1[[#This Row],[evaluacion_]]=1,"Habilitado","No Habilitado"))</f>
        <v>Habilitado</v>
      </c>
      <c r="R169" s="2" t="str">
        <f>IF(Tabla1[[#This Row],[fecha]]="","",TEXT(Tabla1[[#This Row],[fecha]],"DMMAAAA")&amp;TEXT(Tabla1[[#This Row],[hora]],"HHmm"))</f>
        <v>50220261651</v>
      </c>
      <c r="S169" s="19" t="str">
        <f>_xlfn.CONCAT(Tabla1[[#This Row],[codigo_]],Tabla1[[#This Row],[correlativo_]])</f>
        <v>50220261651888</v>
      </c>
      <c r="T169" s="2" t="str">
        <f t="shared" si="9"/>
        <v>5 de febrero del 2026</v>
      </c>
      <c r="U169" s="2" t="str">
        <f>_xlfn.XLOOKUP(Tabla1[[#This Row],[instructor_2]],diccionario_!$A$1:$A$11,diccionario_!$D$1:$D$11,,0)</f>
        <v>Daniel Carvajal B.</v>
      </c>
      <c r="V169" s="2" t="str">
        <f t="shared" si="10"/>
        <v>100%</v>
      </c>
      <c r="W169" s="2" t="s">
        <v>3641</v>
      </c>
    </row>
    <row r="170" spans="1:23" ht="16.5" customHeight="1">
      <c r="A170" s="2">
        <v>889</v>
      </c>
      <c r="B170" s="24" t="s">
        <v>14</v>
      </c>
      <c r="C170" s="24" t="s">
        <v>15</v>
      </c>
      <c r="D170" s="24" t="s">
        <v>9</v>
      </c>
      <c r="E170" s="11">
        <v>46058</v>
      </c>
      <c r="F170" s="29">
        <v>0.70277777777777795</v>
      </c>
      <c r="G170" s="24" t="s">
        <v>1391</v>
      </c>
      <c r="H170" s="24" t="s">
        <v>1392</v>
      </c>
      <c r="I170" s="24" t="s">
        <v>23</v>
      </c>
      <c r="J170" s="24" t="s">
        <v>24</v>
      </c>
      <c r="K170" s="24" t="s">
        <v>44</v>
      </c>
      <c r="L170" s="24" t="s">
        <v>45</v>
      </c>
      <c r="M170" s="24"/>
      <c r="N170" s="27" t="s">
        <v>3550</v>
      </c>
      <c r="O170" s="6">
        <v>1</v>
      </c>
      <c r="P170" s="2" t="s">
        <v>3503</v>
      </c>
      <c r="Q170" s="24" t="str">
        <f>IF(Tabla1[[#This Row],[evaluacion_]]="","",IF(Tabla1[[#This Row],[evaluacion_]]=1,"Habilitado","No Habilitado"))</f>
        <v>Habilitado</v>
      </c>
      <c r="R170" s="2" t="str">
        <f>IF(Tabla1[[#This Row],[fecha]]="","",TEXT(Tabla1[[#This Row],[fecha]],"DMMAAAA")&amp;TEXT(Tabla1[[#This Row],[hora]],"HHmm"))</f>
        <v>50220261652</v>
      </c>
      <c r="S170" s="19" t="str">
        <f>_xlfn.CONCAT(Tabla1[[#This Row],[codigo_]],Tabla1[[#This Row],[correlativo_]])</f>
        <v>50220261652889</v>
      </c>
      <c r="T170" s="2" t="str">
        <f t="shared" si="9"/>
        <v>5 de febrero del 2026</v>
      </c>
      <c r="U170" s="2" t="str">
        <f>_xlfn.XLOOKUP(Tabla1[[#This Row],[instructor_2]],diccionario_!$A$1:$A$11,diccionario_!$D$1:$D$11,,0)</f>
        <v>Daniel Carvajal B.</v>
      </c>
      <c r="V170" s="2" t="str">
        <f t="shared" si="10"/>
        <v>100%</v>
      </c>
      <c r="W170" s="2" t="s">
        <v>3641</v>
      </c>
    </row>
    <row r="171" spans="1:23" ht="16.5" customHeight="1">
      <c r="A171" s="2">
        <v>890</v>
      </c>
      <c r="B171" s="24"/>
      <c r="C171" s="24"/>
      <c r="D171" s="24"/>
      <c r="E171" s="11">
        <v>46106</v>
      </c>
      <c r="F171" s="29"/>
      <c r="G171" s="24"/>
      <c r="H171" s="24"/>
      <c r="I171" s="24" t="s">
        <v>40</v>
      </c>
      <c r="J171" s="24"/>
      <c r="K171" s="24"/>
      <c r="L171" s="24"/>
      <c r="M171" s="24"/>
      <c r="N171" s="27"/>
      <c r="O171" s="6" t="s">
        <v>3507</v>
      </c>
      <c r="P171" s="2" t="s">
        <v>3503</v>
      </c>
      <c r="Q171" s="24" t="str">
        <f>IF(Tabla1[[#This Row],[evaluacion_]]="","",IF(Tabla1[[#This Row],[evaluacion_]]=1,"Habilitado","No Habilitado"))</f>
        <v>No Habilitado</v>
      </c>
      <c r="R171" s="2" t="str">
        <f>IF(Tabla1[[#This Row],[fecha]]="","",TEXT(Tabla1[[#This Row],[fecha]],"DMMAAAA")&amp;TEXT(Tabla1[[#This Row],[hora]],"HHmm"))</f>
        <v>250320260000</v>
      </c>
      <c r="S171" s="19" t="str">
        <f>_xlfn.CONCAT(Tabla1[[#This Row],[codigo_]],Tabla1[[#This Row],[correlativo_]])</f>
        <v>250320260000890</v>
      </c>
      <c r="T171" s="2" t="str">
        <f t="shared" si="9"/>
        <v>25 de marzo del 2026</v>
      </c>
      <c r="U171" s="2">
        <f>_xlfn.XLOOKUP(Tabla1[[#This Row],[instructor_2]],diccionario_!$A$1:$A$11,diccionario_!$D$1:$D$11,,0)</f>
        <v>0</v>
      </c>
      <c r="V171" s="2" t="str">
        <f t="shared" si="10"/>
        <v>información de calificación errónea</v>
      </c>
      <c r="W171" s="2" t="s">
        <v>3642</v>
      </c>
    </row>
    <row r="172" spans="1:23" ht="16.5" customHeight="1">
      <c r="A172" s="2">
        <v>891</v>
      </c>
      <c r="B172" s="24" t="s">
        <v>32</v>
      </c>
      <c r="C172" s="24" t="s">
        <v>33</v>
      </c>
      <c r="D172" s="24" t="s">
        <v>9</v>
      </c>
      <c r="E172" s="11">
        <v>46106</v>
      </c>
      <c r="F172" s="29">
        <v>0.41666666666666702</v>
      </c>
      <c r="G172" s="24" t="s">
        <v>712</v>
      </c>
      <c r="H172" s="24" t="s">
        <v>713</v>
      </c>
      <c r="I172" s="24" t="s">
        <v>11</v>
      </c>
      <c r="J172" s="24" t="s">
        <v>30</v>
      </c>
      <c r="K172" s="24" t="s">
        <v>37</v>
      </c>
      <c r="L172" s="24" t="s">
        <v>25</v>
      </c>
      <c r="M172" s="24"/>
      <c r="N172" s="27" t="s">
        <v>3526</v>
      </c>
      <c r="O172" s="6">
        <v>1</v>
      </c>
      <c r="P172" s="2" t="s">
        <v>3503</v>
      </c>
      <c r="Q172" s="24" t="str">
        <f>IF(Tabla1[[#This Row],[evaluacion_]]="","",IF(Tabla1[[#This Row],[evaluacion_]]=1,"Habilitado","No Habilitado"))</f>
        <v>Habilitado</v>
      </c>
      <c r="R172" s="2" t="str">
        <f>IF(Tabla1[[#This Row],[fecha]]="","",TEXT(Tabla1[[#This Row],[fecha]],"DMMAAAA")&amp;TEXT(Tabla1[[#This Row],[hora]],"HHmm"))</f>
        <v>250320261000</v>
      </c>
      <c r="S172" s="19" t="str">
        <f>_xlfn.CONCAT(Tabla1[[#This Row],[codigo_]],Tabla1[[#This Row],[correlativo_]])</f>
        <v>250320261000891</v>
      </c>
      <c r="T172" s="2" t="str">
        <f t="shared" si="9"/>
        <v>25 de marzo del 2026</v>
      </c>
      <c r="U172" s="2" t="str">
        <f>_xlfn.XLOOKUP(Tabla1[[#This Row],[instructor_2]],diccionario_!$A$1:$A$11,diccionario_!$D$1:$D$11,,0)</f>
        <v>Guillermo Milla M.</v>
      </c>
      <c r="V172" s="2" t="str">
        <f t="shared" si="10"/>
        <v>100%</v>
      </c>
      <c r="W172" s="2" t="s">
        <v>3642</v>
      </c>
    </row>
    <row r="173" spans="1:23" ht="16.5" customHeight="1">
      <c r="A173" s="2">
        <v>892</v>
      </c>
      <c r="B173" s="24" t="s">
        <v>32</v>
      </c>
      <c r="C173" s="24" t="s">
        <v>33</v>
      </c>
      <c r="D173" s="24" t="s">
        <v>9</v>
      </c>
      <c r="E173" s="11">
        <v>46091</v>
      </c>
      <c r="F173" s="29">
        <v>0.41666666666666702</v>
      </c>
      <c r="G173" s="24" t="s">
        <v>120</v>
      </c>
      <c r="H173" s="24" t="s">
        <v>121</v>
      </c>
      <c r="I173" s="24" t="s">
        <v>11</v>
      </c>
      <c r="J173" s="24" t="s">
        <v>36</v>
      </c>
      <c r="K173" s="24" t="s">
        <v>25</v>
      </c>
      <c r="L173" s="24"/>
      <c r="M173" s="24"/>
      <c r="N173" s="27" t="s">
        <v>25</v>
      </c>
      <c r="O173" s="6">
        <v>1</v>
      </c>
      <c r="P173" s="2" t="s">
        <v>3503</v>
      </c>
      <c r="Q173" s="24" t="str">
        <f>IF(Tabla1[[#This Row],[evaluacion_]]="","",IF(Tabla1[[#This Row],[evaluacion_]]=1,"Habilitado","No Habilitado"))</f>
        <v>Habilitado</v>
      </c>
      <c r="R173" s="2" t="str">
        <f>IF(Tabla1[[#This Row],[fecha]]="","",TEXT(Tabla1[[#This Row],[fecha]],"DMMAAAA")&amp;TEXT(Tabla1[[#This Row],[hora]],"HHmm"))</f>
        <v>100320261000</v>
      </c>
      <c r="S173" s="19" t="str">
        <f>_xlfn.CONCAT(Tabla1[[#This Row],[codigo_]],Tabla1[[#This Row],[correlativo_]])</f>
        <v>100320261000892</v>
      </c>
      <c r="T173" s="2" t="str">
        <f t="shared" ref="T173:T204" si="11">DAY(E173) &amp; " de " &amp; TEXT(E173, "mmmm") &amp; " del " &amp; YEAR(E173)</f>
        <v>10 de marzo del 2026</v>
      </c>
      <c r="U173" s="2" t="str">
        <f>_xlfn.XLOOKUP(Tabla1[[#This Row],[instructor_2]],diccionario_!$A$1:$A$11,diccionario_!$D$1:$D$11,,0)</f>
        <v>Guillermo Milla M.</v>
      </c>
      <c r="V173" s="2" t="str">
        <f t="shared" si="10"/>
        <v>100%</v>
      </c>
      <c r="W173" s="2" t="s">
        <v>3643</v>
      </c>
    </row>
    <row r="174" spans="1:23" ht="16.5" customHeight="1">
      <c r="A174" s="2">
        <v>893</v>
      </c>
      <c r="B174" s="24" t="s">
        <v>7</v>
      </c>
      <c r="C174" s="24" t="s">
        <v>8</v>
      </c>
      <c r="D174" s="24" t="s">
        <v>9</v>
      </c>
      <c r="E174" s="11">
        <v>46093</v>
      </c>
      <c r="F174" s="29">
        <v>0.75</v>
      </c>
      <c r="G174" s="24" t="s">
        <v>929</v>
      </c>
      <c r="H174" s="24" t="s">
        <v>930</v>
      </c>
      <c r="I174" s="24" t="s">
        <v>11</v>
      </c>
      <c r="J174" s="24" t="s">
        <v>12</v>
      </c>
      <c r="K174" s="24" t="s">
        <v>13</v>
      </c>
      <c r="L174" s="24" t="s">
        <v>37</v>
      </c>
      <c r="M174" s="24" t="s">
        <v>25</v>
      </c>
      <c r="N174" s="27" t="s">
        <v>3644</v>
      </c>
      <c r="O174" s="6">
        <v>1</v>
      </c>
      <c r="P174" s="2" t="s">
        <v>3503</v>
      </c>
      <c r="Q174" s="24" t="str">
        <f>IF(Tabla1[[#This Row],[evaluacion_]]="","",IF(Tabla1[[#This Row],[evaluacion_]]=1,"Habilitado","No Habilitado"))</f>
        <v>Habilitado</v>
      </c>
      <c r="R174" s="2" t="str">
        <f>IF(Tabla1[[#This Row],[fecha]]="","",TEXT(Tabla1[[#This Row],[fecha]],"DMMAAAA")&amp;TEXT(Tabla1[[#This Row],[hora]],"HHmm"))</f>
        <v>120320261800</v>
      </c>
      <c r="S174" s="19" t="str">
        <f>_xlfn.CONCAT(Tabla1[[#This Row],[codigo_]],Tabla1[[#This Row],[correlativo_]])</f>
        <v>120320261800893</v>
      </c>
      <c r="T174" s="2" t="str">
        <f t="shared" si="11"/>
        <v>12 de marzo del 2026</v>
      </c>
      <c r="U174" s="2" t="str">
        <f>_xlfn.XLOOKUP(Tabla1[[#This Row],[instructor_2]],diccionario_!$A$1:$A$11,diccionario_!$D$1:$D$11,,0)</f>
        <v>Marcelo Barrera A.</v>
      </c>
      <c r="V174" s="2" t="str">
        <f t="shared" si="10"/>
        <v>100%</v>
      </c>
      <c r="W174" s="2" t="s">
        <v>3645</v>
      </c>
    </row>
    <row r="175" spans="1:23" ht="16.5" customHeight="1">
      <c r="A175" s="2">
        <v>894</v>
      </c>
      <c r="B175" s="24" t="s">
        <v>7</v>
      </c>
      <c r="C175" s="24" t="s">
        <v>8</v>
      </c>
      <c r="D175" s="24" t="s">
        <v>9</v>
      </c>
      <c r="E175" s="11">
        <v>46093</v>
      </c>
      <c r="F175" s="29">
        <v>0.75</v>
      </c>
      <c r="G175" s="24" t="s">
        <v>929</v>
      </c>
      <c r="H175" s="24" t="s">
        <v>930</v>
      </c>
      <c r="I175" s="24" t="s">
        <v>23</v>
      </c>
      <c r="J175" s="24" t="s">
        <v>12</v>
      </c>
      <c r="K175" s="24" t="s">
        <v>41</v>
      </c>
      <c r="L175" s="24"/>
      <c r="M175" s="24"/>
      <c r="N175" s="27" t="s">
        <v>41</v>
      </c>
      <c r="O175" s="6">
        <v>1</v>
      </c>
      <c r="P175" s="2" t="s">
        <v>3503</v>
      </c>
      <c r="Q175" s="24" t="str">
        <f>IF(Tabla1[[#This Row],[evaluacion_]]="","",IF(Tabla1[[#This Row],[evaluacion_]]=1,"Habilitado","No Habilitado"))</f>
        <v>Habilitado</v>
      </c>
      <c r="R175" s="2" t="str">
        <f>IF(Tabla1[[#This Row],[fecha]]="","",TEXT(Tabla1[[#This Row],[fecha]],"DMMAAAA")&amp;TEXT(Tabla1[[#This Row],[hora]],"HHmm"))</f>
        <v>120320261800</v>
      </c>
      <c r="S175" s="19" t="str">
        <f>_xlfn.CONCAT(Tabla1[[#This Row],[codigo_]],Tabla1[[#This Row],[correlativo_]])</f>
        <v>120320261800894</v>
      </c>
      <c r="T175" s="2" t="str">
        <f t="shared" si="11"/>
        <v>12 de marzo del 2026</v>
      </c>
      <c r="U175" s="2" t="str">
        <f>_xlfn.XLOOKUP(Tabla1[[#This Row],[instructor_2]],diccionario_!$A$1:$A$11,diccionario_!$D$1:$D$11,,0)</f>
        <v>Marcelo Barrera A.</v>
      </c>
      <c r="V175" s="2" t="str">
        <f t="shared" si="10"/>
        <v>100%</v>
      </c>
      <c r="W175" s="2" t="s">
        <v>3645</v>
      </c>
    </row>
    <row r="176" spans="1:23" ht="16.5" customHeight="1">
      <c r="A176" s="2">
        <v>895</v>
      </c>
      <c r="B176" s="24" t="s">
        <v>14</v>
      </c>
      <c r="C176" s="24" t="s">
        <v>15</v>
      </c>
      <c r="D176" s="24" t="s">
        <v>9</v>
      </c>
      <c r="E176" s="11">
        <v>46107</v>
      </c>
      <c r="F176" s="29">
        <v>0.62638888888888899</v>
      </c>
      <c r="G176" s="24" t="s">
        <v>3199</v>
      </c>
      <c r="H176" s="24" t="s">
        <v>3200</v>
      </c>
      <c r="I176" s="24" t="s">
        <v>11</v>
      </c>
      <c r="J176" s="24" t="s">
        <v>24</v>
      </c>
      <c r="K176" s="24" t="s">
        <v>19</v>
      </c>
      <c r="L176" s="24" t="s">
        <v>13</v>
      </c>
      <c r="M176" s="24"/>
      <c r="N176" s="27" t="s">
        <v>3548</v>
      </c>
      <c r="O176" s="6">
        <v>1</v>
      </c>
      <c r="P176" s="2" t="s">
        <v>3503</v>
      </c>
      <c r="Q176" s="24" t="str">
        <f>IF(Tabla1[[#This Row],[evaluacion_]]="","",IF(Tabla1[[#This Row],[evaluacion_]]=1,"Habilitado","No Habilitado"))</f>
        <v>Habilitado</v>
      </c>
      <c r="R176" s="2" t="str">
        <f>IF(Tabla1[[#This Row],[fecha]]="","",TEXT(Tabla1[[#This Row],[fecha]],"DMMAAAA")&amp;TEXT(Tabla1[[#This Row],[hora]],"HHmm"))</f>
        <v>260320261502</v>
      </c>
      <c r="S176" s="19" t="str">
        <f>_xlfn.CONCAT(Tabla1[[#This Row],[codigo_]],Tabla1[[#This Row],[correlativo_]])</f>
        <v>260320261502895</v>
      </c>
      <c r="T176" s="2" t="str">
        <f t="shared" si="11"/>
        <v>26 de marzo del 2026</v>
      </c>
      <c r="U176" s="2" t="str">
        <f>_xlfn.XLOOKUP(Tabla1[[#This Row],[instructor_2]],diccionario_!$A$1:$A$11,diccionario_!$D$1:$D$11,,0)</f>
        <v>Daniel Carvajal B.</v>
      </c>
      <c r="V176" s="2" t="str">
        <f t="shared" si="10"/>
        <v>100%</v>
      </c>
      <c r="W176" s="2" t="s">
        <v>3646</v>
      </c>
    </row>
    <row r="177" spans="1:23" ht="16.5" customHeight="1">
      <c r="A177" s="2">
        <v>896</v>
      </c>
      <c r="B177" s="24" t="s">
        <v>14</v>
      </c>
      <c r="C177" s="24" t="s">
        <v>15</v>
      </c>
      <c r="D177" s="24" t="s">
        <v>9</v>
      </c>
      <c r="E177" s="11">
        <v>46107</v>
      </c>
      <c r="F177" s="29">
        <v>0.62708333333333299</v>
      </c>
      <c r="G177" s="24" t="s">
        <v>3199</v>
      </c>
      <c r="H177" s="24" t="s">
        <v>3200</v>
      </c>
      <c r="I177" s="24" t="s">
        <v>29</v>
      </c>
      <c r="J177" s="24" t="s">
        <v>24</v>
      </c>
      <c r="K177" s="24" t="s">
        <v>47</v>
      </c>
      <c r="L177" s="24" t="s">
        <v>46</v>
      </c>
      <c r="M177" s="24"/>
      <c r="N177" s="27" t="s">
        <v>3574</v>
      </c>
      <c r="O177" s="6">
        <v>1</v>
      </c>
      <c r="P177" s="2" t="s">
        <v>3503</v>
      </c>
      <c r="Q177" s="24" t="str">
        <f>IF(Tabla1[[#This Row],[evaluacion_]]="","",IF(Tabla1[[#This Row],[evaluacion_]]=1,"Habilitado","No Habilitado"))</f>
        <v>Habilitado</v>
      </c>
      <c r="R177" s="2" t="str">
        <f>IF(Tabla1[[#This Row],[fecha]]="","",TEXT(Tabla1[[#This Row],[fecha]],"DMMAAAA")&amp;TEXT(Tabla1[[#This Row],[hora]],"HHmm"))</f>
        <v>260320261503</v>
      </c>
      <c r="S177" s="19" t="str">
        <f>_xlfn.CONCAT(Tabla1[[#This Row],[codigo_]],Tabla1[[#This Row],[correlativo_]])</f>
        <v>260320261503896</v>
      </c>
      <c r="T177" s="2" t="str">
        <f t="shared" si="11"/>
        <v>26 de marzo del 2026</v>
      </c>
      <c r="U177" s="2" t="str">
        <f>_xlfn.XLOOKUP(Tabla1[[#This Row],[instructor_2]],diccionario_!$A$1:$A$11,diccionario_!$D$1:$D$11,,0)</f>
        <v>Daniel Carvajal B.</v>
      </c>
      <c r="V177" s="2" t="str">
        <f t="shared" ref="V177:V208" si="12">TEXT(O177,"0%")</f>
        <v>100%</v>
      </c>
      <c r="W177" s="2" t="s">
        <v>3646</v>
      </c>
    </row>
    <row r="178" spans="1:23" ht="16.5" customHeight="1">
      <c r="A178" s="2">
        <v>897</v>
      </c>
      <c r="B178" s="24" t="s">
        <v>14</v>
      </c>
      <c r="C178" s="24" t="s">
        <v>15</v>
      </c>
      <c r="D178" s="24" t="s">
        <v>9</v>
      </c>
      <c r="E178" s="11">
        <v>46107</v>
      </c>
      <c r="F178" s="29">
        <v>0.62916666666666698</v>
      </c>
      <c r="G178" s="24" t="s">
        <v>3199</v>
      </c>
      <c r="H178" s="24" t="s">
        <v>3200</v>
      </c>
      <c r="I178" s="24" t="s">
        <v>23</v>
      </c>
      <c r="J178" s="24" t="s">
        <v>24</v>
      </c>
      <c r="K178" s="24" t="s">
        <v>44</v>
      </c>
      <c r="L178" s="24" t="s">
        <v>45</v>
      </c>
      <c r="M178" s="24" t="s">
        <v>41</v>
      </c>
      <c r="N178" s="27" t="s">
        <v>3647</v>
      </c>
      <c r="O178" s="6">
        <v>1</v>
      </c>
      <c r="P178" s="2" t="s">
        <v>3503</v>
      </c>
      <c r="Q178" s="24" t="str">
        <f>IF(Tabla1[[#This Row],[evaluacion_]]="","",IF(Tabla1[[#This Row],[evaluacion_]]=1,"Habilitado","No Habilitado"))</f>
        <v>Habilitado</v>
      </c>
      <c r="R178" s="2" t="str">
        <f>IF(Tabla1[[#This Row],[fecha]]="","",TEXT(Tabla1[[#This Row],[fecha]],"DMMAAAA")&amp;TEXT(Tabla1[[#This Row],[hora]],"HHmm"))</f>
        <v>260320261506</v>
      </c>
      <c r="S178" s="19" t="str">
        <f>_xlfn.CONCAT(Tabla1[[#This Row],[codigo_]],Tabla1[[#This Row],[correlativo_]])</f>
        <v>260320261506897</v>
      </c>
      <c r="T178" s="2" t="str">
        <f t="shared" si="11"/>
        <v>26 de marzo del 2026</v>
      </c>
      <c r="U178" s="2" t="str">
        <f>_xlfn.XLOOKUP(Tabla1[[#This Row],[instructor_2]],diccionario_!$A$1:$A$11,diccionario_!$D$1:$D$11,,0)</f>
        <v>Daniel Carvajal B.</v>
      </c>
      <c r="V178" s="2" t="str">
        <f t="shared" si="12"/>
        <v>100%</v>
      </c>
      <c r="W178" s="2" t="s">
        <v>3646</v>
      </c>
    </row>
    <row r="179" spans="1:23" ht="16.5" customHeight="1">
      <c r="A179" s="2">
        <v>898</v>
      </c>
      <c r="B179" s="24" t="s">
        <v>14</v>
      </c>
      <c r="C179" s="24" t="s">
        <v>15</v>
      </c>
      <c r="D179" s="24" t="s">
        <v>9</v>
      </c>
      <c r="E179" s="11">
        <v>46107</v>
      </c>
      <c r="F179" s="29">
        <v>0.67500000000000004</v>
      </c>
      <c r="G179" s="24" t="s">
        <v>1547</v>
      </c>
      <c r="H179" s="24" t="s">
        <v>1548</v>
      </c>
      <c r="I179" s="24" t="s">
        <v>11</v>
      </c>
      <c r="J179" s="24" t="s">
        <v>24</v>
      </c>
      <c r="K179" s="24" t="s">
        <v>19</v>
      </c>
      <c r="L179" s="24" t="s">
        <v>13</v>
      </c>
      <c r="M179" s="24"/>
      <c r="N179" s="27" t="s">
        <v>3548</v>
      </c>
      <c r="O179" s="6">
        <v>1</v>
      </c>
      <c r="P179" s="2" t="s">
        <v>3503</v>
      </c>
      <c r="Q179" s="24" t="str">
        <f>IF(Tabla1[[#This Row],[evaluacion_]]="","",IF(Tabla1[[#This Row],[evaluacion_]]=1,"Habilitado","No Habilitado"))</f>
        <v>Habilitado</v>
      </c>
      <c r="R179" s="2" t="str">
        <f>IF(Tabla1[[#This Row],[fecha]]="","",TEXT(Tabla1[[#This Row],[fecha]],"DMMAAAA")&amp;TEXT(Tabla1[[#This Row],[hora]],"HHmm"))</f>
        <v>260320261612</v>
      </c>
      <c r="S179" s="19" t="str">
        <f>_xlfn.CONCAT(Tabla1[[#This Row],[codigo_]],Tabla1[[#This Row],[correlativo_]])</f>
        <v>260320261612898</v>
      </c>
      <c r="T179" s="2" t="str">
        <f t="shared" si="11"/>
        <v>26 de marzo del 2026</v>
      </c>
      <c r="U179" s="2" t="str">
        <f>_xlfn.XLOOKUP(Tabla1[[#This Row],[instructor_2]],diccionario_!$A$1:$A$11,diccionario_!$D$1:$D$11,,0)</f>
        <v>Daniel Carvajal B.</v>
      </c>
      <c r="V179" s="2" t="str">
        <f t="shared" si="12"/>
        <v>100%</v>
      </c>
      <c r="W179" s="2" t="s">
        <v>3648</v>
      </c>
    </row>
    <row r="180" spans="1:23" ht="16.5" customHeight="1">
      <c r="A180" s="2">
        <v>899</v>
      </c>
      <c r="B180" s="24" t="s">
        <v>14</v>
      </c>
      <c r="C180" s="24" t="s">
        <v>15</v>
      </c>
      <c r="D180" s="24" t="s">
        <v>9</v>
      </c>
      <c r="E180" s="11">
        <v>46107</v>
      </c>
      <c r="F180" s="29">
        <v>0.67638888888888904</v>
      </c>
      <c r="G180" s="24" t="s">
        <v>1547</v>
      </c>
      <c r="H180" s="24" t="s">
        <v>1548</v>
      </c>
      <c r="I180" s="24" t="s">
        <v>23</v>
      </c>
      <c r="J180" s="24" t="s">
        <v>24</v>
      </c>
      <c r="K180" s="24" t="s">
        <v>44</v>
      </c>
      <c r="L180" s="24" t="s">
        <v>45</v>
      </c>
      <c r="M180" s="24" t="s">
        <v>41</v>
      </c>
      <c r="N180" s="27" t="s">
        <v>3647</v>
      </c>
      <c r="O180" s="6">
        <v>1</v>
      </c>
      <c r="P180" s="2" t="s">
        <v>3503</v>
      </c>
      <c r="Q180" s="24" t="str">
        <f>IF(Tabla1[[#This Row],[evaluacion_]]="","",IF(Tabla1[[#This Row],[evaluacion_]]=1,"Habilitado","No Habilitado"))</f>
        <v>Habilitado</v>
      </c>
      <c r="R180" s="2" t="str">
        <f>IF(Tabla1[[#This Row],[fecha]]="","",TEXT(Tabla1[[#This Row],[fecha]],"DMMAAAA")&amp;TEXT(Tabla1[[#This Row],[hora]],"HHmm"))</f>
        <v>260320261614</v>
      </c>
      <c r="S180" s="19" t="str">
        <f>_xlfn.CONCAT(Tabla1[[#This Row],[codigo_]],Tabla1[[#This Row],[correlativo_]])</f>
        <v>260320261614899</v>
      </c>
      <c r="T180" s="2" t="str">
        <f t="shared" si="11"/>
        <v>26 de marzo del 2026</v>
      </c>
      <c r="U180" s="2" t="str">
        <f>_xlfn.XLOOKUP(Tabla1[[#This Row],[instructor_2]],diccionario_!$A$1:$A$11,diccionario_!$D$1:$D$11,,0)</f>
        <v>Daniel Carvajal B.</v>
      </c>
      <c r="V180" s="2" t="str">
        <f t="shared" si="12"/>
        <v>100%</v>
      </c>
      <c r="W180" s="2" t="s">
        <v>3648</v>
      </c>
    </row>
    <row r="181" spans="1:23" ht="16.5" customHeight="1">
      <c r="A181" s="2">
        <v>900</v>
      </c>
      <c r="B181" s="24" t="s">
        <v>14</v>
      </c>
      <c r="C181" s="24" t="s">
        <v>15</v>
      </c>
      <c r="D181" s="24" t="s">
        <v>9</v>
      </c>
      <c r="E181" s="11">
        <v>46107</v>
      </c>
      <c r="F181" s="29">
        <v>0.67777777777777803</v>
      </c>
      <c r="G181" s="24" t="s">
        <v>1547</v>
      </c>
      <c r="H181" s="24" t="s">
        <v>1548</v>
      </c>
      <c r="I181" s="24" t="s">
        <v>29</v>
      </c>
      <c r="J181" s="24" t="s">
        <v>24</v>
      </c>
      <c r="K181" s="24" t="s">
        <v>46</v>
      </c>
      <c r="L181" s="24" t="s">
        <v>47</v>
      </c>
      <c r="M181" s="24"/>
      <c r="N181" s="27" t="s">
        <v>3521</v>
      </c>
      <c r="O181" s="6">
        <v>1</v>
      </c>
      <c r="P181" s="2" t="s">
        <v>3503</v>
      </c>
      <c r="Q181" s="24" t="str">
        <f>IF(Tabla1[[#This Row],[evaluacion_]]="","",IF(Tabla1[[#This Row],[evaluacion_]]=1,"Habilitado","No Habilitado"))</f>
        <v>Habilitado</v>
      </c>
      <c r="R181" s="2" t="str">
        <f>IF(Tabla1[[#This Row],[fecha]]="","",TEXT(Tabla1[[#This Row],[fecha]],"DMMAAAA")&amp;TEXT(Tabla1[[#This Row],[hora]],"HHmm"))</f>
        <v>260320261616</v>
      </c>
      <c r="S181" s="19" t="str">
        <f>_xlfn.CONCAT(Tabla1[[#This Row],[codigo_]],Tabla1[[#This Row],[correlativo_]])</f>
        <v>260320261616900</v>
      </c>
      <c r="T181" s="2" t="str">
        <f t="shared" si="11"/>
        <v>26 de marzo del 2026</v>
      </c>
      <c r="U181" s="2" t="str">
        <f>_xlfn.XLOOKUP(Tabla1[[#This Row],[instructor_2]],diccionario_!$A$1:$A$11,diccionario_!$D$1:$D$11,,0)</f>
        <v>Daniel Carvajal B.</v>
      </c>
      <c r="V181" s="2" t="str">
        <f t="shared" si="12"/>
        <v>100%</v>
      </c>
      <c r="W181" s="2" t="s">
        <v>3648</v>
      </c>
    </row>
    <row r="182" spans="1:23" ht="16.5" customHeight="1">
      <c r="A182" s="2">
        <v>901</v>
      </c>
      <c r="B182" s="24" t="s">
        <v>32</v>
      </c>
      <c r="C182" s="24" t="s">
        <v>33</v>
      </c>
      <c r="D182" s="24" t="s">
        <v>9</v>
      </c>
      <c r="E182" s="11">
        <v>46106</v>
      </c>
      <c r="F182" s="29">
        <v>0.41666666666666702</v>
      </c>
      <c r="G182" s="24" t="s">
        <v>1906</v>
      </c>
      <c r="H182" s="24" t="s">
        <v>1907</v>
      </c>
      <c r="I182" s="24" t="s">
        <v>42</v>
      </c>
      <c r="J182" s="24" t="s">
        <v>12</v>
      </c>
      <c r="K182" s="24" t="s">
        <v>52</v>
      </c>
      <c r="L182" s="24"/>
      <c r="M182" s="24"/>
      <c r="N182" s="27" t="s">
        <v>52</v>
      </c>
      <c r="O182" s="6">
        <v>1</v>
      </c>
      <c r="P182" s="2" t="s">
        <v>3503</v>
      </c>
      <c r="Q182" s="24" t="str">
        <f>IF(Tabla1[[#This Row],[evaluacion_]]="","",IF(Tabla1[[#This Row],[evaluacion_]]=1,"Habilitado","No Habilitado"))</f>
        <v>Habilitado</v>
      </c>
      <c r="R182" s="2" t="str">
        <f>IF(Tabla1[[#This Row],[fecha]]="","",TEXT(Tabla1[[#This Row],[fecha]],"DMMAAAA")&amp;TEXT(Tabla1[[#This Row],[hora]],"HHmm"))</f>
        <v>250320261000</v>
      </c>
      <c r="S182" s="19" t="str">
        <f>_xlfn.CONCAT(Tabla1[[#This Row],[codigo_]],Tabla1[[#This Row],[correlativo_]])</f>
        <v>250320261000901</v>
      </c>
      <c r="T182" s="2" t="str">
        <f t="shared" si="11"/>
        <v>25 de marzo del 2026</v>
      </c>
      <c r="U182" s="2" t="str">
        <f>_xlfn.XLOOKUP(Tabla1[[#This Row],[instructor_2]],diccionario_!$A$1:$A$11,diccionario_!$D$1:$D$11,,0)</f>
        <v>Guillermo Milla M.</v>
      </c>
      <c r="V182" s="2" t="str">
        <f t="shared" si="12"/>
        <v>100%</v>
      </c>
      <c r="W182" s="2" t="s">
        <v>3649</v>
      </c>
    </row>
    <row r="183" spans="1:23" ht="16.5" customHeight="1">
      <c r="A183" s="2">
        <v>902</v>
      </c>
      <c r="B183" s="24" t="s">
        <v>32</v>
      </c>
      <c r="C183" s="24" t="s">
        <v>3650</v>
      </c>
      <c r="D183" s="24" t="s">
        <v>9</v>
      </c>
      <c r="E183" s="11">
        <v>46106</v>
      </c>
      <c r="F183" s="29">
        <v>0.41666666666666702</v>
      </c>
      <c r="G183" s="24" t="s">
        <v>2205</v>
      </c>
      <c r="H183" s="24" t="s">
        <v>2206</v>
      </c>
      <c r="I183" s="24" t="s">
        <v>42</v>
      </c>
      <c r="J183" s="24" t="s">
        <v>12</v>
      </c>
      <c r="K183" s="24" t="s">
        <v>52</v>
      </c>
      <c r="L183" s="24"/>
      <c r="M183" s="24"/>
      <c r="N183" s="27" t="s">
        <v>52</v>
      </c>
      <c r="O183" s="6">
        <v>1</v>
      </c>
      <c r="P183" s="2" t="s">
        <v>3503</v>
      </c>
      <c r="Q183" s="24" t="str">
        <f>IF(Tabla1[[#This Row],[evaluacion_]]="","",IF(Tabla1[[#This Row],[evaluacion_]]=1,"Habilitado","No Habilitado"))</f>
        <v>Habilitado</v>
      </c>
      <c r="R183" s="2" t="str">
        <f>IF(Tabla1[[#This Row],[fecha]]="","",TEXT(Tabla1[[#This Row],[fecha]],"DMMAAAA")&amp;TEXT(Tabla1[[#This Row],[hora]],"HHmm"))</f>
        <v>250320261000</v>
      </c>
      <c r="S183" s="19" t="str">
        <f>_xlfn.CONCAT(Tabla1[[#This Row],[codigo_]],Tabla1[[#This Row],[correlativo_]])</f>
        <v>250320261000902</v>
      </c>
      <c r="T183" s="2" t="str">
        <f t="shared" si="11"/>
        <v>25 de marzo del 2026</v>
      </c>
      <c r="U183" s="2" t="str">
        <f>_xlfn.XLOOKUP(Tabla1[[#This Row],[instructor_2]],diccionario_!$A$1:$A$11,diccionario_!$D$1:$D$11,,0)</f>
        <v>Guillermo Milla M.</v>
      </c>
      <c r="V183" s="2" t="str">
        <f t="shared" si="12"/>
        <v>100%</v>
      </c>
      <c r="W183" s="2" t="s">
        <v>3649</v>
      </c>
    </row>
    <row r="184" spans="1:23" ht="16.5" customHeight="1">
      <c r="A184" s="2">
        <v>903</v>
      </c>
      <c r="B184" s="24" t="s">
        <v>32</v>
      </c>
      <c r="C184" s="24" t="s">
        <v>33</v>
      </c>
      <c r="D184" s="24" t="s">
        <v>9</v>
      </c>
      <c r="E184" s="11">
        <v>46106</v>
      </c>
      <c r="F184" s="29">
        <v>0.41666666666666702</v>
      </c>
      <c r="G184" s="24" t="s">
        <v>3477</v>
      </c>
      <c r="H184" s="24" t="s">
        <v>3478</v>
      </c>
      <c r="I184" s="24" t="s">
        <v>42</v>
      </c>
      <c r="J184" s="24" t="s">
        <v>12</v>
      </c>
      <c r="K184" s="24" t="s">
        <v>52</v>
      </c>
      <c r="L184" s="24"/>
      <c r="M184" s="24"/>
      <c r="N184" s="27" t="s">
        <v>52</v>
      </c>
      <c r="O184" s="6">
        <v>1</v>
      </c>
      <c r="P184" s="2" t="s">
        <v>3503</v>
      </c>
      <c r="Q184" s="24" t="str">
        <f>IF(Tabla1[[#This Row],[evaluacion_]]="","",IF(Tabla1[[#This Row],[evaluacion_]]=1,"Habilitado","No Habilitado"))</f>
        <v>Habilitado</v>
      </c>
      <c r="R184" s="2" t="str">
        <f>IF(Tabla1[[#This Row],[fecha]]="","",TEXT(Tabla1[[#This Row],[fecha]],"DMMAAAA")&amp;TEXT(Tabla1[[#This Row],[hora]],"HHmm"))</f>
        <v>250320261000</v>
      </c>
      <c r="S184" s="19" t="str">
        <f>_xlfn.CONCAT(Tabla1[[#This Row],[codigo_]],Tabla1[[#This Row],[correlativo_]])</f>
        <v>250320261000903</v>
      </c>
      <c r="T184" s="2" t="str">
        <f t="shared" si="11"/>
        <v>25 de marzo del 2026</v>
      </c>
      <c r="U184" s="2" t="str">
        <f>_xlfn.XLOOKUP(Tabla1[[#This Row],[instructor_2]],diccionario_!$A$1:$A$11,diccionario_!$D$1:$D$11,,0)</f>
        <v>Guillermo Milla M.</v>
      </c>
      <c r="V184" s="2" t="str">
        <f t="shared" si="12"/>
        <v>100%</v>
      </c>
      <c r="W184" s="2" t="s">
        <v>3649</v>
      </c>
    </row>
    <row r="185" spans="1:23" ht="16.5" customHeight="1">
      <c r="A185" s="2">
        <v>904</v>
      </c>
      <c r="B185" s="24" t="s">
        <v>32</v>
      </c>
      <c r="C185" s="24" t="s">
        <v>33</v>
      </c>
      <c r="D185" s="24" t="s">
        <v>9</v>
      </c>
      <c r="E185" s="11">
        <v>46106</v>
      </c>
      <c r="F185" s="29">
        <v>0.41666666666666702</v>
      </c>
      <c r="G185" s="24" t="s">
        <v>1156</v>
      </c>
      <c r="H185" s="24" t="s">
        <v>1157</v>
      </c>
      <c r="I185" s="24" t="s">
        <v>42</v>
      </c>
      <c r="J185" s="24" t="s">
        <v>12</v>
      </c>
      <c r="K185" s="24" t="s">
        <v>52</v>
      </c>
      <c r="L185" s="24"/>
      <c r="M185" s="24"/>
      <c r="N185" s="27" t="s">
        <v>52</v>
      </c>
      <c r="O185" s="6">
        <v>1</v>
      </c>
      <c r="P185" s="2" t="s">
        <v>3503</v>
      </c>
      <c r="Q185" s="24" t="str">
        <f>IF(Tabla1[[#This Row],[evaluacion_]]="","",IF(Tabla1[[#This Row],[evaluacion_]]=1,"Habilitado","No Habilitado"))</f>
        <v>Habilitado</v>
      </c>
      <c r="R185" s="2" t="str">
        <f>IF(Tabla1[[#This Row],[fecha]]="","",TEXT(Tabla1[[#This Row],[fecha]],"DMMAAAA")&amp;TEXT(Tabla1[[#This Row],[hora]],"HHmm"))</f>
        <v>250320261000</v>
      </c>
      <c r="S185" s="19" t="str">
        <f>_xlfn.CONCAT(Tabla1[[#This Row],[codigo_]],Tabla1[[#This Row],[correlativo_]])</f>
        <v>250320261000904</v>
      </c>
      <c r="T185" s="2" t="str">
        <f t="shared" si="11"/>
        <v>25 de marzo del 2026</v>
      </c>
      <c r="U185" s="2" t="str">
        <f>_xlfn.XLOOKUP(Tabla1[[#This Row],[instructor_2]],diccionario_!$A$1:$A$11,diccionario_!$D$1:$D$11,,0)</f>
        <v>Guillermo Milla M.</v>
      </c>
      <c r="V185" s="2" t="str">
        <f t="shared" si="12"/>
        <v>100%</v>
      </c>
      <c r="W185" s="2" t="s">
        <v>3649</v>
      </c>
    </row>
    <row r="186" spans="1:23" ht="16.5" customHeight="1">
      <c r="A186" s="2">
        <v>905</v>
      </c>
      <c r="B186" s="24" t="s">
        <v>32</v>
      </c>
      <c r="C186" s="24" t="s">
        <v>33</v>
      </c>
      <c r="D186" s="24" t="s">
        <v>9</v>
      </c>
      <c r="E186" s="11">
        <v>46106</v>
      </c>
      <c r="F186" s="29">
        <v>0.41666666666666702</v>
      </c>
      <c r="G186" s="24" t="s">
        <v>1701</v>
      </c>
      <c r="H186" s="24" t="s">
        <v>1702</v>
      </c>
      <c r="I186" s="24" t="s">
        <v>42</v>
      </c>
      <c r="J186" s="24" t="s">
        <v>12</v>
      </c>
      <c r="K186" s="24" t="s">
        <v>52</v>
      </c>
      <c r="L186" s="24"/>
      <c r="M186" s="24"/>
      <c r="N186" s="27" t="s">
        <v>52</v>
      </c>
      <c r="O186" s="6">
        <v>1</v>
      </c>
      <c r="P186" s="2" t="s">
        <v>3503</v>
      </c>
      <c r="Q186" s="24" t="str">
        <f>IF(Tabla1[[#This Row],[evaluacion_]]="","",IF(Tabla1[[#This Row],[evaluacion_]]=1,"Habilitado","No Habilitado"))</f>
        <v>Habilitado</v>
      </c>
      <c r="R186" s="2" t="str">
        <f>IF(Tabla1[[#This Row],[fecha]]="","",TEXT(Tabla1[[#This Row],[fecha]],"DMMAAAA")&amp;TEXT(Tabla1[[#This Row],[hora]],"HHmm"))</f>
        <v>250320261000</v>
      </c>
      <c r="S186" s="19" t="str">
        <f>_xlfn.CONCAT(Tabla1[[#This Row],[codigo_]],Tabla1[[#This Row],[correlativo_]])</f>
        <v>250320261000905</v>
      </c>
      <c r="T186" s="2" t="str">
        <f t="shared" si="11"/>
        <v>25 de marzo del 2026</v>
      </c>
      <c r="U186" s="2" t="str">
        <f>_xlfn.XLOOKUP(Tabla1[[#This Row],[instructor_2]],diccionario_!$A$1:$A$11,diccionario_!$D$1:$D$11,,0)</f>
        <v>Guillermo Milla M.</v>
      </c>
      <c r="V186" s="2" t="str">
        <f t="shared" si="12"/>
        <v>100%</v>
      </c>
      <c r="W186" s="2" t="s">
        <v>3649</v>
      </c>
    </row>
    <row r="187" spans="1:23" ht="16.5" customHeight="1">
      <c r="A187" s="2">
        <v>906</v>
      </c>
      <c r="B187" s="24" t="s">
        <v>32</v>
      </c>
      <c r="C187" s="24" t="s">
        <v>33</v>
      </c>
      <c r="D187" s="24" t="s">
        <v>9</v>
      </c>
      <c r="E187" s="11">
        <v>46106</v>
      </c>
      <c r="F187" s="29">
        <v>0.41666666666666702</v>
      </c>
      <c r="G187" s="24" t="s">
        <v>1277</v>
      </c>
      <c r="H187" s="24" t="s">
        <v>1278</v>
      </c>
      <c r="I187" s="24" t="s">
        <v>42</v>
      </c>
      <c r="J187" s="24" t="s">
        <v>12</v>
      </c>
      <c r="K187" s="24" t="s">
        <v>52</v>
      </c>
      <c r="L187" s="24"/>
      <c r="M187" s="24"/>
      <c r="N187" s="27" t="s">
        <v>52</v>
      </c>
      <c r="O187" s="6">
        <v>1</v>
      </c>
      <c r="P187" s="2" t="s">
        <v>3503</v>
      </c>
      <c r="Q187" s="24" t="str">
        <f>IF(Tabla1[[#This Row],[evaluacion_]]="","",IF(Tabla1[[#This Row],[evaluacion_]]=1,"Habilitado","No Habilitado"))</f>
        <v>Habilitado</v>
      </c>
      <c r="R187" s="2" t="str">
        <f>IF(Tabla1[[#This Row],[fecha]]="","",TEXT(Tabla1[[#This Row],[fecha]],"DMMAAAA")&amp;TEXT(Tabla1[[#This Row],[hora]],"HHmm"))</f>
        <v>250320261000</v>
      </c>
      <c r="S187" s="19" t="str">
        <f>_xlfn.CONCAT(Tabla1[[#This Row],[codigo_]],Tabla1[[#This Row],[correlativo_]])</f>
        <v>250320261000906</v>
      </c>
      <c r="T187" s="2" t="str">
        <f t="shared" si="11"/>
        <v>25 de marzo del 2026</v>
      </c>
      <c r="U187" s="2" t="str">
        <f>_xlfn.XLOOKUP(Tabla1[[#This Row],[instructor_2]],diccionario_!$A$1:$A$11,diccionario_!$D$1:$D$11,,0)</f>
        <v>Guillermo Milla M.</v>
      </c>
      <c r="V187" s="2" t="str">
        <f t="shared" si="12"/>
        <v>100%</v>
      </c>
      <c r="W187" s="2" t="s">
        <v>3651</v>
      </c>
    </row>
    <row r="188" spans="1:23" ht="16.5" customHeight="1">
      <c r="A188" s="2">
        <v>907</v>
      </c>
      <c r="B188" s="24" t="s">
        <v>32</v>
      </c>
      <c r="C188" s="24" t="s">
        <v>3650</v>
      </c>
      <c r="D188" s="24" t="s">
        <v>9</v>
      </c>
      <c r="E188" s="11">
        <v>46106</v>
      </c>
      <c r="F188" s="29">
        <v>0.41666666666666702</v>
      </c>
      <c r="G188" s="24" t="s">
        <v>2374</v>
      </c>
      <c r="H188" s="24" t="s">
        <v>2375</v>
      </c>
      <c r="I188" s="24" t="s">
        <v>42</v>
      </c>
      <c r="J188" s="24" t="s">
        <v>12</v>
      </c>
      <c r="K188" s="24" t="s">
        <v>52</v>
      </c>
      <c r="L188" s="24"/>
      <c r="M188" s="24"/>
      <c r="N188" s="27" t="s">
        <v>52</v>
      </c>
      <c r="O188" s="6">
        <v>1</v>
      </c>
      <c r="P188" s="2" t="s">
        <v>3503</v>
      </c>
      <c r="Q188" s="24" t="str">
        <f>IF(Tabla1[[#This Row],[evaluacion_]]="","",IF(Tabla1[[#This Row],[evaluacion_]]=1,"Habilitado","No Habilitado"))</f>
        <v>Habilitado</v>
      </c>
      <c r="R188" s="2" t="str">
        <f>IF(Tabla1[[#This Row],[fecha]]="","",TEXT(Tabla1[[#This Row],[fecha]],"DMMAAAA")&amp;TEXT(Tabla1[[#This Row],[hora]],"HHmm"))</f>
        <v>250320261000</v>
      </c>
      <c r="S188" s="19" t="str">
        <f>_xlfn.CONCAT(Tabla1[[#This Row],[codigo_]],Tabla1[[#This Row],[correlativo_]])</f>
        <v>250320261000907</v>
      </c>
      <c r="T188" s="2" t="str">
        <f t="shared" si="11"/>
        <v>25 de marzo del 2026</v>
      </c>
      <c r="U188" s="2" t="str">
        <f>_xlfn.XLOOKUP(Tabla1[[#This Row],[instructor_2]],diccionario_!$A$1:$A$11,diccionario_!$D$1:$D$11,,0)</f>
        <v>Guillermo Milla M.</v>
      </c>
      <c r="V188" s="2" t="str">
        <f t="shared" si="12"/>
        <v>100%</v>
      </c>
      <c r="W188" s="2" t="s">
        <v>3651</v>
      </c>
    </row>
    <row r="189" spans="1:23" ht="16.5" customHeight="1">
      <c r="A189" s="2">
        <v>908</v>
      </c>
      <c r="B189" s="24" t="s">
        <v>32</v>
      </c>
      <c r="C189" s="24" t="s">
        <v>33</v>
      </c>
      <c r="D189" s="24" t="s">
        <v>9</v>
      </c>
      <c r="E189" s="11">
        <v>46106</v>
      </c>
      <c r="F189" s="29">
        <v>0.41666666666666702</v>
      </c>
      <c r="G189" s="24" t="s">
        <v>1497</v>
      </c>
      <c r="H189" s="24" t="s">
        <v>1498</v>
      </c>
      <c r="I189" s="24" t="s">
        <v>42</v>
      </c>
      <c r="J189" s="24" t="s">
        <v>12</v>
      </c>
      <c r="K189" s="24" t="s">
        <v>52</v>
      </c>
      <c r="L189" s="24"/>
      <c r="M189" s="24"/>
      <c r="N189" s="27" t="s">
        <v>52</v>
      </c>
      <c r="O189" s="6">
        <v>1</v>
      </c>
      <c r="P189" s="2" t="s">
        <v>3503</v>
      </c>
      <c r="Q189" s="24" t="str">
        <f>IF(Tabla1[[#This Row],[evaluacion_]]="","",IF(Tabla1[[#This Row],[evaluacion_]]=1,"Habilitado","No Habilitado"))</f>
        <v>Habilitado</v>
      </c>
      <c r="R189" s="2" t="str">
        <f>IF(Tabla1[[#This Row],[fecha]]="","",TEXT(Tabla1[[#This Row],[fecha]],"DMMAAAA")&amp;TEXT(Tabla1[[#This Row],[hora]],"HHmm"))</f>
        <v>250320261000</v>
      </c>
      <c r="S189" s="19" t="str">
        <f>_xlfn.CONCAT(Tabla1[[#This Row],[codigo_]],Tabla1[[#This Row],[correlativo_]])</f>
        <v>250320261000908</v>
      </c>
      <c r="T189" s="2" t="str">
        <f t="shared" si="11"/>
        <v>25 de marzo del 2026</v>
      </c>
      <c r="U189" s="2" t="str">
        <f>_xlfn.XLOOKUP(Tabla1[[#This Row],[instructor_2]],diccionario_!$A$1:$A$11,diccionario_!$D$1:$D$11,,0)</f>
        <v>Guillermo Milla M.</v>
      </c>
      <c r="V189" s="2" t="str">
        <f t="shared" si="12"/>
        <v>100%</v>
      </c>
      <c r="W189" s="2" t="s">
        <v>3651</v>
      </c>
    </row>
    <row r="190" spans="1:23" ht="16.5" customHeight="1">
      <c r="A190" s="2">
        <v>909</v>
      </c>
      <c r="B190" s="24" t="s">
        <v>32</v>
      </c>
      <c r="C190" s="24" t="s">
        <v>33</v>
      </c>
      <c r="D190" s="24" t="s">
        <v>9</v>
      </c>
      <c r="E190" s="11">
        <v>46106</v>
      </c>
      <c r="F190" s="29">
        <v>0.41666666666666702</v>
      </c>
      <c r="G190" s="24" t="s">
        <v>2545</v>
      </c>
      <c r="H190" s="24" t="s">
        <v>2546</v>
      </c>
      <c r="I190" s="24" t="s">
        <v>42</v>
      </c>
      <c r="J190" s="24" t="s">
        <v>12</v>
      </c>
      <c r="K190" s="24" t="s">
        <v>52</v>
      </c>
      <c r="L190" s="24"/>
      <c r="M190" s="24"/>
      <c r="N190" s="27" t="s">
        <v>52</v>
      </c>
      <c r="O190" s="6">
        <v>1</v>
      </c>
      <c r="P190" s="2" t="s">
        <v>3503</v>
      </c>
      <c r="Q190" s="24" t="str">
        <f>IF(Tabla1[[#This Row],[evaluacion_]]="","",IF(Tabla1[[#This Row],[evaluacion_]]=1,"Habilitado","No Habilitado"))</f>
        <v>Habilitado</v>
      </c>
      <c r="R190" s="2" t="str">
        <f>IF(Tabla1[[#This Row],[fecha]]="","",TEXT(Tabla1[[#This Row],[fecha]],"DMMAAAA")&amp;TEXT(Tabla1[[#This Row],[hora]],"HHmm"))</f>
        <v>250320261000</v>
      </c>
      <c r="S190" s="19" t="str">
        <f>_xlfn.CONCAT(Tabla1[[#This Row],[codigo_]],Tabla1[[#This Row],[correlativo_]])</f>
        <v>250320261000909</v>
      </c>
      <c r="T190" s="2" t="str">
        <f t="shared" si="11"/>
        <v>25 de marzo del 2026</v>
      </c>
      <c r="U190" s="2" t="str">
        <f>_xlfn.XLOOKUP(Tabla1[[#This Row],[instructor_2]],diccionario_!$A$1:$A$11,diccionario_!$D$1:$D$11,,0)</f>
        <v>Guillermo Milla M.</v>
      </c>
      <c r="V190" s="2" t="str">
        <f t="shared" si="12"/>
        <v>100%</v>
      </c>
      <c r="W190" s="2" t="s">
        <v>3651</v>
      </c>
    </row>
    <row r="191" spans="1:23" ht="16.5" customHeight="1">
      <c r="A191" s="2">
        <v>910</v>
      </c>
      <c r="B191" s="24" t="s">
        <v>32</v>
      </c>
      <c r="C191" s="24" t="s">
        <v>33</v>
      </c>
      <c r="D191" s="24" t="s">
        <v>9</v>
      </c>
      <c r="E191" s="11">
        <v>46106</v>
      </c>
      <c r="F191" s="29">
        <v>0.41666666666666702</v>
      </c>
      <c r="G191" s="24" t="s">
        <v>2851</v>
      </c>
      <c r="H191" s="24" t="s">
        <v>2852</v>
      </c>
      <c r="I191" s="24" t="s">
        <v>42</v>
      </c>
      <c r="J191" s="24" t="s">
        <v>12</v>
      </c>
      <c r="K191" s="24" t="s">
        <v>52</v>
      </c>
      <c r="L191" s="24"/>
      <c r="M191" s="24"/>
      <c r="N191" s="27" t="s">
        <v>52</v>
      </c>
      <c r="O191" s="6">
        <v>1</v>
      </c>
      <c r="P191" s="2" t="s">
        <v>3503</v>
      </c>
      <c r="Q191" s="24" t="str">
        <f>IF(Tabla1[[#This Row],[evaluacion_]]="","",IF(Tabla1[[#This Row],[evaluacion_]]=1,"Habilitado","No Habilitado"))</f>
        <v>Habilitado</v>
      </c>
      <c r="R191" s="2" t="str">
        <f>IF(Tabla1[[#This Row],[fecha]]="","",TEXT(Tabla1[[#This Row],[fecha]],"DMMAAAA")&amp;TEXT(Tabla1[[#This Row],[hora]],"HHmm"))</f>
        <v>250320261000</v>
      </c>
      <c r="S191" s="19" t="str">
        <f>_xlfn.CONCAT(Tabla1[[#This Row],[codigo_]],Tabla1[[#This Row],[correlativo_]])</f>
        <v>250320261000910</v>
      </c>
      <c r="T191" s="2" t="str">
        <f t="shared" si="11"/>
        <v>25 de marzo del 2026</v>
      </c>
      <c r="U191" s="2" t="str">
        <f>_xlfn.XLOOKUP(Tabla1[[#This Row],[instructor_2]],diccionario_!$A$1:$A$11,diccionario_!$D$1:$D$11,,0)</f>
        <v>Guillermo Milla M.</v>
      </c>
      <c r="V191" s="2" t="str">
        <f t="shared" si="12"/>
        <v>100%</v>
      </c>
      <c r="W191" s="2" t="s">
        <v>3651</v>
      </c>
    </row>
    <row r="192" spans="1:23" ht="16.5" customHeight="1">
      <c r="A192" s="2">
        <v>911</v>
      </c>
      <c r="B192" s="24" t="s">
        <v>32</v>
      </c>
      <c r="C192" s="24" t="s">
        <v>33</v>
      </c>
      <c r="D192" s="24" t="s">
        <v>9</v>
      </c>
      <c r="E192" s="11">
        <v>46106</v>
      </c>
      <c r="F192" s="29">
        <v>0.41666666666666702</v>
      </c>
      <c r="G192" s="24" t="s">
        <v>1333</v>
      </c>
      <c r="H192" s="24" t="s">
        <v>1334</v>
      </c>
      <c r="I192" s="24" t="s">
        <v>42</v>
      </c>
      <c r="J192" s="24" t="s">
        <v>12</v>
      </c>
      <c r="K192" s="24" t="s">
        <v>52</v>
      </c>
      <c r="L192" s="24"/>
      <c r="M192" s="24"/>
      <c r="N192" s="27" t="s">
        <v>52</v>
      </c>
      <c r="O192" s="6">
        <v>1</v>
      </c>
      <c r="P192" s="2" t="s">
        <v>3503</v>
      </c>
      <c r="Q192" s="24" t="str">
        <f>IF(Tabla1[[#This Row],[evaluacion_]]="","",IF(Tabla1[[#This Row],[evaluacion_]]=1,"Habilitado","No Habilitado"))</f>
        <v>Habilitado</v>
      </c>
      <c r="R192" s="2" t="str">
        <f>IF(Tabla1[[#This Row],[fecha]]="","",TEXT(Tabla1[[#This Row],[fecha]],"DMMAAAA")&amp;TEXT(Tabla1[[#This Row],[hora]],"HHmm"))</f>
        <v>250320261000</v>
      </c>
      <c r="S192" s="19" t="str">
        <f>_xlfn.CONCAT(Tabla1[[#This Row],[codigo_]],Tabla1[[#This Row],[correlativo_]])</f>
        <v>250320261000911</v>
      </c>
      <c r="T192" s="2" t="str">
        <f t="shared" si="11"/>
        <v>25 de marzo del 2026</v>
      </c>
      <c r="U192" s="2" t="str">
        <f>_xlfn.XLOOKUP(Tabla1[[#This Row],[instructor_2]],diccionario_!$A$1:$A$11,diccionario_!$D$1:$D$11,,0)</f>
        <v>Guillermo Milla M.</v>
      </c>
      <c r="V192" s="2" t="str">
        <f t="shared" si="12"/>
        <v>100%</v>
      </c>
      <c r="W192" s="2" t="s">
        <v>3652</v>
      </c>
    </row>
    <row r="193" spans="1:23" ht="16.5" customHeight="1">
      <c r="A193" s="2">
        <v>912</v>
      </c>
      <c r="B193" s="24" t="s">
        <v>32</v>
      </c>
      <c r="C193" s="24" t="s">
        <v>33</v>
      </c>
      <c r="D193" s="24" t="s">
        <v>9</v>
      </c>
      <c r="E193" s="11">
        <v>46106</v>
      </c>
      <c r="F193" s="29">
        <v>0.41666666666666702</v>
      </c>
      <c r="G193" s="24" t="s">
        <v>233</v>
      </c>
      <c r="H193" s="24" t="s">
        <v>234</v>
      </c>
      <c r="I193" s="24" t="s">
        <v>42</v>
      </c>
      <c r="J193" s="24" t="s">
        <v>12</v>
      </c>
      <c r="K193" s="24" t="s">
        <v>52</v>
      </c>
      <c r="L193" s="24"/>
      <c r="M193" s="24"/>
      <c r="N193" s="27" t="s">
        <v>52</v>
      </c>
      <c r="O193" s="6">
        <v>1</v>
      </c>
      <c r="P193" s="2" t="s">
        <v>3503</v>
      </c>
      <c r="Q193" s="24" t="str">
        <f>IF(Tabla1[[#This Row],[evaluacion_]]="","",IF(Tabla1[[#This Row],[evaluacion_]]=1,"Habilitado","No Habilitado"))</f>
        <v>Habilitado</v>
      </c>
      <c r="R193" s="2" t="str">
        <f>IF(Tabla1[[#This Row],[fecha]]="","",TEXT(Tabla1[[#This Row],[fecha]],"DMMAAAA")&amp;TEXT(Tabla1[[#This Row],[hora]],"HHmm"))</f>
        <v>250320261000</v>
      </c>
      <c r="S193" s="19" t="str">
        <f>_xlfn.CONCAT(Tabla1[[#This Row],[codigo_]],Tabla1[[#This Row],[correlativo_]])</f>
        <v>250320261000912</v>
      </c>
      <c r="T193" s="2" t="str">
        <f t="shared" si="11"/>
        <v>25 de marzo del 2026</v>
      </c>
      <c r="U193" s="2" t="str">
        <f>_xlfn.XLOOKUP(Tabla1[[#This Row],[instructor_2]],diccionario_!$A$1:$A$11,diccionario_!$D$1:$D$11,,0)</f>
        <v>Guillermo Milla M.</v>
      </c>
      <c r="V193" s="2" t="str">
        <f t="shared" si="12"/>
        <v>100%</v>
      </c>
      <c r="W193" s="2" t="s">
        <v>3652</v>
      </c>
    </row>
    <row r="194" spans="1:23" ht="16.5" customHeight="1">
      <c r="A194" s="2">
        <v>913</v>
      </c>
      <c r="B194" s="24" t="s">
        <v>32</v>
      </c>
      <c r="C194" s="24" t="s">
        <v>33</v>
      </c>
      <c r="D194" s="24" t="s">
        <v>9</v>
      </c>
      <c r="E194" s="11">
        <v>46106</v>
      </c>
      <c r="F194" s="29">
        <v>0.41666666666666702</v>
      </c>
      <c r="G194" s="24" t="s">
        <v>2380</v>
      </c>
      <c r="H194" s="24" t="s">
        <v>2381</v>
      </c>
      <c r="I194" s="24" t="s">
        <v>42</v>
      </c>
      <c r="J194" s="24" t="s">
        <v>12</v>
      </c>
      <c r="K194" s="24" t="s">
        <v>52</v>
      </c>
      <c r="L194" s="24"/>
      <c r="M194" s="24"/>
      <c r="N194" s="27" t="s">
        <v>52</v>
      </c>
      <c r="O194" s="6">
        <v>1</v>
      </c>
      <c r="P194" s="2" t="s">
        <v>3503</v>
      </c>
      <c r="Q194" s="24" t="str">
        <f>IF(Tabla1[[#This Row],[evaluacion_]]="","",IF(Tabla1[[#This Row],[evaluacion_]]=1,"Habilitado","No Habilitado"))</f>
        <v>Habilitado</v>
      </c>
      <c r="R194" s="2" t="str">
        <f>IF(Tabla1[[#This Row],[fecha]]="","",TEXT(Tabla1[[#This Row],[fecha]],"DMMAAAA")&amp;TEXT(Tabla1[[#This Row],[hora]],"HHmm"))</f>
        <v>250320261000</v>
      </c>
      <c r="S194" s="19" t="str">
        <f>_xlfn.CONCAT(Tabla1[[#This Row],[codigo_]],Tabla1[[#This Row],[correlativo_]])</f>
        <v>250320261000913</v>
      </c>
      <c r="T194" s="2" t="str">
        <f t="shared" si="11"/>
        <v>25 de marzo del 2026</v>
      </c>
      <c r="U194" s="2" t="str">
        <f>_xlfn.XLOOKUP(Tabla1[[#This Row],[instructor_2]],diccionario_!$A$1:$A$11,diccionario_!$D$1:$D$11,,0)</f>
        <v>Guillermo Milla M.</v>
      </c>
      <c r="V194" s="2" t="str">
        <f t="shared" si="12"/>
        <v>100%</v>
      </c>
      <c r="W194" s="2" t="s">
        <v>3652</v>
      </c>
    </row>
    <row r="195" spans="1:23" ht="16.5" customHeight="1">
      <c r="A195" s="2">
        <v>914</v>
      </c>
      <c r="B195" s="24" t="s">
        <v>32</v>
      </c>
      <c r="C195" s="24" t="s">
        <v>33</v>
      </c>
      <c r="D195" s="24" t="s">
        <v>9</v>
      </c>
      <c r="E195" s="11">
        <v>46106</v>
      </c>
      <c r="F195" s="29">
        <v>0.41666666666666702</v>
      </c>
      <c r="G195" s="24" t="s">
        <v>1331</v>
      </c>
      <c r="H195" s="24" t="s">
        <v>1332</v>
      </c>
      <c r="I195" s="24" t="s">
        <v>42</v>
      </c>
      <c r="J195" s="24" t="s">
        <v>12</v>
      </c>
      <c r="K195" s="24" t="s">
        <v>52</v>
      </c>
      <c r="L195" s="24"/>
      <c r="M195" s="24"/>
      <c r="N195" s="27" t="s">
        <v>52</v>
      </c>
      <c r="O195" s="6">
        <v>1</v>
      </c>
      <c r="P195" s="2" t="s">
        <v>3503</v>
      </c>
      <c r="Q195" s="24" t="str">
        <f>IF(Tabla1[[#This Row],[evaluacion_]]="","",IF(Tabla1[[#This Row],[evaluacion_]]=1,"Habilitado","No Habilitado"))</f>
        <v>Habilitado</v>
      </c>
      <c r="R195" s="2" t="str">
        <f>IF(Tabla1[[#This Row],[fecha]]="","",TEXT(Tabla1[[#This Row],[fecha]],"DMMAAAA")&amp;TEXT(Tabla1[[#This Row],[hora]],"HHmm"))</f>
        <v>250320261000</v>
      </c>
      <c r="S195" s="19" t="str">
        <f>_xlfn.CONCAT(Tabla1[[#This Row],[codigo_]],Tabla1[[#This Row],[correlativo_]])</f>
        <v>250320261000914</v>
      </c>
      <c r="T195" s="2" t="str">
        <f t="shared" si="11"/>
        <v>25 de marzo del 2026</v>
      </c>
      <c r="U195" s="2" t="str">
        <f>_xlfn.XLOOKUP(Tabla1[[#This Row],[instructor_2]],diccionario_!$A$1:$A$11,diccionario_!$D$1:$D$11,,0)</f>
        <v>Guillermo Milla M.</v>
      </c>
      <c r="V195" s="2" t="str">
        <f t="shared" si="12"/>
        <v>100%</v>
      </c>
      <c r="W195" s="2" t="s">
        <v>3652</v>
      </c>
    </row>
    <row r="196" spans="1:23" ht="16.5" customHeight="1">
      <c r="A196" s="2">
        <v>915</v>
      </c>
      <c r="B196" s="24" t="s">
        <v>32</v>
      </c>
      <c r="C196" s="24" t="s">
        <v>33</v>
      </c>
      <c r="D196" s="24" t="s">
        <v>9</v>
      </c>
      <c r="E196" s="11">
        <v>46106</v>
      </c>
      <c r="F196" s="29">
        <v>0.41666666666666702</v>
      </c>
      <c r="G196" s="24" t="s">
        <v>1439</v>
      </c>
      <c r="H196" s="24" t="s">
        <v>1440</v>
      </c>
      <c r="I196" s="24" t="s">
        <v>42</v>
      </c>
      <c r="J196" s="24" t="s">
        <v>12</v>
      </c>
      <c r="K196" s="24" t="s">
        <v>52</v>
      </c>
      <c r="L196" s="24"/>
      <c r="M196" s="24"/>
      <c r="N196" s="27" t="s">
        <v>52</v>
      </c>
      <c r="O196" s="6">
        <v>1</v>
      </c>
      <c r="P196" s="2" t="s">
        <v>3503</v>
      </c>
      <c r="Q196" s="24" t="str">
        <f>IF(Tabla1[[#This Row],[evaluacion_]]="","",IF(Tabla1[[#This Row],[evaluacion_]]=1,"Habilitado","No Habilitado"))</f>
        <v>Habilitado</v>
      </c>
      <c r="R196" s="2" t="str">
        <f>IF(Tabla1[[#This Row],[fecha]]="","",TEXT(Tabla1[[#This Row],[fecha]],"DMMAAAA")&amp;TEXT(Tabla1[[#This Row],[hora]],"HHmm"))</f>
        <v>250320261000</v>
      </c>
      <c r="S196" s="19" t="str">
        <f>_xlfn.CONCAT(Tabla1[[#This Row],[codigo_]],Tabla1[[#This Row],[correlativo_]])</f>
        <v>250320261000915</v>
      </c>
      <c r="T196" s="2" t="str">
        <f t="shared" si="11"/>
        <v>25 de marzo del 2026</v>
      </c>
      <c r="U196" s="2" t="str">
        <f>_xlfn.XLOOKUP(Tabla1[[#This Row],[instructor_2]],diccionario_!$A$1:$A$11,diccionario_!$D$1:$D$11,,0)</f>
        <v>Guillermo Milla M.</v>
      </c>
      <c r="V196" s="2" t="str">
        <f t="shared" si="12"/>
        <v>100%</v>
      </c>
      <c r="W196" s="2" t="s">
        <v>3652</v>
      </c>
    </row>
    <row r="197" spans="1:23" ht="16.5" customHeight="1">
      <c r="A197" s="2">
        <v>916</v>
      </c>
      <c r="B197" s="24" t="s">
        <v>32</v>
      </c>
      <c r="C197" s="24" t="s">
        <v>3653</v>
      </c>
      <c r="D197" s="24" t="s">
        <v>9</v>
      </c>
      <c r="E197" s="11">
        <v>46106</v>
      </c>
      <c r="F197" s="29">
        <v>0.41666666666666702</v>
      </c>
      <c r="G197" s="24" t="s">
        <v>517</v>
      </c>
      <c r="H197" s="24" t="s">
        <v>518</v>
      </c>
      <c r="I197" s="24" t="s">
        <v>42</v>
      </c>
      <c r="J197" s="24" t="s">
        <v>12</v>
      </c>
      <c r="K197" s="24" t="s">
        <v>52</v>
      </c>
      <c r="L197" s="24"/>
      <c r="M197" s="24"/>
      <c r="N197" s="27" t="s">
        <v>52</v>
      </c>
      <c r="O197" s="6">
        <v>1</v>
      </c>
      <c r="P197" s="2" t="s">
        <v>3503</v>
      </c>
      <c r="Q197" s="24" t="str">
        <f>IF(Tabla1[[#This Row],[evaluacion_]]="","",IF(Tabla1[[#This Row],[evaluacion_]]=1,"Habilitado","No Habilitado"))</f>
        <v>Habilitado</v>
      </c>
      <c r="R197" s="2" t="str">
        <f>IF(Tabla1[[#This Row],[fecha]]="","",TEXT(Tabla1[[#This Row],[fecha]],"DMMAAAA")&amp;TEXT(Tabla1[[#This Row],[hora]],"HHmm"))</f>
        <v>250320261000</v>
      </c>
      <c r="S197" s="19" t="str">
        <f>_xlfn.CONCAT(Tabla1[[#This Row],[codigo_]],Tabla1[[#This Row],[correlativo_]])</f>
        <v>250320261000916</v>
      </c>
      <c r="T197" s="2" t="str">
        <f t="shared" si="11"/>
        <v>25 de marzo del 2026</v>
      </c>
      <c r="U197" s="2" t="str">
        <f>_xlfn.XLOOKUP(Tabla1[[#This Row],[instructor_2]],diccionario_!$A$1:$A$11,diccionario_!$D$1:$D$11,,0)</f>
        <v>Guillermo Milla M.</v>
      </c>
      <c r="V197" s="2" t="str">
        <f t="shared" si="12"/>
        <v>100%</v>
      </c>
      <c r="W197" s="2" t="s">
        <v>3654</v>
      </c>
    </row>
    <row r="198" spans="1:23" ht="16.5" customHeight="1">
      <c r="A198" s="2">
        <v>917</v>
      </c>
      <c r="B198" s="24" t="s">
        <v>32</v>
      </c>
      <c r="C198" s="24" t="s">
        <v>33</v>
      </c>
      <c r="D198" s="24" t="s">
        <v>9</v>
      </c>
      <c r="E198" s="11">
        <v>46106</v>
      </c>
      <c r="F198" s="29">
        <v>0.41666666666666702</v>
      </c>
      <c r="G198" s="24" t="s">
        <v>525</v>
      </c>
      <c r="H198" s="24" t="s">
        <v>526</v>
      </c>
      <c r="I198" s="24" t="s">
        <v>42</v>
      </c>
      <c r="J198" s="24" t="s">
        <v>12</v>
      </c>
      <c r="K198" s="24" t="s">
        <v>52</v>
      </c>
      <c r="L198" s="24"/>
      <c r="M198" s="24"/>
      <c r="N198" s="27" t="s">
        <v>52</v>
      </c>
      <c r="O198" s="6">
        <v>1</v>
      </c>
      <c r="P198" s="2" t="s">
        <v>3503</v>
      </c>
      <c r="Q198" s="24" t="str">
        <f>IF(Tabla1[[#This Row],[evaluacion_]]="","",IF(Tabla1[[#This Row],[evaluacion_]]=1,"Habilitado","No Habilitado"))</f>
        <v>Habilitado</v>
      </c>
      <c r="R198" s="2" t="str">
        <f>IF(Tabla1[[#This Row],[fecha]]="","",TEXT(Tabla1[[#This Row],[fecha]],"DMMAAAA")&amp;TEXT(Tabla1[[#This Row],[hora]],"HHmm"))</f>
        <v>250320261000</v>
      </c>
      <c r="S198" s="19" t="str">
        <f>_xlfn.CONCAT(Tabla1[[#This Row],[codigo_]],Tabla1[[#This Row],[correlativo_]])</f>
        <v>250320261000917</v>
      </c>
      <c r="T198" s="2" t="str">
        <f t="shared" si="11"/>
        <v>25 de marzo del 2026</v>
      </c>
      <c r="U198" s="2" t="str">
        <f>_xlfn.XLOOKUP(Tabla1[[#This Row],[instructor_2]],diccionario_!$A$1:$A$11,diccionario_!$D$1:$D$11,,0)</f>
        <v>Guillermo Milla M.</v>
      </c>
      <c r="V198" s="2" t="str">
        <f t="shared" si="12"/>
        <v>100%</v>
      </c>
      <c r="W198" s="2" t="s">
        <v>3654</v>
      </c>
    </row>
    <row r="199" spans="1:23" ht="16.5" customHeight="1">
      <c r="A199" s="2">
        <v>918</v>
      </c>
      <c r="B199" s="24" t="s">
        <v>14</v>
      </c>
      <c r="C199" s="24" t="s">
        <v>15</v>
      </c>
      <c r="D199" s="24"/>
      <c r="E199" s="11"/>
      <c r="F199" s="29"/>
      <c r="G199" s="24" t="s">
        <v>1189</v>
      </c>
      <c r="H199" s="24" t="s">
        <v>1190</v>
      </c>
      <c r="I199" s="24" t="s">
        <v>11</v>
      </c>
      <c r="J199" s="24" t="s">
        <v>24</v>
      </c>
      <c r="K199" s="24" t="s">
        <v>19</v>
      </c>
      <c r="L199" s="24" t="s">
        <v>13</v>
      </c>
      <c r="M199" s="24"/>
      <c r="N199" s="27" t="s">
        <v>3548</v>
      </c>
      <c r="O199" s="6" t="s">
        <v>3507</v>
      </c>
      <c r="P199" s="2" t="s">
        <v>3503</v>
      </c>
      <c r="Q199" s="24" t="str">
        <f>IF(Tabla1[[#This Row],[evaluacion_]]="","",IF(Tabla1[[#This Row],[evaluacion_]]=1,"Habilitado","No Habilitado"))</f>
        <v>No Habilitado</v>
      </c>
      <c r="R199" s="2" t="str">
        <f>IF(Tabla1[[#This Row],[fecha]]="","",TEXT(Tabla1[[#This Row],[fecha]],"DMMAAAA")&amp;TEXT(Tabla1[[#This Row],[hora]],"HHmm"))</f>
        <v/>
      </c>
      <c r="S199" s="19" t="str">
        <f>_xlfn.CONCAT(Tabla1[[#This Row],[codigo_]],Tabla1[[#This Row],[correlativo_]])</f>
        <v>918</v>
      </c>
      <c r="T199" s="2" t="str">
        <f t="shared" si="11"/>
        <v>0 de enero del 1900</v>
      </c>
      <c r="U199" s="2" t="str">
        <f>_xlfn.XLOOKUP(Tabla1[[#This Row],[instructor_2]],diccionario_!$A$1:$A$11,diccionario_!$D$1:$D$11,,0)</f>
        <v>Daniel Carvajal B.</v>
      </c>
      <c r="V199" s="2" t="str">
        <f t="shared" si="12"/>
        <v>información de calificación errónea</v>
      </c>
      <c r="W199" s="2" t="s">
        <v>3655</v>
      </c>
    </row>
    <row r="200" spans="1:23" ht="16.5" customHeight="1">
      <c r="A200" s="2">
        <v>919</v>
      </c>
      <c r="B200" s="24" t="s">
        <v>14</v>
      </c>
      <c r="C200" s="24" t="s">
        <v>15</v>
      </c>
      <c r="D200" s="24"/>
      <c r="E200" s="11"/>
      <c r="F200" s="29"/>
      <c r="G200" s="24" t="s">
        <v>1189</v>
      </c>
      <c r="H200" s="24" t="s">
        <v>1190</v>
      </c>
      <c r="I200" s="24" t="s">
        <v>23</v>
      </c>
      <c r="J200" s="24" t="s">
        <v>24</v>
      </c>
      <c r="K200" s="24" t="s">
        <v>44</v>
      </c>
      <c r="L200" s="24" t="s">
        <v>45</v>
      </c>
      <c r="M200" s="24"/>
      <c r="N200" s="27" t="s">
        <v>3550</v>
      </c>
      <c r="O200" s="6" t="s">
        <v>3507</v>
      </c>
      <c r="P200" s="2" t="s">
        <v>3503</v>
      </c>
      <c r="Q200" s="24" t="str">
        <f>IF(Tabla1[[#This Row],[evaluacion_]]="","",IF(Tabla1[[#This Row],[evaluacion_]]=1,"Habilitado","No Habilitado"))</f>
        <v>No Habilitado</v>
      </c>
      <c r="R200" s="2" t="str">
        <f>IF(Tabla1[[#This Row],[fecha]]="","",TEXT(Tabla1[[#This Row],[fecha]],"DMMAAAA")&amp;TEXT(Tabla1[[#This Row],[hora]],"HHmm"))</f>
        <v/>
      </c>
      <c r="S200" s="19" t="str">
        <f>_xlfn.CONCAT(Tabla1[[#This Row],[codigo_]],Tabla1[[#This Row],[correlativo_]])</f>
        <v>919</v>
      </c>
      <c r="T200" s="2" t="str">
        <f t="shared" si="11"/>
        <v>0 de enero del 1900</v>
      </c>
      <c r="U200" s="2" t="str">
        <f>_xlfn.XLOOKUP(Tabla1[[#This Row],[instructor_2]],diccionario_!$A$1:$A$11,diccionario_!$D$1:$D$11,,0)</f>
        <v>Daniel Carvajal B.</v>
      </c>
      <c r="V200" s="2" t="str">
        <f t="shared" si="12"/>
        <v>información de calificación errónea</v>
      </c>
      <c r="W200" s="2" t="s">
        <v>3655</v>
      </c>
    </row>
    <row r="201" spans="1:23" ht="16.5" customHeight="1">
      <c r="A201" s="2">
        <v>920</v>
      </c>
      <c r="B201" s="24" t="s">
        <v>14</v>
      </c>
      <c r="C201" s="24" t="s">
        <v>15</v>
      </c>
      <c r="D201" s="24"/>
      <c r="E201" s="11"/>
      <c r="F201" s="29"/>
      <c r="G201" s="24" t="s">
        <v>1189</v>
      </c>
      <c r="H201" s="24" t="s">
        <v>1190</v>
      </c>
      <c r="I201" s="24" t="s">
        <v>29</v>
      </c>
      <c r="J201" s="24" t="s">
        <v>24</v>
      </c>
      <c r="K201" s="24" t="s">
        <v>46</v>
      </c>
      <c r="L201" s="24" t="s">
        <v>47</v>
      </c>
      <c r="M201" s="24"/>
      <c r="N201" s="27" t="s">
        <v>3521</v>
      </c>
      <c r="O201" s="6" t="s">
        <v>3507</v>
      </c>
      <c r="P201" s="2" t="s">
        <v>3503</v>
      </c>
      <c r="Q201" s="24" t="str">
        <f>IF(Tabla1[[#This Row],[evaluacion_]]="","",IF(Tabla1[[#This Row],[evaluacion_]]=1,"Habilitado","No Habilitado"))</f>
        <v>No Habilitado</v>
      </c>
      <c r="R201" s="2" t="str">
        <f>IF(Tabla1[[#This Row],[fecha]]="","",TEXT(Tabla1[[#This Row],[fecha]],"DMMAAAA")&amp;TEXT(Tabla1[[#This Row],[hora]],"HHmm"))</f>
        <v/>
      </c>
      <c r="S201" s="19" t="str">
        <f>_xlfn.CONCAT(Tabla1[[#This Row],[codigo_]],Tabla1[[#This Row],[correlativo_]])</f>
        <v>920</v>
      </c>
      <c r="T201" s="2" t="str">
        <f t="shared" si="11"/>
        <v>0 de enero del 1900</v>
      </c>
      <c r="U201" s="2" t="str">
        <f>_xlfn.XLOOKUP(Tabla1[[#This Row],[instructor_2]],diccionario_!$A$1:$A$11,diccionario_!$D$1:$D$11,,0)</f>
        <v>Daniel Carvajal B.</v>
      </c>
      <c r="V201" s="2" t="str">
        <f t="shared" si="12"/>
        <v>información de calificación errónea</v>
      </c>
      <c r="W201" s="2" t="s">
        <v>3655</v>
      </c>
    </row>
    <row r="202" spans="1:23" ht="16.5" customHeight="1">
      <c r="A202" s="2">
        <v>921</v>
      </c>
      <c r="B202" s="24" t="s">
        <v>14</v>
      </c>
      <c r="C202" s="24" t="s">
        <v>15</v>
      </c>
      <c r="D202" s="24"/>
      <c r="E202" s="11"/>
      <c r="F202" s="29"/>
      <c r="G202" s="24"/>
      <c r="H202" s="24"/>
      <c r="I202" s="24"/>
      <c r="J202" s="24"/>
      <c r="K202" s="24"/>
      <c r="L202" s="24"/>
      <c r="M202" s="24"/>
      <c r="N202" s="27"/>
      <c r="O202" s="6" t="s">
        <v>3507</v>
      </c>
      <c r="P202" s="2" t="s">
        <v>3503</v>
      </c>
      <c r="Q202" s="24" t="str">
        <f>IF(Tabla1[[#This Row],[evaluacion_]]="","",IF(Tabla1[[#This Row],[evaluacion_]]=1,"Habilitado","No Habilitado"))</f>
        <v>No Habilitado</v>
      </c>
      <c r="R202" s="2" t="str">
        <f>IF(Tabla1[[#This Row],[fecha]]="","",TEXT(Tabla1[[#This Row],[fecha]],"DMMAAAA")&amp;TEXT(Tabla1[[#This Row],[hora]],"HHmm"))</f>
        <v/>
      </c>
      <c r="S202" s="19" t="str">
        <f>_xlfn.CONCAT(Tabla1[[#This Row],[codigo_]],Tabla1[[#This Row],[correlativo_]])</f>
        <v>921</v>
      </c>
      <c r="T202" s="2" t="str">
        <f t="shared" si="11"/>
        <v>0 de enero del 1900</v>
      </c>
      <c r="U202" s="2" t="str">
        <f>_xlfn.XLOOKUP(Tabla1[[#This Row],[instructor_2]],diccionario_!$A$1:$A$11,diccionario_!$D$1:$D$11,,0)</f>
        <v>Daniel Carvajal B.</v>
      </c>
      <c r="V202" s="2" t="str">
        <f t="shared" si="12"/>
        <v>información de calificación errónea</v>
      </c>
      <c r="W202" s="2" t="s">
        <v>3655</v>
      </c>
    </row>
    <row r="203" spans="1:23" ht="16.5" customHeight="1">
      <c r="A203" s="2">
        <v>922</v>
      </c>
      <c r="B203" s="24" t="s">
        <v>14</v>
      </c>
      <c r="C203" s="24" t="s">
        <v>15</v>
      </c>
      <c r="D203" s="24" t="s">
        <v>9</v>
      </c>
      <c r="E203" s="11">
        <v>46093</v>
      </c>
      <c r="F203" s="29">
        <v>0.65208333333333302</v>
      </c>
      <c r="G203" s="24" t="s">
        <v>1189</v>
      </c>
      <c r="H203" s="24" t="s">
        <v>1190</v>
      </c>
      <c r="I203" s="24" t="s">
        <v>11</v>
      </c>
      <c r="J203" s="24" t="s">
        <v>24</v>
      </c>
      <c r="K203" s="24" t="s">
        <v>19</v>
      </c>
      <c r="L203" s="24" t="s">
        <v>13</v>
      </c>
      <c r="M203" s="24"/>
      <c r="N203" s="27" t="s">
        <v>3548</v>
      </c>
      <c r="O203" s="6">
        <v>1</v>
      </c>
      <c r="P203" s="2" t="s">
        <v>3503</v>
      </c>
      <c r="Q203" s="24" t="str">
        <f>IF(Tabla1[[#This Row],[evaluacion_]]="","",IF(Tabla1[[#This Row],[evaluacion_]]=1,"Habilitado","No Habilitado"))</f>
        <v>Habilitado</v>
      </c>
      <c r="R203" s="2" t="str">
        <f>IF(Tabla1[[#This Row],[fecha]]="","",TEXT(Tabla1[[#This Row],[fecha]],"DMMAAAA")&amp;TEXT(Tabla1[[#This Row],[hora]],"HHmm"))</f>
        <v>120320261539</v>
      </c>
      <c r="S203" s="19" t="str">
        <f>_xlfn.CONCAT(Tabla1[[#This Row],[codigo_]],Tabla1[[#This Row],[correlativo_]])</f>
        <v>120320261539922</v>
      </c>
      <c r="T203" s="2" t="str">
        <f t="shared" si="11"/>
        <v>12 de marzo del 2026</v>
      </c>
      <c r="U203" s="2" t="str">
        <f>_xlfn.XLOOKUP(Tabla1[[#This Row],[instructor_2]],diccionario_!$A$1:$A$11,diccionario_!$D$1:$D$11,,0)</f>
        <v>Daniel Carvajal B.</v>
      </c>
      <c r="V203" s="2" t="str">
        <f t="shared" si="12"/>
        <v>100%</v>
      </c>
      <c r="W203" s="2" t="s">
        <v>3656</v>
      </c>
    </row>
    <row r="204" spans="1:23" ht="16.5" customHeight="1">
      <c r="A204" s="2">
        <v>923</v>
      </c>
      <c r="B204" s="24" t="s">
        <v>14</v>
      </c>
      <c r="C204" s="24" t="s">
        <v>15</v>
      </c>
      <c r="D204" s="24" t="s">
        <v>9</v>
      </c>
      <c r="E204" s="11">
        <v>46093</v>
      </c>
      <c r="F204" s="29">
        <v>0.65277777777777801</v>
      </c>
      <c r="G204" s="24" t="s">
        <v>1189</v>
      </c>
      <c r="H204" s="24" t="s">
        <v>1190</v>
      </c>
      <c r="I204" s="24" t="s">
        <v>29</v>
      </c>
      <c r="J204" s="24" t="s">
        <v>24</v>
      </c>
      <c r="K204" s="24" t="s">
        <v>46</v>
      </c>
      <c r="L204" s="24" t="s">
        <v>47</v>
      </c>
      <c r="M204" s="24"/>
      <c r="N204" s="27" t="s">
        <v>3521</v>
      </c>
      <c r="O204" s="6">
        <v>1</v>
      </c>
      <c r="P204" s="2" t="s">
        <v>3503</v>
      </c>
      <c r="Q204" s="24" t="str">
        <f>IF(Tabla1[[#This Row],[evaluacion_]]="","",IF(Tabla1[[#This Row],[evaluacion_]]=1,"Habilitado","No Habilitado"))</f>
        <v>Habilitado</v>
      </c>
      <c r="R204" s="2" t="str">
        <f>IF(Tabla1[[#This Row],[fecha]]="","",TEXT(Tabla1[[#This Row],[fecha]],"DMMAAAA")&amp;TEXT(Tabla1[[#This Row],[hora]],"HHmm"))</f>
        <v>120320261540</v>
      </c>
      <c r="S204" s="19" t="str">
        <f>_xlfn.CONCAT(Tabla1[[#This Row],[codigo_]],Tabla1[[#This Row],[correlativo_]])</f>
        <v>120320261540923</v>
      </c>
      <c r="T204" s="2" t="str">
        <f t="shared" si="11"/>
        <v>12 de marzo del 2026</v>
      </c>
      <c r="U204" s="2" t="str">
        <f>_xlfn.XLOOKUP(Tabla1[[#This Row],[instructor_2]],diccionario_!$A$1:$A$11,diccionario_!$D$1:$D$11,,0)</f>
        <v>Daniel Carvajal B.</v>
      </c>
      <c r="V204" s="2" t="str">
        <f t="shared" si="12"/>
        <v>100%</v>
      </c>
      <c r="W204" s="2" t="s">
        <v>3656</v>
      </c>
    </row>
    <row r="205" spans="1:23" ht="16.5" customHeight="1">
      <c r="A205" s="2">
        <v>924</v>
      </c>
      <c r="B205" s="24" t="s">
        <v>14</v>
      </c>
      <c r="C205" s="24" t="s">
        <v>15</v>
      </c>
      <c r="D205" s="24" t="s">
        <v>9</v>
      </c>
      <c r="E205" s="11">
        <v>46093</v>
      </c>
      <c r="F205" s="29">
        <v>0.65347222222222201</v>
      </c>
      <c r="G205" s="24" t="s">
        <v>1189</v>
      </c>
      <c r="H205" s="24" t="s">
        <v>1190</v>
      </c>
      <c r="I205" s="24" t="s">
        <v>23</v>
      </c>
      <c r="J205" s="24" t="s">
        <v>24</v>
      </c>
      <c r="K205" s="24" t="s">
        <v>44</v>
      </c>
      <c r="L205" s="24" t="s">
        <v>45</v>
      </c>
      <c r="M205" s="24"/>
      <c r="N205" s="27" t="s">
        <v>3550</v>
      </c>
      <c r="O205" s="6">
        <v>1</v>
      </c>
      <c r="P205" s="2" t="s">
        <v>3503</v>
      </c>
      <c r="Q205" s="24" t="str">
        <f>IF(Tabla1[[#This Row],[evaluacion_]]="","",IF(Tabla1[[#This Row],[evaluacion_]]=1,"Habilitado","No Habilitado"))</f>
        <v>Habilitado</v>
      </c>
      <c r="R205" s="2" t="str">
        <f>IF(Tabla1[[#This Row],[fecha]]="","",TEXT(Tabla1[[#This Row],[fecha]],"DMMAAAA")&amp;TEXT(Tabla1[[#This Row],[hora]],"HHmm"))</f>
        <v>120320261541</v>
      </c>
      <c r="S205" s="19" t="str">
        <f>_xlfn.CONCAT(Tabla1[[#This Row],[codigo_]],Tabla1[[#This Row],[correlativo_]])</f>
        <v>120320261541924</v>
      </c>
      <c r="T205" s="2" t="str">
        <f t="shared" ref="T205:T236" si="13">DAY(E205) &amp; " de " &amp; TEXT(E205, "mmmm") &amp; " del " &amp; YEAR(E205)</f>
        <v>12 de marzo del 2026</v>
      </c>
      <c r="U205" s="2" t="str">
        <f>_xlfn.XLOOKUP(Tabla1[[#This Row],[instructor_2]],diccionario_!$A$1:$A$11,diccionario_!$D$1:$D$11,,0)</f>
        <v>Daniel Carvajal B.</v>
      </c>
      <c r="V205" s="2" t="str">
        <f t="shared" si="12"/>
        <v>100%</v>
      </c>
      <c r="W205" s="2" t="s">
        <v>3656</v>
      </c>
    </row>
    <row r="206" spans="1:23" ht="16.5" customHeight="1">
      <c r="A206" s="2">
        <v>925</v>
      </c>
      <c r="B206" s="24" t="s">
        <v>32</v>
      </c>
      <c r="C206" s="24"/>
      <c r="D206" s="24" t="s">
        <v>9</v>
      </c>
      <c r="E206" s="11"/>
      <c r="F206" s="29"/>
      <c r="G206" s="24"/>
      <c r="H206" s="24"/>
      <c r="I206" s="24"/>
      <c r="J206" s="24"/>
      <c r="K206" s="24"/>
      <c r="L206" s="24"/>
      <c r="M206" s="24"/>
      <c r="N206" s="27"/>
      <c r="O206" s="6" t="s">
        <v>3507</v>
      </c>
      <c r="P206" s="2" t="s">
        <v>3503</v>
      </c>
      <c r="Q206" s="24" t="str">
        <f>IF(Tabla1[[#This Row],[evaluacion_]]="","",IF(Tabla1[[#This Row],[evaluacion_]]=1,"Habilitado","No Habilitado"))</f>
        <v>No Habilitado</v>
      </c>
      <c r="R206" s="2" t="str">
        <f>IF(Tabla1[[#This Row],[fecha]]="","",TEXT(Tabla1[[#This Row],[fecha]],"DMMAAAA")&amp;TEXT(Tabla1[[#This Row],[hora]],"HHmm"))</f>
        <v/>
      </c>
      <c r="S206" s="19" t="str">
        <f>_xlfn.CONCAT(Tabla1[[#This Row],[codigo_]],Tabla1[[#This Row],[correlativo_]])</f>
        <v>925</v>
      </c>
      <c r="T206" s="2" t="str">
        <f t="shared" si="13"/>
        <v>0 de enero del 1900</v>
      </c>
      <c r="U206" s="2" t="str">
        <f>_xlfn.XLOOKUP(Tabla1[[#This Row],[instructor_2]],diccionario_!$A$1:$A$11,diccionario_!$D$1:$D$11,,0)</f>
        <v>Guillermo Milla M.</v>
      </c>
      <c r="V206" s="2" t="str">
        <f t="shared" si="12"/>
        <v>información de calificación errónea</v>
      </c>
      <c r="W206" s="2" t="s">
        <v>3656</v>
      </c>
    </row>
    <row r="207" spans="1:23" ht="16.5" customHeight="1">
      <c r="A207" s="2">
        <v>926</v>
      </c>
      <c r="B207" s="24" t="s">
        <v>7</v>
      </c>
      <c r="C207" s="24" t="s">
        <v>8</v>
      </c>
      <c r="D207" s="24" t="s">
        <v>9</v>
      </c>
      <c r="E207" s="11"/>
      <c r="F207" s="29"/>
      <c r="G207" s="24"/>
      <c r="H207" s="24"/>
      <c r="I207" s="24"/>
      <c r="J207" s="24"/>
      <c r="K207" s="24"/>
      <c r="L207" s="24"/>
      <c r="M207" s="24"/>
      <c r="N207" s="27"/>
      <c r="O207" s="6" t="s">
        <v>3507</v>
      </c>
      <c r="P207" s="2" t="s">
        <v>3503</v>
      </c>
      <c r="Q207" s="24" t="str">
        <f>IF(Tabla1[[#This Row],[evaluacion_]]="","",IF(Tabla1[[#This Row],[evaluacion_]]=1,"Habilitado","No Habilitado"))</f>
        <v>No Habilitado</v>
      </c>
      <c r="R207" s="2" t="str">
        <f>IF(Tabla1[[#This Row],[fecha]]="","",TEXT(Tabla1[[#This Row],[fecha]],"DMMAAAA")&amp;TEXT(Tabla1[[#This Row],[hora]],"HHmm"))</f>
        <v/>
      </c>
      <c r="S207" s="19" t="str">
        <f>_xlfn.CONCAT(Tabla1[[#This Row],[codigo_]],Tabla1[[#This Row],[correlativo_]])</f>
        <v>926</v>
      </c>
      <c r="T207" s="2" t="str">
        <f t="shared" si="13"/>
        <v>0 de enero del 1900</v>
      </c>
      <c r="U207" s="2" t="str">
        <f>_xlfn.XLOOKUP(Tabla1[[#This Row],[instructor_2]],diccionario_!$A$1:$A$11,diccionario_!$D$1:$D$11,,0)</f>
        <v>Marcelo Barrera A.</v>
      </c>
      <c r="V207" s="2" t="str">
        <f t="shared" si="12"/>
        <v>información de calificación errónea</v>
      </c>
      <c r="W207" s="2" t="s">
        <v>3656</v>
      </c>
    </row>
    <row r="208" spans="1:23" ht="16.5" customHeight="1">
      <c r="A208" s="2">
        <v>927</v>
      </c>
      <c r="B208" s="24" t="s">
        <v>14</v>
      </c>
      <c r="C208" s="24" t="s">
        <v>15</v>
      </c>
      <c r="D208" s="24" t="s">
        <v>9</v>
      </c>
      <c r="E208" s="11">
        <v>46058</v>
      </c>
      <c r="F208" s="29">
        <v>0.71041666666666703</v>
      </c>
      <c r="G208" s="24" t="s">
        <v>3109</v>
      </c>
      <c r="H208" s="24" t="s">
        <v>3110</v>
      </c>
      <c r="I208" s="24" t="s">
        <v>11</v>
      </c>
      <c r="J208" s="24" t="s">
        <v>24</v>
      </c>
      <c r="K208" s="24" t="s">
        <v>19</v>
      </c>
      <c r="L208" s="24" t="s">
        <v>13</v>
      </c>
      <c r="M208" s="24"/>
      <c r="N208" s="27" t="s">
        <v>3548</v>
      </c>
      <c r="O208" s="6">
        <v>1</v>
      </c>
      <c r="P208" s="2" t="s">
        <v>3503</v>
      </c>
      <c r="Q208" s="24" t="str">
        <f>IF(Tabla1[[#This Row],[evaluacion_]]="","",IF(Tabla1[[#This Row],[evaluacion_]]=1,"Habilitado","No Habilitado"))</f>
        <v>Habilitado</v>
      </c>
      <c r="R208" s="2" t="str">
        <f>IF(Tabla1[[#This Row],[fecha]]="","",TEXT(Tabla1[[#This Row],[fecha]],"DMMAAAA")&amp;TEXT(Tabla1[[#This Row],[hora]],"HHmm"))</f>
        <v>50220261703</v>
      </c>
      <c r="S208" s="19" t="str">
        <f>_xlfn.CONCAT(Tabla1[[#This Row],[codigo_]],Tabla1[[#This Row],[correlativo_]])</f>
        <v>50220261703927</v>
      </c>
      <c r="T208" s="2" t="str">
        <f t="shared" si="13"/>
        <v>5 de febrero del 2026</v>
      </c>
      <c r="U208" s="2" t="str">
        <f>_xlfn.XLOOKUP(Tabla1[[#This Row],[instructor_2]],diccionario_!$A$1:$A$11,diccionario_!$D$1:$D$11,,0)</f>
        <v>Daniel Carvajal B.</v>
      </c>
      <c r="V208" s="2" t="str">
        <f t="shared" si="12"/>
        <v>100%</v>
      </c>
      <c r="W208" s="2" t="s">
        <v>3657</v>
      </c>
    </row>
    <row r="209" spans="1:23" ht="16.5" customHeight="1">
      <c r="A209" s="2">
        <v>928</v>
      </c>
      <c r="B209" s="24" t="s">
        <v>14</v>
      </c>
      <c r="C209" s="24" t="s">
        <v>15</v>
      </c>
      <c r="D209" s="24" t="s">
        <v>9</v>
      </c>
      <c r="E209" s="11">
        <v>46058</v>
      </c>
      <c r="F209" s="29">
        <v>0.71180555555555602</v>
      </c>
      <c r="G209" s="24" t="s">
        <v>3109</v>
      </c>
      <c r="H209" s="24" t="s">
        <v>3110</v>
      </c>
      <c r="I209" s="24" t="s">
        <v>29</v>
      </c>
      <c r="J209" s="24" t="s">
        <v>24</v>
      </c>
      <c r="K209" s="24" t="s">
        <v>46</v>
      </c>
      <c r="L209" s="24" t="s">
        <v>47</v>
      </c>
      <c r="M209" s="24"/>
      <c r="N209" s="27" t="s">
        <v>3521</v>
      </c>
      <c r="O209" s="6">
        <v>1</v>
      </c>
      <c r="P209" s="2" t="s">
        <v>3503</v>
      </c>
      <c r="Q209" s="24" t="str">
        <f>IF(Tabla1[[#This Row],[evaluacion_]]="","",IF(Tabla1[[#This Row],[evaluacion_]]=1,"Habilitado","No Habilitado"))</f>
        <v>Habilitado</v>
      </c>
      <c r="R209" s="2" t="str">
        <f>IF(Tabla1[[#This Row],[fecha]]="","",TEXT(Tabla1[[#This Row],[fecha]],"DMMAAAA")&amp;TEXT(Tabla1[[#This Row],[hora]],"HHmm"))</f>
        <v>50220261705</v>
      </c>
      <c r="S209" s="19" t="str">
        <f>_xlfn.CONCAT(Tabla1[[#This Row],[codigo_]],Tabla1[[#This Row],[correlativo_]])</f>
        <v>50220261705928</v>
      </c>
      <c r="T209" s="2" t="str">
        <f t="shared" si="13"/>
        <v>5 de febrero del 2026</v>
      </c>
      <c r="U209" s="2" t="str">
        <f>_xlfn.XLOOKUP(Tabla1[[#This Row],[instructor_2]],diccionario_!$A$1:$A$11,diccionario_!$D$1:$D$11,,0)</f>
        <v>Daniel Carvajal B.</v>
      </c>
      <c r="V209" s="2" t="str">
        <f t="shared" ref="V209:V244" si="14">TEXT(O209,"0%")</f>
        <v>100%</v>
      </c>
      <c r="W209" s="2" t="s">
        <v>3657</v>
      </c>
    </row>
    <row r="210" spans="1:23" ht="16.5" customHeight="1">
      <c r="A210" s="2">
        <v>929</v>
      </c>
      <c r="B210" s="24" t="s">
        <v>14</v>
      </c>
      <c r="C210" s="24" t="s">
        <v>15</v>
      </c>
      <c r="D210" s="24" t="s">
        <v>9</v>
      </c>
      <c r="E210" s="11">
        <v>46058</v>
      </c>
      <c r="F210" s="29">
        <v>0.71388888888888902</v>
      </c>
      <c r="G210" s="24" t="s">
        <v>3109</v>
      </c>
      <c r="H210" s="24" t="s">
        <v>3110</v>
      </c>
      <c r="I210" s="24" t="s">
        <v>23</v>
      </c>
      <c r="J210" s="24" t="s">
        <v>24</v>
      </c>
      <c r="K210" s="24" t="s">
        <v>44</v>
      </c>
      <c r="L210" s="24" t="s">
        <v>45</v>
      </c>
      <c r="M210" s="24"/>
      <c r="N210" s="27" t="s">
        <v>3550</v>
      </c>
      <c r="O210" s="6">
        <v>1</v>
      </c>
      <c r="P210" s="2" t="s">
        <v>3503</v>
      </c>
      <c r="Q210" s="24" t="str">
        <f>IF(Tabla1[[#This Row],[evaluacion_]]="","",IF(Tabla1[[#This Row],[evaluacion_]]=1,"Habilitado","No Habilitado"))</f>
        <v>Habilitado</v>
      </c>
      <c r="R210" s="2" t="str">
        <f>IF(Tabla1[[#This Row],[fecha]]="","",TEXT(Tabla1[[#This Row],[fecha]],"DMMAAAA")&amp;TEXT(Tabla1[[#This Row],[hora]],"HHmm"))</f>
        <v>50220261708</v>
      </c>
      <c r="S210" s="19" t="str">
        <f>_xlfn.CONCAT(Tabla1[[#This Row],[codigo_]],Tabla1[[#This Row],[correlativo_]])</f>
        <v>50220261708929</v>
      </c>
      <c r="T210" s="2" t="str">
        <f t="shared" si="13"/>
        <v>5 de febrero del 2026</v>
      </c>
      <c r="U210" s="2" t="str">
        <f>_xlfn.XLOOKUP(Tabla1[[#This Row],[instructor_2]],diccionario_!$A$1:$A$11,diccionario_!$D$1:$D$11,,0)</f>
        <v>Daniel Carvajal B.</v>
      </c>
      <c r="V210" s="2" t="str">
        <f t="shared" si="14"/>
        <v>100%</v>
      </c>
      <c r="W210" s="2" t="s">
        <v>3657</v>
      </c>
    </row>
    <row r="211" spans="1:23" ht="16.5" customHeight="1">
      <c r="A211" s="2">
        <v>930</v>
      </c>
      <c r="B211" s="24" t="s">
        <v>32</v>
      </c>
      <c r="C211" s="24" t="s">
        <v>33</v>
      </c>
      <c r="D211" s="24" t="s">
        <v>9</v>
      </c>
      <c r="E211" s="11">
        <v>46120</v>
      </c>
      <c r="F211" s="29">
        <v>0.375</v>
      </c>
      <c r="G211" s="24" t="s">
        <v>2110</v>
      </c>
      <c r="H211" s="24" t="s">
        <v>2111</v>
      </c>
      <c r="I211" s="24" t="s">
        <v>11</v>
      </c>
      <c r="J211" s="24" t="s">
        <v>36</v>
      </c>
      <c r="K211" s="24" t="s">
        <v>25</v>
      </c>
      <c r="L211" s="24"/>
      <c r="M211" s="24"/>
      <c r="N211" s="27" t="s">
        <v>25</v>
      </c>
      <c r="O211" s="6">
        <v>1</v>
      </c>
      <c r="P211" s="2" t="s">
        <v>3503</v>
      </c>
      <c r="Q211" s="24" t="str">
        <f>IF(Tabla1[[#This Row],[evaluacion_]]="","",IF(Tabla1[[#This Row],[evaluacion_]]=1,"Habilitado","No Habilitado"))</f>
        <v>Habilitado</v>
      </c>
      <c r="R211" s="2" t="str">
        <f>IF(Tabla1[[#This Row],[fecha]]="","",TEXT(Tabla1[[#This Row],[fecha]],"DMMAAAA")&amp;TEXT(Tabla1[[#This Row],[hora]],"HHmm"))</f>
        <v>80420260900</v>
      </c>
      <c r="S211" s="19" t="str">
        <f>_xlfn.CONCAT(Tabla1[[#This Row],[codigo_]],Tabla1[[#This Row],[correlativo_]])</f>
        <v>80420260900930</v>
      </c>
      <c r="T211" s="2" t="str">
        <f t="shared" si="13"/>
        <v>8 de abril del 2026</v>
      </c>
      <c r="U211" s="2" t="str">
        <f>_xlfn.XLOOKUP(Tabla1[[#This Row],[instructor_2]],diccionario_!$A$1:$A$11,diccionario_!$D$1:$D$11,,0)</f>
        <v>Guillermo Milla M.</v>
      </c>
      <c r="V211" s="2" t="str">
        <f t="shared" si="14"/>
        <v>100%</v>
      </c>
      <c r="W211" s="2" t="s">
        <v>3658</v>
      </c>
    </row>
    <row r="212" spans="1:23" ht="16.5" customHeight="1">
      <c r="A212" s="2">
        <v>931</v>
      </c>
      <c r="B212" s="24" t="s">
        <v>32</v>
      </c>
      <c r="C212" s="24" t="s">
        <v>33</v>
      </c>
      <c r="D212" s="24" t="s">
        <v>9</v>
      </c>
      <c r="E212" s="11">
        <v>46097</v>
      </c>
      <c r="F212" s="29">
        <v>0.41666666666666702</v>
      </c>
      <c r="G212" s="24" t="s">
        <v>3659</v>
      </c>
      <c r="H212" s="24" t="s">
        <v>548</v>
      </c>
      <c r="I212" s="24" t="s">
        <v>11</v>
      </c>
      <c r="J212" s="24" t="s">
        <v>12</v>
      </c>
      <c r="K212" s="24" t="s">
        <v>13</v>
      </c>
      <c r="L212" s="24" t="s">
        <v>25</v>
      </c>
      <c r="M212" s="24" t="s">
        <v>3660</v>
      </c>
      <c r="N212" s="27" t="s">
        <v>3579</v>
      </c>
      <c r="O212" s="6">
        <v>1</v>
      </c>
      <c r="P212" s="2" t="s">
        <v>3503</v>
      </c>
      <c r="Q212" s="24" t="str">
        <f>IF(Tabla1[[#This Row],[evaluacion_]]="","",IF(Tabla1[[#This Row],[evaluacion_]]=1,"Habilitado","No Habilitado"))</f>
        <v>Habilitado</v>
      </c>
      <c r="R212" s="2" t="str">
        <f>IF(Tabla1[[#This Row],[fecha]]="","",TEXT(Tabla1[[#This Row],[fecha]],"DMMAAAA")&amp;TEXT(Tabla1[[#This Row],[hora]],"HHmm"))</f>
        <v>160320261000</v>
      </c>
      <c r="S212" s="19" t="str">
        <f>_xlfn.CONCAT(Tabla1[[#This Row],[codigo_]],Tabla1[[#This Row],[correlativo_]])</f>
        <v>160320261000931</v>
      </c>
      <c r="T212" s="2" t="str">
        <f t="shared" si="13"/>
        <v>16 de marzo del 2026</v>
      </c>
      <c r="U212" s="2" t="str">
        <f>_xlfn.XLOOKUP(Tabla1[[#This Row],[instructor_2]],diccionario_!$A$1:$A$11,diccionario_!$D$1:$D$11,,0)</f>
        <v>Guillermo Milla M.</v>
      </c>
      <c r="V212" s="2" t="str">
        <f t="shared" si="14"/>
        <v>100%</v>
      </c>
      <c r="W212" s="2" t="s">
        <v>3661</v>
      </c>
    </row>
    <row r="213" spans="1:23" ht="16.5" customHeight="1">
      <c r="A213" s="2">
        <v>932</v>
      </c>
      <c r="B213" s="24" t="s">
        <v>32</v>
      </c>
      <c r="C213" s="24" t="s">
        <v>33</v>
      </c>
      <c r="D213" s="24" t="s">
        <v>9</v>
      </c>
      <c r="E213" s="11">
        <v>46097</v>
      </c>
      <c r="F213" s="29">
        <v>0.41666666666666702</v>
      </c>
      <c r="G213" s="24" t="s">
        <v>3659</v>
      </c>
      <c r="H213" s="24" t="s">
        <v>548</v>
      </c>
      <c r="I213" s="24" t="s">
        <v>23</v>
      </c>
      <c r="J213" s="24" t="s">
        <v>12</v>
      </c>
      <c r="K213" s="24" t="s">
        <v>41</v>
      </c>
      <c r="L213" s="24" t="s">
        <v>3660</v>
      </c>
      <c r="M213" s="24" t="s">
        <v>3660</v>
      </c>
      <c r="N213" s="27" t="s">
        <v>41</v>
      </c>
      <c r="O213" s="6">
        <v>1</v>
      </c>
      <c r="P213" s="2" t="s">
        <v>3503</v>
      </c>
      <c r="Q213" s="24" t="str">
        <f>IF(Tabla1[[#This Row],[evaluacion_]]="","",IF(Tabla1[[#This Row],[evaluacion_]]=1,"Habilitado","No Habilitado"))</f>
        <v>Habilitado</v>
      </c>
      <c r="R213" s="2" t="str">
        <f>IF(Tabla1[[#This Row],[fecha]]="","",TEXT(Tabla1[[#This Row],[fecha]],"DMMAAAA")&amp;TEXT(Tabla1[[#This Row],[hora]],"HHmm"))</f>
        <v>160320261000</v>
      </c>
      <c r="S213" s="19" t="str">
        <f>_xlfn.CONCAT(Tabla1[[#This Row],[codigo_]],Tabla1[[#This Row],[correlativo_]])</f>
        <v>160320261000932</v>
      </c>
      <c r="T213" s="2" t="str">
        <f t="shared" si="13"/>
        <v>16 de marzo del 2026</v>
      </c>
      <c r="U213" s="2" t="str">
        <f>_xlfn.XLOOKUP(Tabla1[[#This Row],[instructor_2]],diccionario_!$A$1:$A$11,diccionario_!$D$1:$D$11,,0)</f>
        <v>Guillermo Milla M.</v>
      </c>
      <c r="V213" s="2" t="str">
        <f t="shared" si="14"/>
        <v>100%</v>
      </c>
      <c r="W213" s="2" t="s">
        <v>3662</v>
      </c>
    </row>
    <row r="214" spans="1:23" ht="16.5" customHeight="1">
      <c r="A214" s="2">
        <v>933</v>
      </c>
      <c r="B214" s="24" t="s">
        <v>32</v>
      </c>
      <c r="C214" s="24" t="s">
        <v>33</v>
      </c>
      <c r="D214" s="24" t="s">
        <v>9</v>
      </c>
      <c r="E214" s="11">
        <v>46122</v>
      </c>
      <c r="F214" s="29">
        <v>0.625</v>
      </c>
      <c r="G214" s="24" t="s">
        <v>2215</v>
      </c>
      <c r="H214" s="24" t="s">
        <v>2216</v>
      </c>
      <c r="I214" s="24" t="s">
        <v>42</v>
      </c>
      <c r="J214" s="24" t="s">
        <v>12</v>
      </c>
      <c r="K214" s="24" t="s">
        <v>52</v>
      </c>
      <c r="L214" s="24"/>
      <c r="M214" s="24"/>
      <c r="N214" s="27"/>
      <c r="O214" s="6">
        <v>1</v>
      </c>
      <c r="P214" s="2" t="s">
        <v>3503</v>
      </c>
      <c r="Q214" s="24" t="str">
        <f>IF(Tabla1[[#This Row],[evaluacion_]]="","",IF(Tabla1[[#This Row],[evaluacion_]]=1,"Habilitado","No Habilitado"))</f>
        <v>Habilitado</v>
      </c>
      <c r="R214" s="2" t="str">
        <f>IF(Tabla1[[#This Row],[fecha]]="","",TEXT(Tabla1[[#This Row],[fecha]],"DMMAAAA")&amp;TEXT(Tabla1[[#This Row],[hora]],"HHmm"))</f>
        <v>100420261500</v>
      </c>
      <c r="S214" s="19" t="str">
        <f>_xlfn.CONCAT(Tabla1[[#This Row],[codigo_]],Tabla1[[#This Row],[correlativo_]])</f>
        <v>100420261500933</v>
      </c>
      <c r="T214" s="2" t="str">
        <f t="shared" si="13"/>
        <v>10 de abril del 2026</v>
      </c>
      <c r="U214" s="2" t="str">
        <f>_xlfn.XLOOKUP(Tabla1[[#This Row],[instructor_2]],diccionario_!$A$1:$A$11,diccionario_!$D$1:$D$11,,0)</f>
        <v>Guillermo Milla M.</v>
      </c>
      <c r="V214" s="2" t="str">
        <f t="shared" si="14"/>
        <v>100%</v>
      </c>
      <c r="W214" s="2" t="s">
        <v>3663</v>
      </c>
    </row>
    <row r="215" spans="1:23" ht="16.5" customHeight="1">
      <c r="A215" s="2">
        <v>934</v>
      </c>
      <c r="B215" s="24" t="s">
        <v>32</v>
      </c>
      <c r="C215" s="24" t="s">
        <v>33</v>
      </c>
      <c r="D215" s="24" t="s">
        <v>9</v>
      </c>
      <c r="E215" s="11">
        <v>46122</v>
      </c>
      <c r="F215" s="29">
        <v>0.625</v>
      </c>
      <c r="G215" s="24" t="s">
        <v>2215</v>
      </c>
      <c r="H215" s="24" t="s">
        <v>2216</v>
      </c>
      <c r="I215" s="24" t="s">
        <v>42</v>
      </c>
      <c r="J215" s="24" t="s">
        <v>12</v>
      </c>
      <c r="K215" s="24" t="s">
        <v>52</v>
      </c>
      <c r="L215" s="24"/>
      <c r="M215" s="24"/>
      <c r="N215" s="27"/>
      <c r="O215" s="6">
        <v>1</v>
      </c>
      <c r="P215" s="2" t="s">
        <v>3503</v>
      </c>
      <c r="Q215" s="24" t="str">
        <f>IF(Tabla1[[#This Row],[evaluacion_]]="","",IF(Tabla1[[#This Row],[evaluacion_]]=1,"Habilitado","No Habilitado"))</f>
        <v>Habilitado</v>
      </c>
      <c r="R215" s="2" t="str">
        <f>IF(Tabla1[[#This Row],[fecha]]="","",TEXT(Tabla1[[#This Row],[fecha]],"DMMAAAA")&amp;TEXT(Tabla1[[#This Row],[hora]],"HHmm"))</f>
        <v>100420261500</v>
      </c>
      <c r="S215" s="19" t="str">
        <f>_xlfn.CONCAT(Tabla1[[#This Row],[codigo_]],Tabla1[[#This Row],[correlativo_]])</f>
        <v>100420261500934</v>
      </c>
      <c r="T215" s="2" t="str">
        <f t="shared" si="13"/>
        <v>10 de abril del 2026</v>
      </c>
      <c r="U215" s="2" t="str">
        <f>_xlfn.XLOOKUP(Tabla1[[#This Row],[instructor_2]],diccionario_!$A$1:$A$11,diccionario_!$D$1:$D$11,,0)</f>
        <v>Guillermo Milla M.</v>
      </c>
      <c r="V215" s="2" t="str">
        <f t="shared" si="14"/>
        <v>100%</v>
      </c>
      <c r="W215" s="2" t="s">
        <v>3664</v>
      </c>
    </row>
    <row r="216" spans="1:23" ht="16.5" customHeight="1">
      <c r="A216" s="2">
        <v>935</v>
      </c>
      <c r="B216" s="24"/>
      <c r="C216" s="24" t="s">
        <v>33</v>
      </c>
      <c r="D216" s="24" t="s">
        <v>9</v>
      </c>
      <c r="E216" s="11"/>
      <c r="F216" s="29"/>
      <c r="G216" s="24"/>
      <c r="H216" s="24"/>
      <c r="I216" s="24"/>
      <c r="J216" s="24"/>
      <c r="K216" s="24"/>
      <c r="L216" s="24"/>
      <c r="M216" s="24"/>
      <c r="N216" s="27"/>
      <c r="O216" s="6" t="s">
        <v>3507</v>
      </c>
      <c r="P216" s="2" t="s">
        <v>3503</v>
      </c>
      <c r="Q216" s="24" t="str">
        <f>IF(Tabla1[[#This Row],[evaluacion_]]="","",IF(Tabla1[[#This Row],[evaluacion_]]=1,"Habilitado","No Habilitado"))</f>
        <v>No Habilitado</v>
      </c>
      <c r="R216" s="2" t="str">
        <f>IF(Tabla1[[#This Row],[fecha]]="","",TEXT(Tabla1[[#This Row],[fecha]],"DMMAAAA")&amp;TEXT(Tabla1[[#This Row],[hora]],"HHmm"))</f>
        <v/>
      </c>
      <c r="S216" s="19" t="str">
        <f>_xlfn.CONCAT(Tabla1[[#This Row],[codigo_]],Tabla1[[#This Row],[correlativo_]])</f>
        <v>935</v>
      </c>
      <c r="T216" s="2" t="str">
        <f t="shared" si="13"/>
        <v>0 de enero del 1900</v>
      </c>
      <c r="U216" s="2">
        <f>_xlfn.XLOOKUP(Tabla1[[#This Row],[instructor_2]],diccionario_!$A$1:$A$11,diccionario_!$D$1:$D$11,,0)</f>
        <v>0</v>
      </c>
      <c r="V216" s="2" t="str">
        <f t="shared" si="14"/>
        <v>información de calificación errónea</v>
      </c>
      <c r="W216" s="2" t="s">
        <v>3665</v>
      </c>
    </row>
    <row r="217" spans="1:23" ht="16.5" customHeight="1">
      <c r="A217" s="2">
        <v>936</v>
      </c>
      <c r="B217" s="24"/>
      <c r="C217" s="24" t="s">
        <v>33</v>
      </c>
      <c r="D217" s="24"/>
      <c r="E217" s="11"/>
      <c r="F217" s="29"/>
      <c r="G217" s="24"/>
      <c r="H217" s="24"/>
      <c r="I217" s="24"/>
      <c r="J217" s="24"/>
      <c r="K217" s="24"/>
      <c r="L217" s="24"/>
      <c r="M217" s="24"/>
      <c r="N217" s="27"/>
      <c r="O217" s="6" t="s">
        <v>3507</v>
      </c>
      <c r="P217" s="2" t="s">
        <v>3503</v>
      </c>
      <c r="Q217" s="24" t="str">
        <f>IF(Tabla1[[#This Row],[evaluacion_]]="","",IF(Tabla1[[#This Row],[evaluacion_]]=1,"Habilitado","No Habilitado"))</f>
        <v>No Habilitado</v>
      </c>
      <c r="R217" s="2" t="str">
        <f>IF(Tabla1[[#This Row],[fecha]]="","",TEXT(Tabla1[[#This Row],[fecha]],"DMMAAAA")&amp;TEXT(Tabla1[[#This Row],[hora]],"HHmm"))</f>
        <v/>
      </c>
      <c r="S217" s="19" t="str">
        <f>_xlfn.CONCAT(Tabla1[[#This Row],[codigo_]],Tabla1[[#This Row],[correlativo_]])</f>
        <v>936</v>
      </c>
      <c r="T217" s="2" t="str">
        <f t="shared" si="13"/>
        <v>0 de enero del 1900</v>
      </c>
      <c r="U217" s="2">
        <f>_xlfn.XLOOKUP(Tabla1[[#This Row],[instructor_2]],diccionario_!$A$1:$A$11,diccionario_!$D$1:$D$11,,0)</f>
        <v>0</v>
      </c>
      <c r="V217" s="2" t="str">
        <f t="shared" si="14"/>
        <v>información de calificación errónea</v>
      </c>
      <c r="W217" s="2" t="s">
        <v>3666</v>
      </c>
    </row>
    <row r="218" spans="1:23" ht="16.5" customHeight="1">
      <c r="A218" s="2">
        <v>937</v>
      </c>
      <c r="B218" s="24"/>
      <c r="C218" s="24" t="s">
        <v>3667</v>
      </c>
      <c r="D218" s="24"/>
      <c r="E218" s="11"/>
      <c r="F218" s="29"/>
      <c r="G218" s="24"/>
      <c r="H218" s="24"/>
      <c r="I218" s="24"/>
      <c r="J218" s="24"/>
      <c r="K218" s="24"/>
      <c r="L218" s="24"/>
      <c r="M218" s="24"/>
      <c r="N218" s="27"/>
      <c r="O218" s="6" t="s">
        <v>3507</v>
      </c>
      <c r="P218" s="2" t="s">
        <v>3503</v>
      </c>
      <c r="Q218" s="24" t="str">
        <f>IF(Tabla1[[#This Row],[evaluacion_]]="","",IF(Tabla1[[#This Row],[evaluacion_]]=1,"Habilitado","No Habilitado"))</f>
        <v>No Habilitado</v>
      </c>
      <c r="R218" s="2" t="str">
        <f>IF(Tabla1[[#This Row],[fecha]]="","",TEXT(Tabla1[[#This Row],[fecha]],"DMMAAAA")&amp;TEXT(Tabla1[[#This Row],[hora]],"HHmm"))</f>
        <v/>
      </c>
      <c r="S218" s="19" t="str">
        <f>_xlfn.CONCAT(Tabla1[[#This Row],[codigo_]],Tabla1[[#This Row],[correlativo_]])</f>
        <v>937</v>
      </c>
      <c r="T218" s="2" t="str">
        <f t="shared" si="13"/>
        <v>0 de enero del 1900</v>
      </c>
      <c r="U218" s="2">
        <f>_xlfn.XLOOKUP(Tabla1[[#This Row],[instructor_2]],diccionario_!$A$1:$A$11,diccionario_!$D$1:$D$11,,0)</f>
        <v>0</v>
      </c>
      <c r="V218" s="2" t="str">
        <f t="shared" si="14"/>
        <v>información de calificación errónea</v>
      </c>
      <c r="W218" s="2" t="s">
        <v>3666</v>
      </c>
    </row>
    <row r="219" spans="1:23" ht="16.5" customHeight="1">
      <c r="A219" s="2">
        <v>938</v>
      </c>
      <c r="B219" s="24"/>
      <c r="C219" s="24" t="s">
        <v>3668</v>
      </c>
      <c r="D219" s="24"/>
      <c r="E219" s="11"/>
      <c r="F219" s="29"/>
      <c r="G219" s="24"/>
      <c r="H219" s="24"/>
      <c r="I219" s="24"/>
      <c r="J219" s="24"/>
      <c r="K219" s="24"/>
      <c r="L219" s="24"/>
      <c r="M219" s="24"/>
      <c r="N219" s="27"/>
      <c r="O219" s="6" t="s">
        <v>3507</v>
      </c>
      <c r="P219" s="2" t="s">
        <v>3503</v>
      </c>
      <c r="Q219" s="24" t="str">
        <f>IF(Tabla1[[#This Row],[evaluacion_]]="","",IF(Tabla1[[#This Row],[evaluacion_]]=1,"Habilitado","No Habilitado"))</f>
        <v>No Habilitado</v>
      </c>
      <c r="R219" s="2" t="str">
        <f>IF(Tabla1[[#This Row],[fecha]]="","",TEXT(Tabla1[[#This Row],[fecha]],"DMMAAAA")&amp;TEXT(Tabla1[[#This Row],[hora]],"HHmm"))</f>
        <v/>
      </c>
      <c r="S219" s="19" t="str">
        <f>_xlfn.CONCAT(Tabla1[[#This Row],[codigo_]],Tabla1[[#This Row],[correlativo_]])</f>
        <v>938</v>
      </c>
      <c r="T219" s="2" t="str">
        <f t="shared" si="13"/>
        <v>0 de enero del 1900</v>
      </c>
      <c r="U219" s="2">
        <f>_xlfn.XLOOKUP(Tabla1[[#This Row],[instructor_2]],diccionario_!$A$1:$A$11,diccionario_!$D$1:$D$11,,0)</f>
        <v>0</v>
      </c>
      <c r="V219" s="2" t="str">
        <f t="shared" si="14"/>
        <v>información de calificación errónea</v>
      </c>
      <c r="W219" s="2" t="s">
        <v>3666</v>
      </c>
    </row>
    <row r="220" spans="1:23" ht="16.5" customHeight="1">
      <c r="A220" s="2">
        <v>939</v>
      </c>
      <c r="B220" s="24"/>
      <c r="C220" s="24" t="s">
        <v>3669</v>
      </c>
      <c r="D220" s="24"/>
      <c r="E220" s="11"/>
      <c r="F220" s="29"/>
      <c r="G220" s="24"/>
      <c r="H220" s="24"/>
      <c r="I220" s="24"/>
      <c r="J220" s="24"/>
      <c r="K220" s="24"/>
      <c r="L220" s="24"/>
      <c r="M220" s="24"/>
      <c r="N220" s="27"/>
      <c r="O220" s="6" t="s">
        <v>3507</v>
      </c>
      <c r="P220" s="2" t="s">
        <v>3503</v>
      </c>
      <c r="Q220" s="24" t="str">
        <f>IF(Tabla1[[#This Row],[evaluacion_]]="","",IF(Tabla1[[#This Row],[evaluacion_]]=1,"Habilitado","No Habilitado"))</f>
        <v>No Habilitado</v>
      </c>
      <c r="R220" s="2" t="str">
        <f>IF(Tabla1[[#This Row],[fecha]]="","",TEXT(Tabla1[[#This Row],[fecha]],"DMMAAAA")&amp;TEXT(Tabla1[[#This Row],[hora]],"HHmm"))</f>
        <v/>
      </c>
      <c r="S220" s="19" t="str">
        <f>_xlfn.CONCAT(Tabla1[[#This Row],[codigo_]],Tabla1[[#This Row],[correlativo_]])</f>
        <v>939</v>
      </c>
      <c r="T220" s="2" t="str">
        <f t="shared" si="13"/>
        <v>0 de enero del 1900</v>
      </c>
      <c r="U220" s="2">
        <f>_xlfn.XLOOKUP(Tabla1[[#This Row],[instructor_2]],diccionario_!$A$1:$A$11,diccionario_!$D$1:$D$11,,0)</f>
        <v>0</v>
      </c>
      <c r="V220" s="2" t="str">
        <f t="shared" si="14"/>
        <v>información de calificación errónea</v>
      </c>
      <c r="W220" s="2" t="s">
        <v>3666</v>
      </c>
    </row>
    <row r="221" spans="1:23" ht="16.5" customHeight="1">
      <c r="A221" s="2">
        <v>940</v>
      </c>
      <c r="B221" s="24"/>
      <c r="C221" s="24" t="s">
        <v>3670</v>
      </c>
      <c r="D221" s="24"/>
      <c r="E221" s="11"/>
      <c r="F221" s="29"/>
      <c r="G221" s="24"/>
      <c r="H221" s="24"/>
      <c r="I221" s="24"/>
      <c r="J221" s="24"/>
      <c r="K221" s="24"/>
      <c r="L221" s="24"/>
      <c r="M221" s="24"/>
      <c r="N221" s="27"/>
      <c r="O221" s="6" t="s">
        <v>3507</v>
      </c>
      <c r="P221" s="2" t="s">
        <v>3503</v>
      </c>
      <c r="Q221" s="24" t="str">
        <f>IF(Tabla1[[#This Row],[evaluacion_]]="","",IF(Tabla1[[#This Row],[evaluacion_]]=1,"Habilitado","No Habilitado"))</f>
        <v>No Habilitado</v>
      </c>
      <c r="R221" s="2" t="str">
        <f>IF(Tabla1[[#This Row],[fecha]]="","",TEXT(Tabla1[[#This Row],[fecha]],"DMMAAAA")&amp;TEXT(Tabla1[[#This Row],[hora]],"HHmm"))</f>
        <v/>
      </c>
      <c r="S221" s="19" t="str">
        <f>_xlfn.CONCAT(Tabla1[[#This Row],[codigo_]],Tabla1[[#This Row],[correlativo_]])</f>
        <v>940</v>
      </c>
      <c r="T221" s="2" t="str">
        <f t="shared" si="13"/>
        <v>0 de enero del 1900</v>
      </c>
      <c r="U221" s="2">
        <f>_xlfn.XLOOKUP(Tabla1[[#This Row],[instructor_2]],diccionario_!$A$1:$A$11,diccionario_!$D$1:$D$11,,0)</f>
        <v>0</v>
      </c>
      <c r="V221" s="2" t="str">
        <f t="shared" si="14"/>
        <v>información de calificación errónea</v>
      </c>
      <c r="W221" s="2" t="s">
        <v>3666</v>
      </c>
    </row>
    <row r="222" spans="1:23" ht="16.5" customHeight="1">
      <c r="A222" s="2">
        <v>941</v>
      </c>
      <c r="B222" s="24" t="s">
        <v>32</v>
      </c>
      <c r="C222" s="24" t="s">
        <v>3671</v>
      </c>
      <c r="D222" s="24" t="s">
        <v>9</v>
      </c>
      <c r="E222" s="11"/>
      <c r="F222" s="29"/>
      <c r="G222" s="24"/>
      <c r="H222" s="24"/>
      <c r="I222" s="24"/>
      <c r="J222" s="24"/>
      <c r="K222" s="24"/>
      <c r="L222" s="24"/>
      <c r="M222" s="24"/>
      <c r="N222" s="27"/>
      <c r="O222" s="6" t="s">
        <v>3507</v>
      </c>
      <c r="P222" s="2" t="s">
        <v>3503</v>
      </c>
      <c r="Q222" s="24" t="str">
        <f>IF(Tabla1[[#This Row],[evaluacion_]]="","",IF(Tabla1[[#This Row],[evaluacion_]]=1,"Habilitado","No Habilitado"))</f>
        <v>No Habilitado</v>
      </c>
      <c r="R222" s="2" t="str">
        <f>IF(Tabla1[[#This Row],[fecha]]="","",TEXT(Tabla1[[#This Row],[fecha]],"DMMAAAA")&amp;TEXT(Tabla1[[#This Row],[hora]],"HHmm"))</f>
        <v/>
      </c>
      <c r="S222" s="19" t="str">
        <f>_xlfn.CONCAT(Tabla1[[#This Row],[codigo_]],Tabla1[[#This Row],[correlativo_]])</f>
        <v>941</v>
      </c>
      <c r="T222" s="2" t="str">
        <f t="shared" si="13"/>
        <v>0 de enero del 1900</v>
      </c>
      <c r="U222" s="2" t="str">
        <f>_xlfn.XLOOKUP(Tabla1[[#This Row],[instructor_2]],diccionario_!$A$1:$A$11,diccionario_!$D$1:$D$11,,0)</f>
        <v>Guillermo Milla M.</v>
      </c>
      <c r="V222" s="2" t="str">
        <f t="shared" si="14"/>
        <v>información de calificación errónea</v>
      </c>
      <c r="W222" s="2" t="s">
        <v>3666</v>
      </c>
    </row>
    <row r="223" spans="1:23" ht="16.5" customHeight="1">
      <c r="A223" s="2">
        <v>942</v>
      </c>
      <c r="B223" s="24" t="s">
        <v>32</v>
      </c>
      <c r="C223" s="24" t="s">
        <v>33</v>
      </c>
      <c r="D223" s="24" t="s">
        <v>9</v>
      </c>
      <c r="E223" s="11"/>
      <c r="F223" s="29"/>
      <c r="G223" s="24"/>
      <c r="H223" s="24"/>
      <c r="I223" s="24"/>
      <c r="J223" s="24"/>
      <c r="K223" s="24"/>
      <c r="L223" s="24"/>
      <c r="M223" s="24"/>
      <c r="N223" s="27"/>
      <c r="O223" s="6" t="s">
        <v>3507</v>
      </c>
      <c r="P223" s="2" t="s">
        <v>3503</v>
      </c>
      <c r="Q223" s="24" t="str">
        <f>IF(Tabla1[[#This Row],[evaluacion_]]="","",IF(Tabla1[[#This Row],[evaluacion_]]=1,"Habilitado","No Habilitado"))</f>
        <v>No Habilitado</v>
      </c>
      <c r="R223" s="2" t="str">
        <f>IF(Tabla1[[#This Row],[fecha]]="","",TEXT(Tabla1[[#This Row],[fecha]],"DMMAAAA")&amp;TEXT(Tabla1[[#This Row],[hora]],"HHmm"))</f>
        <v/>
      </c>
      <c r="S223" s="19" t="str">
        <f>_xlfn.CONCAT(Tabla1[[#This Row],[codigo_]],Tabla1[[#This Row],[correlativo_]])</f>
        <v>942</v>
      </c>
      <c r="T223" s="2" t="str">
        <f t="shared" si="13"/>
        <v>0 de enero del 1900</v>
      </c>
      <c r="U223" s="2" t="str">
        <f>_xlfn.XLOOKUP(Tabla1[[#This Row],[instructor_2]],diccionario_!$A$1:$A$11,diccionario_!$D$1:$D$11,,0)</f>
        <v>Guillermo Milla M.</v>
      </c>
      <c r="V223" s="2" t="str">
        <f t="shared" si="14"/>
        <v>información de calificación errónea</v>
      </c>
      <c r="W223" s="2" t="s">
        <v>3666</v>
      </c>
    </row>
    <row r="224" spans="1:23" ht="16.5" customHeight="1">
      <c r="A224" s="2">
        <v>943</v>
      </c>
      <c r="B224" s="24" t="s">
        <v>32</v>
      </c>
      <c r="C224" s="24" t="s">
        <v>33</v>
      </c>
      <c r="D224" s="24" t="s">
        <v>9</v>
      </c>
      <c r="E224" s="11"/>
      <c r="F224" s="29"/>
      <c r="G224" s="24"/>
      <c r="H224" s="24"/>
      <c r="I224" s="24"/>
      <c r="J224" s="24"/>
      <c r="K224" s="24"/>
      <c r="L224" s="24"/>
      <c r="M224" s="24"/>
      <c r="N224" s="27"/>
      <c r="O224" s="6" t="s">
        <v>3507</v>
      </c>
      <c r="P224" s="2" t="s">
        <v>3503</v>
      </c>
      <c r="Q224" s="24" t="str">
        <f>IF(Tabla1[[#This Row],[evaluacion_]]="","",IF(Tabla1[[#This Row],[evaluacion_]]=1,"Habilitado","No Habilitado"))</f>
        <v>No Habilitado</v>
      </c>
      <c r="R224" s="2" t="str">
        <f>IF(Tabla1[[#This Row],[fecha]]="","",TEXT(Tabla1[[#This Row],[fecha]],"DMMAAAA")&amp;TEXT(Tabla1[[#This Row],[hora]],"HHmm"))</f>
        <v/>
      </c>
      <c r="S224" s="19" t="str">
        <f>_xlfn.CONCAT(Tabla1[[#This Row],[codigo_]],Tabla1[[#This Row],[correlativo_]])</f>
        <v>943</v>
      </c>
      <c r="T224" s="2" t="str">
        <f t="shared" si="13"/>
        <v>0 de enero del 1900</v>
      </c>
      <c r="U224" s="2" t="str">
        <f>_xlfn.XLOOKUP(Tabla1[[#This Row],[instructor_2]],diccionario_!$A$1:$A$11,diccionario_!$D$1:$D$11,,0)</f>
        <v>Guillermo Milla M.</v>
      </c>
      <c r="V224" s="2" t="str">
        <f t="shared" si="14"/>
        <v>información de calificación errónea</v>
      </c>
      <c r="W224" s="2" t="s">
        <v>3672</v>
      </c>
    </row>
    <row r="225" spans="1:23" ht="16.5" customHeight="1">
      <c r="A225" s="2">
        <v>944</v>
      </c>
      <c r="B225" s="24" t="s">
        <v>32</v>
      </c>
      <c r="C225" s="24" t="s">
        <v>33</v>
      </c>
      <c r="D225" s="24" t="s">
        <v>9</v>
      </c>
      <c r="E225" s="11"/>
      <c r="F225" s="29"/>
      <c r="G225" s="24"/>
      <c r="H225" s="24"/>
      <c r="I225" s="24"/>
      <c r="J225" s="24"/>
      <c r="K225" s="24"/>
      <c r="L225" s="24"/>
      <c r="M225" s="24"/>
      <c r="N225" s="27"/>
      <c r="O225" s="6" t="s">
        <v>3507</v>
      </c>
      <c r="P225" s="2" t="s">
        <v>3503</v>
      </c>
      <c r="Q225" s="24" t="str">
        <f>IF(Tabla1[[#This Row],[evaluacion_]]="","",IF(Tabla1[[#This Row],[evaluacion_]]=1,"Habilitado","No Habilitado"))</f>
        <v>No Habilitado</v>
      </c>
      <c r="R225" s="2" t="str">
        <f>IF(Tabla1[[#This Row],[fecha]]="","",TEXT(Tabla1[[#This Row],[fecha]],"DMMAAAA")&amp;TEXT(Tabla1[[#This Row],[hora]],"HHmm"))</f>
        <v/>
      </c>
      <c r="S225" s="19" t="str">
        <f>_xlfn.CONCAT(Tabla1[[#This Row],[codigo_]],Tabla1[[#This Row],[correlativo_]])</f>
        <v>944</v>
      </c>
      <c r="T225" s="2" t="str">
        <f t="shared" si="13"/>
        <v>0 de enero del 1900</v>
      </c>
      <c r="U225" s="2" t="str">
        <f>_xlfn.XLOOKUP(Tabla1[[#This Row],[instructor_2]],diccionario_!$A$1:$A$11,diccionario_!$D$1:$D$11,,0)</f>
        <v>Guillermo Milla M.</v>
      </c>
      <c r="V225" s="2" t="str">
        <f t="shared" si="14"/>
        <v>información de calificación errónea</v>
      </c>
      <c r="W225" s="2" t="s">
        <v>3672</v>
      </c>
    </row>
    <row r="226" spans="1:23" ht="16.5" customHeight="1">
      <c r="A226" s="2">
        <v>945</v>
      </c>
      <c r="B226" s="24" t="s">
        <v>32</v>
      </c>
      <c r="C226" s="24" t="s">
        <v>33</v>
      </c>
      <c r="D226" s="24" t="s">
        <v>9</v>
      </c>
      <c r="E226" s="11"/>
      <c r="F226" s="29"/>
      <c r="G226" s="24"/>
      <c r="H226" s="24"/>
      <c r="I226" s="24"/>
      <c r="J226" s="24"/>
      <c r="K226" s="24"/>
      <c r="L226" s="24"/>
      <c r="M226" s="24"/>
      <c r="N226" s="27"/>
      <c r="O226" s="6" t="s">
        <v>3507</v>
      </c>
      <c r="P226" s="2" t="s">
        <v>3503</v>
      </c>
      <c r="Q226" s="24" t="str">
        <f>IF(Tabla1[[#This Row],[evaluacion_]]="","",IF(Tabla1[[#This Row],[evaluacion_]]=1,"Habilitado","No Habilitado"))</f>
        <v>No Habilitado</v>
      </c>
      <c r="R226" s="2" t="str">
        <f>IF(Tabla1[[#This Row],[fecha]]="","",TEXT(Tabla1[[#This Row],[fecha]],"DMMAAAA")&amp;TEXT(Tabla1[[#This Row],[hora]],"HHmm"))</f>
        <v/>
      </c>
      <c r="S226" s="19" t="str">
        <f>_xlfn.CONCAT(Tabla1[[#This Row],[codigo_]],Tabla1[[#This Row],[correlativo_]])</f>
        <v>945</v>
      </c>
      <c r="T226" s="2" t="str">
        <f t="shared" si="13"/>
        <v>0 de enero del 1900</v>
      </c>
      <c r="U226" s="2" t="str">
        <f>_xlfn.XLOOKUP(Tabla1[[#This Row],[instructor_2]],diccionario_!$A$1:$A$11,diccionario_!$D$1:$D$11,,0)</f>
        <v>Guillermo Milla M.</v>
      </c>
      <c r="V226" s="2" t="str">
        <f t="shared" si="14"/>
        <v>información de calificación errónea</v>
      </c>
      <c r="W226" s="2" t="s">
        <v>3672</v>
      </c>
    </row>
    <row r="227" spans="1:23" ht="16.5" customHeight="1">
      <c r="A227" s="2">
        <v>946</v>
      </c>
      <c r="B227" s="24" t="s">
        <v>32</v>
      </c>
      <c r="C227" s="24" t="s">
        <v>33</v>
      </c>
      <c r="D227" s="24" t="s">
        <v>9</v>
      </c>
      <c r="E227" s="11"/>
      <c r="F227" s="29"/>
      <c r="G227" s="24"/>
      <c r="H227" s="24"/>
      <c r="I227" s="24"/>
      <c r="J227" s="24"/>
      <c r="K227" s="24"/>
      <c r="L227" s="24"/>
      <c r="M227" s="24"/>
      <c r="N227" s="27"/>
      <c r="O227" s="6" t="s">
        <v>3507</v>
      </c>
      <c r="P227" s="2" t="s">
        <v>3503</v>
      </c>
      <c r="Q227" s="24" t="str">
        <f>IF(Tabla1[[#This Row],[evaluacion_]]="","",IF(Tabla1[[#This Row],[evaluacion_]]=1,"Habilitado","No Habilitado"))</f>
        <v>No Habilitado</v>
      </c>
      <c r="R227" s="2" t="str">
        <f>IF(Tabla1[[#This Row],[fecha]]="","",TEXT(Tabla1[[#This Row],[fecha]],"DMMAAAA")&amp;TEXT(Tabla1[[#This Row],[hora]],"HHmm"))</f>
        <v/>
      </c>
      <c r="S227" s="19" t="str">
        <f>_xlfn.CONCAT(Tabla1[[#This Row],[codigo_]],Tabla1[[#This Row],[correlativo_]])</f>
        <v>946</v>
      </c>
      <c r="T227" s="2" t="str">
        <f t="shared" si="13"/>
        <v>0 de enero del 1900</v>
      </c>
      <c r="U227" s="2" t="str">
        <f>_xlfn.XLOOKUP(Tabla1[[#This Row],[instructor_2]],diccionario_!$A$1:$A$11,diccionario_!$D$1:$D$11,,0)</f>
        <v>Guillermo Milla M.</v>
      </c>
      <c r="V227" s="2" t="str">
        <f t="shared" si="14"/>
        <v>información de calificación errónea</v>
      </c>
      <c r="W227" s="2" t="s">
        <v>3672</v>
      </c>
    </row>
    <row r="228" spans="1:23" ht="16.5" customHeight="1">
      <c r="A228" s="2">
        <v>947</v>
      </c>
      <c r="B228" s="24" t="s">
        <v>32</v>
      </c>
      <c r="C228" s="24" t="s">
        <v>33</v>
      </c>
      <c r="D228" s="24" t="s">
        <v>9</v>
      </c>
      <c r="E228" s="11"/>
      <c r="F228" s="29"/>
      <c r="G228" s="24"/>
      <c r="H228" s="24"/>
      <c r="I228" s="24"/>
      <c r="J228" s="24"/>
      <c r="K228" s="24"/>
      <c r="L228" s="24"/>
      <c r="M228" s="24"/>
      <c r="N228" s="27"/>
      <c r="O228" s="6" t="s">
        <v>3507</v>
      </c>
      <c r="P228" s="2" t="s">
        <v>3503</v>
      </c>
      <c r="Q228" s="24" t="str">
        <f>IF(Tabla1[[#This Row],[evaluacion_]]="","",IF(Tabla1[[#This Row],[evaluacion_]]=1,"Habilitado","No Habilitado"))</f>
        <v>No Habilitado</v>
      </c>
      <c r="R228" s="2" t="str">
        <f>IF(Tabla1[[#This Row],[fecha]]="","",TEXT(Tabla1[[#This Row],[fecha]],"DMMAAAA")&amp;TEXT(Tabla1[[#This Row],[hora]],"HHmm"))</f>
        <v/>
      </c>
      <c r="S228" s="19" t="str">
        <f>_xlfn.CONCAT(Tabla1[[#This Row],[codigo_]],Tabla1[[#This Row],[correlativo_]])</f>
        <v>947</v>
      </c>
      <c r="T228" s="2" t="str">
        <f t="shared" si="13"/>
        <v>0 de enero del 1900</v>
      </c>
      <c r="U228" s="2" t="str">
        <f>_xlfn.XLOOKUP(Tabla1[[#This Row],[instructor_2]],diccionario_!$A$1:$A$11,diccionario_!$D$1:$D$11,,0)</f>
        <v>Guillermo Milla M.</v>
      </c>
      <c r="V228" s="2" t="str">
        <f t="shared" si="14"/>
        <v>información de calificación errónea</v>
      </c>
      <c r="W228" s="2" t="s">
        <v>3672</v>
      </c>
    </row>
    <row r="229" spans="1:23" ht="16.5" customHeight="1">
      <c r="A229" s="2">
        <v>948</v>
      </c>
      <c r="B229" s="24" t="s">
        <v>32</v>
      </c>
      <c r="C229" s="24" t="s">
        <v>33</v>
      </c>
      <c r="D229" s="24" t="s">
        <v>9</v>
      </c>
      <c r="E229" s="11"/>
      <c r="F229" s="29"/>
      <c r="G229" s="24"/>
      <c r="H229" s="24"/>
      <c r="I229" s="24"/>
      <c r="J229" s="24"/>
      <c r="K229" s="24"/>
      <c r="L229" s="24"/>
      <c r="M229" s="24"/>
      <c r="N229" s="27"/>
      <c r="O229" s="6" t="s">
        <v>3507</v>
      </c>
      <c r="P229" s="2" t="s">
        <v>3503</v>
      </c>
      <c r="Q229" s="24" t="str">
        <f>IF(Tabla1[[#This Row],[evaluacion_]]="","",IF(Tabla1[[#This Row],[evaluacion_]]=1,"Habilitado","No Habilitado"))</f>
        <v>No Habilitado</v>
      </c>
      <c r="R229" s="2" t="str">
        <f>IF(Tabla1[[#This Row],[fecha]]="","",TEXT(Tabla1[[#This Row],[fecha]],"DMMAAAA")&amp;TEXT(Tabla1[[#This Row],[hora]],"HHmm"))</f>
        <v/>
      </c>
      <c r="S229" s="19" t="str">
        <f>_xlfn.CONCAT(Tabla1[[#This Row],[codigo_]],Tabla1[[#This Row],[correlativo_]])</f>
        <v>948</v>
      </c>
      <c r="T229" s="2" t="str">
        <f t="shared" si="13"/>
        <v>0 de enero del 1900</v>
      </c>
      <c r="U229" s="2" t="str">
        <f>_xlfn.XLOOKUP(Tabla1[[#This Row],[instructor_2]],diccionario_!$A$1:$A$11,diccionario_!$D$1:$D$11,,0)</f>
        <v>Guillermo Milla M.</v>
      </c>
      <c r="V229" s="2" t="str">
        <f t="shared" si="14"/>
        <v>información de calificación errónea</v>
      </c>
      <c r="W229" s="2" t="s">
        <v>3672</v>
      </c>
    </row>
    <row r="230" spans="1:23" ht="16.5" customHeight="1">
      <c r="A230" s="2">
        <v>949</v>
      </c>
      <c r="B230" s="24" t="s">
        <v>32</v>
      </c>
      <c r="C230" s="24" t="s">
        <v>33</v>
      </c>
      <c r="D230" s="24" t="s">
        <v>9</v>
      </c>
      <c r="E230" s="11"/>
      <c r="F230" s="29"/>
      <c r="G230" s="24"/>
      <c r="H230" s="24"/>
      <c r="I230" s="24"/>
      <c r="J230" s="24"/>
      <c r="K230" s="24"/>
      <c r="L230" s="24"/>
      <c r="M230" s="24"/>
      <c r="N230" s="27"/>
      <c r="O230" s="6" t="s">
        <v>3507</v>
      </c>
      <c r="P230" s="2" t="s">
        <v>3503</v>
      </c>
      <c r="Q230" s="24" t="str">
        <f>IF(Tabla1[[#This Row],[evaluacion_]]="","",IF(Tabla1[[#This Row],[evaluacion_]]=1,"Habilitado","No Habilitado"))</f>
        <v>No Habilitado</v>
      </c>
      <c r="R230" s="2" t="str">
        <f>IF(Tabla1[[#This Row],[fecha]]="","",TEXT(Tabla1[[#This Row],[fecha]],"DMMAAAA")&amp;TEXT(Tabla1[[#This Row],[hora]],"HHmm"))</f>
        <v/>
      </c>
      <c r="S230" s="19" t="str">
        <f>_xlfn.CONCAT(Tabla1[[#This Row],[codigo_]],Tabla1[[#This Row],[correlativo_]])</f>
        <v>949</v>
      </c>
      <c r="T230" s="2" t="str">
        <f t="shared" si="13"/>
        <v>0 de enero del 1900</v>
      </c>
      <c r="U230" s="2" t="str">
        <f>_xlfn.XLOOKUP(Tabla1[[#This Row],[instructor_2]],diccionario_!$A$1:$A$11,diccionario_!$D$1:$D$11,,0)</f>
        <v>Guillermo Milla M.</v>
      </c>
      <c r="V230" s="2" t="str">
        <f t="shared" si="14"/>
        <v>información de calificación errónea</v>
      </c>
      <c r="W230" s="2" t="s">
        <v>3672</v>
      </c>
    </row>
    <row r="231" spans="1:23" ht="16.5" customHeight="1">
      <c r="A231" s="2">
        <v>950</v>
      </c>
      <c r="B231" s="24" t="s">
        <v>32</v>
      </c>
      <c r="C231" s="24" t="s">
        <v>33</v>
      </c>
      <c r="D231" s="24" t="s">
        <v>9</v>
      </c>
      <c r="E231" s="11"/>
      <c r="F231" s="29"/>
      <c r="G231" s="24"/>
      <c r="H231" s="24"/>
      <c r="I231" s="24"/>
      <c r="J231" s="24"/>
      <c r="K231" s="24"/>
      <c r="L231" s="24"/>
      <c r="M231" s="24"/>
      <c r="N231" s="27"/>
      <c r="O231" s="6" t="s">
        <v>3507</v>
      </c>
      <c r="P231" s="2" t="s">
        <v>3503</v>
      </c>
      <c r="Q231" s="24" t="str">
        <f>IF(Tabla1[[#This Row],[evaluacion_]]="","",IF(Tabla1[[#This Row],[evaluacion_]]=1,"Habilitado","No Habilitado"))</f>
        <v>No Habilitado</v>
      </c>
      <c r="R231" s="2" t="str">
        <f>IF(Tabla1[[#This Row],[fecha]]="","",TEXT(Tabla1[[#This Row],[fecha]],"DMMAAAA")&amp;TEXT(Tabla1[[#This Row],[hora]],"HHmm"))</f>
        <v/>
      </c>
      <c r="S231" s="19" t="str">
        <f>_xlfn.CONCAT(Tabla1[[#This Row],[codigo_]],Tabla1[[#This Row],[correlativo_]])</f>
        <v>950</v>
      </c>
      <c r="T231" s="2" t="str">
        <f t="shared" si="13"/>
        <v>0 de enero del 1900</v>
      </c>
      <c r="U231" s="2" t="str">
        <f>_xlfn.XLOOKUP(Tabla1[[#This Row],[instructor_2]],diccionario_!$A$1:$A$11,diccionario_!$D$1:$D$11,,0)</f>
        <v>Guillermo Milla M.</v>
      </c>
      <c r="V231" s="2" t="str">
        <f t="shared" si="14"/>
        <v>información de calificación errónea</v>
      </c>
      <c r="W231" s="2" t="s">
        <v>3672</v>
      </c>
    </row>
    <row r="232" spans="1:23" ht="16.5" customHeight="1">
      <c r="A232" s="2">
        <v>951</v>
      </c>
      <c r="B232" s="24" t="s">
        <v>32</v>
      </c>
      <c r="C232" s="24" t="s">
        <v>33</v>
      </c>
      <c r="D232" s="24" t="s">
        <v>9</v>
      </c>
      <c r="E232" s="11"/>
      <c r="F232" s="29"/>
      <c r="G232" s="24"/>
      <c r="H232" s="24"/>
      <c r="I232" s="24"/>
      <c r="J232" s="24"/>
      <c r="K232" s="24"/>
      <c r="L232" s="24"/>
      <c r="M232" s="24"/>
      <c r="N232" s="27"/>
      <c r="O232" s="6" t="s">
        <v>3507</v>
      </c>
      <c r="P232" s="2" t="s">
        <v>3503</v>
      </c>
      <c r="Q232" s="24" t="str">
        <f>IF(Tabla1[[#This Row],[evaluacion_]]="","",IF(Tabla1[[#This Row],[evaluacion_]]=1,"Habilitado","No Habilitado"))</f>
        <v>No Habilitado</v>
      </c>
      <c r="R232" s="2" t="str">
        <f>IF(Tabla1[[#This Row],[fecha]]="","",TEXT(Tabla1[[#This Row],[fecha]],"DMMAAAA")&amp;TEXT(Tabla1[[#This Row],[hora]],"HHmm"))</f>
        <v/>
      </c>
      <c r="S232" s="19" t="str">
        <f>_xlfn.CONCAT(Tabla1[[#This Row],[codigo_]],Tabla1[[#This Row],[correlativo_]])</f>
        <v>951</v>
      </c>
      <c r="T232" s="2" t="str">
        <f t="shared" si="13"/>
        <v>0 de enero del 1900</v>
      </c>
      <c r="U232" s="2" t="str">
        <f>_xlfn.XLOOKUP(Tabla1[[#This Row],[instructor_2]],diccionario_!$A$1:$A$11,diccionario_!$D$1:$D$11,,0)</f>
        <v>Guillermo Milla M.</v>
      </c>
      <c r="V232" s="2" t="str">
        <f t="shared" si="14"/>
        <v>información de calificación errónea</v>
      </c>
      <c r="W232" s="2" t="s">
        <v>3672</v>
      </c>
    </row>
    <row r="233" spans="1:23" ht="16.5" customHeight="1">
      <c r="A233" s="2">
        <v>952</v>
      </c>
      <c r="B233" s="24" t="s">
        <v>32</v>
      </c>
      <c r="C233" s="24" t="s">
        <v>33</v>
      </c>
      <c r="D233" s="24" t="s">
        <v>9</v>
      </c>
      <c r="E233" s="11"/>
      <c r="F233" s="29"/>
      <c r="G233" s="24"/>
      <c r="H233" s="24"/>
      <c r="I233" s="24"/>
      <c r="J233" s="24"/>
      <c r="K233" s="24"/>
      <c r="L233" s="24"/>
      <c r="M233" s="24"/>
      <c r="N233" s="27"/>
      <c r="O233" s="6" t="s">
        <v>3507</v>
      </c>
      <c r="P233" s="2" t="s">
        <v>3503</v>
      </c>
      <c r="Q233" s="24" t="str">
        <f>IF(Tabla1[[#This Row],[evaluacion_]]="","",IF(Tabla1[[#This Row],[evaluacion_]]=1,"Habilitado","No Habilitado"))</f>
        <v>No Habilitado</v>
      </c>
      <c r="R233" s="2" t="str">
        <f>IF(Tabla1[[#This Row],[fecha]]="","",TEXT(Tabla1[[#This Row],[fecha]],"DMMAAAA")&amp;TEXT(Tabla1[[#This Row],[hora]],"HHmm"))</f>
        <v/>
      </c>
      <c r="S233" s="19" t="str">
        <f>_xlfn.CONCAT(Tabla1[[#This Row],[codigo_]],Tabla1[[#This Row],[correlativo_]])</f>
        <v>952</v>
      </c>
      <c r="T233" s="2" t="str">
        <f t="shared" si="13"/>
        <v>0 de enero del 1900</v>
      </c>
      <c r="U233" s="2" t="str">
        <f>_xlfn.XLOOKUP(Tabla1[[#This Row],[instructor_2]],diccionario_!$A$1:$A$11,diccionario_!$D$1:$D$11,,0)</f>
        <v>Guillermo Milla M.</v>
      </c>
      <c r="V233" s="2" t="str">
        <f t="shared" si="14"/>
        <v>información de calificación errónea</v>
      </c>
      <c r="W233" s="2" t="s">
        <v>3672</v>
      </c>
    </row>
    <row r="234" spans="1:23" ht="16.5" customHeight="1">
      <c r="A234" s="2">
        <v>953</v>
      </c>
      <c r="B234" s="24" t="s">
        <v>32</v>
      </c>
      <c r="C234" s="24" t="s">
        <v>33</v>
      </c>
      <c r="D234" s="24" t="s">
        <v>9</v>
      </c>
      <c r="E234" s="11"/>
      <c r="F234" s="29"/>
      <c r="G234" s="24"/>
      <c r="H234" s="24"/>
      <c r="I234" s="24"/>
      <c r="J234" s="24"/>
      <c r="K234" s="24"/>
      <c r="L234" s="24"/>
      <c r="M234" s="24"/>
      <c r="N234" s="27"/>
      <c r="O234" s="6" t="s">
        <v>3507</v>
      </c>
      <c r="P234" s="2" t="s">
        <v>3503</v>
      </c>
      <c r="Q234" s="24" t="str">
        <f>IF(Tabla1[[#This Row],[evaluacion_]]="","",IF(Tabla1[[#This Row],[evaluacion_]]=1,"Habilitado","No Habilitado"))</f>
        <v>No Habilitado</v>
      </c>
      <c r="R234" s="2" t="str">
        <f>IF(Tabla1[[#This Row],[fecha]]="","",TEXT(Tabla1[[#This Row],[fecha]],"DMMAAAA")&amp;TEXT(Tabla1[[#This Row],[hora]],"HHmm"))</f>
        <v/>
      </c>
      <c r="S234" s="19" t="str">
        <f>_xlfn.CONCAT(Tabla1[[#This Row],[codigo_]],Tabla1[[#This Row],[correlativo_]])</f>
        <v>953</v>
      </c>
      <c r="T234" s="2" t="str">
        <f t="shared" si="13"/>
        <v>0 de enero del 1900</v>
      </c>
      <c r="U234" s="2" t="str">
        <f>_xlfn.XLOOKUP(Tabla1[[#This Row],[instructor_2]],diccionario_!$A$1:$A$11,diccionario_!$D$1:$D$11,,0)</f>
        <v>Guillermo Milla M.</v>
      </c>
      <c r="V234" s="2" t="str">
        <f t="shared" si="14"/>
        <v>información de calificación errónea</v>
      </c>
      <c r="W234" s="2" t="s">
        <v>3672</v>
      </c>
    </row>
    <row r="235" spans="1:23" ht="16.5" customHeight="1">
      <c r="A235" s="2">
        <v>954</v>
      </c>
      <c r="B235" s="24" t="s">
        <v>32</v>
      </c>
      <c r="C235" s="24" t="s">
        <v>33</v>
      </c>
      <c r="D235" s="24" t="s">
        <v>9</v>
      </c>
      <c r="E235" s="11"/>
      <c r="F235" s="29"/>
      <c r="G235" s="24"/>
      <c r="H235" s="24"/>
      <c r="I235" s="24"/>
      <c r="J235" s="24"/>
      <c r="K235" s="24"/>
      <c r="L235" s="24"/>
      <c r="M235" s="24"/>
      <c r="N235" s="27"/>
      <c r="O235" s="6" t="s">
        <v>3507</v>
      </c>
      <c r="P235" s="2" t="s">
        <v>3503</v>
      </c>
      <c r="Q235" s="24" t="str">
        <f>IF(Tabla1[[#This Row],[evaluacion_]]="","",IF(Tabla1[[#This Row],[evaluacion_]]=1,"Habilitado","No Habilitado"))</f>
        <v>No Habilitado</v>
      </c>
      <c r="R235" s="2" t="str">
        <f>IF(Tabla1[[#This Row],[fecha]]="","",TEXT(Tabla1[[#This Row],[fecha]],"DMMAAAA")&amp;TEXT(Tabla1[[#This Row],[hora]],"HHmm"))</f>
        <v/>
      </c>
      <c r="S235" s="19" t="str">
        <f>_xlfn.CONCAT(Tabla1[[#This Row],[codigo_]],Tabla1[[#This Row],[correlativo_]])</f>
        <v>954</v>
      </c>
      <c r="T235" s="2" t="str">
        <f t="shared" si="13"/>
        <v>0 de enero del 1900</v>
      </c>
      <c r="U235" s="2" t="str">
        <f>_xlfn.XLOOKUP(Tabla1[[#This Row],[instructor_2]],diccionario_!$A$1:$A$11,diccionario_!$D$1:$D$11,,0)</f>
        <v>Guillermo Milla M.</v>
      </c>
      <c r="V235" s="2" t="str">
        <f t="shared" si="14"/>
        <v>información de calificación errónea</v>
      </c>
      <c r="W235" s="2" t="s">
        <v>3672</v>
      </c>
    </row>
    <row r="236" spans="1:23" ht="16.5" customHeight="1">
      <c r="A236" s="2">
        <v>955</v>
      </c>
      <c r="B236" s="24" t="s">
        <v>32</v>
      </c>
      <c r="C236" s="24" t="s">
        <v>33</v>
      </c>
      <c r="D236" s="24" t="s">
        <v>9</v>
      </c>
      <c r="E236" s="11">
        <v>46111</v>
      </c>
      <c r="F236" s="29">
        <v>0.41666666666666702</v>
      </c>
      <c r="G236" s="24" t="s">
        <v>555</v>
      </c>
      <c r="H236" s="24" t="s">
        <v>556</v>
      </c>
      <c r="I236" s="24" t="s">
        <v>11</v>
      </c>
      <c r="J236" s="24" t="s">
        <v>12</v>
      </c>
      <c r="K236" s="24" t="s">
        <v>13</v>
      </c>
      <c r="L236" s="24" t="s">
        <v>25</v>
      </c>
      <c r="M236" s="24"/>
      <c r="N236" s="27"/>
      <c r="O236" s="6">
        <v>1</v>
      </c>
      <c r="P236" s="2" t="s">
        <v>3503</v>
      </c>
      <c r="Q236" s="24" t="str">
        <f>IF(Tabla1[[#This Row],[evaluacion_]]="","",IF(Tabla1[[#This Row],[evaluacion_]]=1,"Habilitado","No Habilitado"))</f>
        <v>Habilitado</v>
      </c>
      <c r="R236" s="2" t="str">
        <f>IF(Tabla1[[#This Row],[fecha]]="","",TEXT(Tabla1[[#This Row],[fecha]],"DMMAAAA")&amp;TEXT(Tabla1[[#This Row],[hora]],"HHmm"))</f>
        <v>300320261000</v>
      </c>
      <c r="S236" s="19" t="str">
        <f>_xlfn.CONCAT(Tabla1[[#This Row],[codigo_]],Tabla1[[#This Row],[correlativo_]])</f>
        <v>300320261000955</v>
      </c>
      <c r="T236" s="2" t="str">
        <f t="shared" si="13"/>
        <v>30 de marzo del 2026</v>
      </c>
      <c r="U236" s="2" t="str">
        <f>_xlfn.XLOOKUP(Tabla1[[#This Row],[instructor_2]],diccionario_!$A$1:$A$11,diccionario_!$D$1:$D$11,,0)</f>
        <v>Guillermo Milla M.</v>
      </c>
      <c r="V236" s="2" t="str">
        <f t="shared" si="14"/>
        <v>100%</v>
      </c>
      <c r="W236" s="2" t="s">
        <v>3673</v>
      </c>
    </row>
    <row r="237" spans="1:23" ht="16.5" customHeight="1">
      <c r="A237" s="2">
        <v>956</v>
      </c>
      <c r="B237" s="24" t="s">
        <v>32</v>
      </c>
      <c r="C237" s="24" t="s">
        <v>33</v>
      </c>
      <c r="D237" s="24" t="s">
        <v>9</v>
      </c>
      <c r="E237" s="11">
        <v>46111</v>
      </c>
      <c r="F237" s="29">
        <v>0.41666666666666702</v>
      </c>
      <c r="G237" s="24" t="s">
        <v>555</v>
      </c>
      <c r="H237" s="24" t="s">
        <v>556</v>
      </c>
      <c r="I237" s="24" t="s">
        <v>23</v>
      </c>
      <c r="J237" s="24" t="s">
        <v>12</v>
      </c>
      <c r="K237" s="24" t="s">
        <v>41</v>
      </c>
      <c r="L237" s="24"/>
      <c r="M237" s="24"/>
      <c r="N237" s="27"/>
      <c r="O237" s="6">
        <v>1</v>
      </c>
      <c r="P237" s="2" t="s">
        <v>3503</v>
      </c>
      <c r="Q237" s="24" t="str">
        <f>IF(Tabla1[[#This Row],[evaluacion_]]="","",IF(Tabla1[[#This Row],[evaluacion_]]=1,"Habilitado","No Habilitado"))</f>
        <v>Habilitado</v>
      </c>
      <c r="R237" s="2" t="str">
        <f>IF(Tabla1[[#This Row],[fecha]]="","",TEXT(Tabla1[[#This Row],[fecha]],"DMMAAAA")&amp;TEXT(Tabla1[[#This Row],[hora]],"HHmm"))</f>
        <v>300320261000</v>
      </c>
      <c r="S237" s="19" t="str">
        <f>_xlfn.CONCAT(Tabla1[[#This Row],[codigo_]],Tabla1[[#This Row],[correlativo_]])</f>
        <v>300320261000956</v>
      </c>
      <c r="T237" s="2" t="str">
        <f t="shared" ref="T237:T244" si="15">DAY(E237) &amp; " de " &amp; TEXT(E237, "mmmm") &amp; " del " &amp; YEAR(E237)</f>
        <v>30 de marzo del 2026</v>
      </c>
      <c r="U237" s="2" t="str">
        <f>_xlfn.XLOOKUP(Tabla1[[#This Row],[instructor_2]],diccionario_!$A$1:$A$11,diccionario_!$D$1:$D$11,,0)</f>
        <v>Guillermo Milla M.</v>
      </c>
      <c r="V237" s="2" t="str">
        <f t="shared" si="14"/>
        <v>100%</v>
      </c>
      <c r="W237" s="2" t="s">
        <v>3673</v>
      </c>
    </row>
    <row r="238" spans="1:23" ht="16.5" customHeight="1">
      <c r="A238" s="2">
        <v>957</v>
      </c>
      <c r="B238" s="24" t="s">
        <v>7</v>
      </c>
      <c r="C238" s="24" t="s">
        <v>8</v>
      </c>
      <c r="D238" s="24" t="s">
        <v>9</v>
      </c>
      <c r="E238" s="11">
        <v>46126</v>
      </c>
      <c r="F238" s="29">
        <v>0.5</v>
      </c>
      <c r="G238" s="24" t="s">
        <v>467</v>
      </c>
      <c r="H238" s="24" t="s">
        <v>8</v>
      </c>
      <c r="I238" s="24" t="s">
        <v>11</v>
      </c>
      <c r="J238" s="24" t="s">
        <v>12</v>
      </c>
      <c r="K238" s="24" t="s">
        <v>13</v>
      </c>
      <c r="L238" s="24" t="s">
        <v>25</v>
      </c>
      <c r="M238" s="24" t="s">
        <v>37</v>
      </c>
      <c r="N238" s="27" t="s">
        <v>3674</v>
      </c>
      <c r="O238" s="6">
        <v>1</v>
      </c>
      <c r="P238" s="2" t="s">
        <v>3503</v>
      </c>
      <c r="Q238" s="24" t="str">
        <f>IF(Tabla1[[#This Row],[evaluacion_]]="","",IF(Tabla1[[#This Row],[evaluacion_]]=1,"Habilitado","No Habilitado"))</f>
        <v>Habilitado</v>
      </c>
      <c r="R238" s="2" t="str">
        <f>IF(Tabla1[[#This Row],[fecha]]="","",TEXT(Tabla1[[#This Row],[fecha]],"DMMAAAA")&amp;TEXT(Tabla1[[#This Row],[hora]],"HHmm"))</f>
        <v>140420261200</v>
      </c>
      <c r="S238" s="19" t="str">
        <f>_xlfn.CONCAT(Tabla1[[#This Row],[codigo_]],Tabla1[[#This Row],[correlativo_]])</f>
        <v>140420261200957</v>
      </c>
      <c r="T238" s="2" t="str">
        <f t="shared" si="15"/>
        <v>14 de abril del 2026</v>
      </c>
      <c r="U238" s="2" t="str">
        <f>_xlfn.XLOOKUP(Tabla1[[#This Row],[instructor_2]],diccionario_!$A$1:$A$11,diccionario_!$D$1:$D$11,,0)</f>
        <v>Marcelo Barrera A.</v>
      </c>
      <c r="V238" s="2" t="str">
        <f t="shared" si="14"/>
        <v>100%</v>
      </c>
      <c r="W238" s="2" t="s">
        <v>3675</v>
      </c>
    </row>
    <row r="239" spans="1:23" ht="16.5" customHeight="1">
      <c r="A239" s="2">
        <v>958</v>
      </c>
      <c r="B239" s="24" t="s">
        <v>32</v>
      </c>
      <c r="C239" s="24" t="s">
        <v>33</v>
      </c>
      <c r="D239" s="24" t="s">
        <v>9</v>
      </c>
      <c r="E239" s="11">
        <v>46115</v>
      </c>
      <c r="F239" s="29">
        <v>0.375</v>
      </c>
      <c r="G239" s="24" t="s">
        <v>555</v>
      </c>
      <c r="H239" s="24" t="s">
        <v>556</v>
      </c>
      <c r="I239" s="24" t="s">
        <v>11</v>
      </c>
      <c r="J239" s="24" t="s">
        <v>12</v>
      </c>
      <c r="K239" s="24" t="s">
        <v>13</v>
      </c>
      <c r="L239" s="24" t="s">
        <v>25</v>
      </c>
      <c r="M239" s="24"/>
      <c r="N239" s="27" t="s">
        <v>3579</v>
      </c>
      <c r="O239" s="6">
        <v>1</v>
      </c>
      <c r="P239" s="2" t="s">
        <v>3503</v>
      </c>
      <c r="Q239" s="24" t="str">
        <f>IF(Tabla1[[#This Row],[evaluacion_]]="","",IF(Tabla1[[#This Row],[evaluacion_]]=1,"Habilitado","No Habilitado"))</f>
        <v>Habilitado</v>
      </c>
      <c r="R239" s="2" t="str">
        <f>IF(Tabla1[[#This Row],[fecha]]="","",TEXT(Tabla1[[#This Row],[fecha]],"DMMAAAA")&amp;TEXT(Tabla1[[#This Row],[hora]],"HHmm"))</f>
        <v>30420260900</v>
      </c>
      <c r="S239" s="19" t="str">
        <f>_xlfn.CONCAT(Tabla1[[#This Row],[codigo_]],Tabla1[[#This Row],[correlativo_]])</f>
        <v>30420260900958</v>
      </c>
      <c r="T239" s="2" t="str">
        <f t="shared" si="15"/>
        <v>3 de abril del 2026</v>
      </c>
      <c r="U239" s="2" t="str">
        <f>_xlfn.XLOOKUP(Tabla1[[#This Row],[instructor_2]],diccionario_!$A$1:$A$11,diccionario_!$D$1:$D$11,,0)</f>
        <v>Guillermo Milla M.</v>
      </c>
      <c r="V239" s="2" t="str">
        <f t="shared" si="14"/>
        <v>100%</v>
      </c>
      <c r="W239" s="2" t="s">
        <v>3676</v>
      </c>
    </row>
    <row r="240" spans="1:23" ht="16.5" customHeight="1">
      <c r="A240" s="2">
        <v>959</v>
      </c>
      <c r="B240" s="24" t="s">
        <v>32</v>
      </c>
      <c r="C240" s="24" t="s">
        <v>33</v>
      </c>
      <c r="D240" s="24" t="s">
        <v>9</v>
      </c>
      <c r="E240" s="11">
        <v>46115</v>
      </c>
      <c r="F240" s="29">
        <v>0.375</v>
      </c>
      <c r="G240" s="24" t="s">
        <v>555</v>
      </c>
      <c r="H240" s="24" t="s">
        <v>556</v>
      </c>
      <c r="I240" s="24" t="s">
        <v>23</v>
      </c>
      <c r="J240" s="24" t="s">
        <v>12</v>
      </c>
      <c r="K240" s="24" t="s">
        <v>41</v>
      </c>
      <c r="L240" s="24"/>
      <c r="M240" s="24"/>
      <c r="N240" s="27" t="s">
        <v>41</v>
      </c>
      <c r="O240" s="6">
        <v>1</v>
      </c>
      <c r="P240" s="2" t="s">
        <v>3503</v>
      </c>
      <c r="Q240" s="24" t="str">
        <f>IF(Tabla1[[#This Row],[evaluacion_]]="","",IF(Tabla1[[#This Row],[evaluacion_]]=1,"Habilitado","No Habilitado"))</f>
        <v>Habilitado</v>
      </c>
      <c r="R240" s="2" t="str">
        <f>IF(Tabla1[[#This Row],[fecha]]="","",TEXT(Tabla1[[#This Row],[fecha]],"DMMAAAA")&amp;TEXT(Tabla1[[#This Row],[hora]],"HHmm"))</f>
        <v>30420260900</v>
      </c>
      <c r="S240" s="19" t="str">
        <f>_xlfn.CONCAT(Tabla1[[#This Row],[codigo_]],Tabla1[[#This Row],[correlativo_]])</f>
        <v>30420260900959</v>
      </c>
      <c r="T240" s="2" t="str">
        <f t="shared" si="15"/>
        <v>3 de abril del 2026</v>
      </c>
      <c r="U240" s="2" t="str">
        <f>_xlfn.XLOOKUP(Tabla1[[#This Row],[instructor_2]],diccionario_!$A$1:$A$11,diccionario_!$D$1:$D$11,,0)</f>
        <v>Guillermo Milla M.</v>
      </c>
      <c r="V240" s="2" t="str">
        <f t="shared" si="14"/>
        <v>100%</v>
      </c>
      <c r="W240" s="2" t="s">
        <v>3677</v>
      </c>
    </row>
    <row r="241" spans="1:23" ht="16.5" customHeight="1">
      <c r="A241" s="2">
        <v>960</v>
      </c>
      <c r="B241" s="24" t="s">
        <v>32</v>
      </c>
      <c r="C241" s="24" t="s">
        <v>33</v>
      </c>
      <c r="D241" s="24" t="s">
        <v>9</v>
      </c>
      <c r="E241" s="11">
        <v>46122</v>
      </c>
      <c r="F241" s="29">
        <v>0.375</v>
      </c>
      <c r="G241" s="24" t="s">
        <v>2215</v>
      </c>
      <c r="H241" s="24" t="s">
        <v>2216</v>
      </c>
      <c r="I241" s="24" t="s">
        <v>42</v>
      </c>
      <c r="J241" s="24" t="s">
        <v>12</v>
      </c>
      <c r="K241" s="24" t="s">
        <v>52</v>
      </c>
      <c r="L241" s="24"/>
      <c r="M241" s="24"/>
      <c r="N241" s="27" t="s">
        <v>52</v>
      </c>
      <c r="O241" s="6">
        <v>1</v>
      </c>
      <c r="P241" s="2" t="s">
        <v>3503</v>
      </c>
      <c r="Q241" s="24" t="str">
        <f>IF(Tabla1[[#This Row],[evaluacion_]]="","",IF(Tabla1[[#This Row],[evaluacion_]]=1,"Habilitado","No Habilitado"))</f>
        <v>Habilitado</v>
      </c>
      <c r="R241" s="2" t="str">
        <f>IF(Tabla1[[#This Row],[fecha]]="","",TEXT(Tabla1[[#This Row],[fecha]],"DMMAAAA")&amp;TEXT(Tabla1[[#This Row],[hora]],"HHmm"))</f>
        <v>100420260900</v>
      </c>
      <c r="S241" s="19" t="str">
        <f>_xlfn.CONCAT(Tabla1[[#This Row],[codigo_]],Tabla1[[#This Row],[correlativo_]])</f>
        <v>100420260900960</v>
      </c>
      <c r="T241" s="2" t="str">
        <f t="shared" si="15"/>
        <v>10 de abril del 2026</v>
      </c>
      <c r="U241" s="2" t="str">
        <f>_xlfn.XLOOKUP(Tabla1[[#This Row],[instructor_2]],diccionario_!$A$1:$A$11,diccionario_!$D$1:$D$11,,0)</f>
        <v>Guillermo Milla M.</v>
      </c>
      <c r="V241" s="2" t="str">
        <f t="shared" si="14"/>
        <v>100%</v>
      </c>
      <c r="W241" s="2" t="s">
        <v>3677</v>
      </c>
    </row>
    <row r="242" spans="1:23" ht="16.5" customHeight="1">
      <c r="A242" s="2">
        <v>961</v>
      </c>
      <c r="B242" s="24" t="s">
        <v>14</v>
      </c>
      <c r="C242" s="24" t="s">
        <v>15</v>
      </c>
      <c r="D242" s="24" t="s">
        <v>9</v>
      </c>
      <c r="E242" s="11">
        <v>46126</v>
      </c>
      <c r="F242" s="29">
        <v>0.70833333333333304</v>
      </c>
      <c r="G242" s="24" t="s">
        <v>2209</v>
      </c>
      <c r="H242" s="24" t="s">
        <v>2210</v>
      </c>
      <c r="I242" s="24" t="s">
        <v>11</v>
      </c>
      <c r="J242" s="24" t="s">
        <v>24</v>
      </c>
      <c r="K242" s="24" t="s">
        <v>19</v>
      </c>
      <c r="L242" s="24" t="s">
        <v>13</v>
      </c>
      <c r="M242" s="24"/>
      <c r="N242" s="27" t="s">
        <v>3548</v>
      </c>
      <c r="O242" s="6">
        <v>1</v>
      </c>
      <c r="P242" s="2" t="s">
        <v>3503</v>
      </c>
      <c r="Q242" s="24" t="str">
        <f>IF(Tabla1[[#This Row],[evaluacion_]]="","",IF(Tabla1[[#This Row],[evaluacion_]]=1,"Habilitado","No Habilitado"))</f>
        <v>Habilitado</v>
      </c>
      <c r="R242" s="2" t="str">
        <f>IF(Tabla1[[#This Row],[fecha]]="","",TEXT(Tabla1[[#This Row],[fecha]],"DMMAAAA")&amp;TEXT(Tabla1[[#This Row],[hora]],"HHmm"))</f>
        <v>140420261700</v>
      </c>
      <c r="S242" s="19" t="str">
        <f>_xlfn.CONCAT(Tabla1[[#This Row],[codigo_]],Tabla1[[#This Row],[correlativo_]])</f>
        <v>140420261700961</v>
      </c>
      <c r="T242" s="2" t="str">
        <f t="shared" si="15"/>
        <v>14 de abril del 2026</v>
      </c>
      <c r="U242" s="2" t="str">
        <f>_xlfn.XLOOKUP(Tabla1[[#This Row],[instructor_2]],diccionario_!$A$1:$A$11,diccionario_!$D$1:$D$11,,0)</f>
        <v>Daniel Carvajal B.</v>
      </c>
      <c r="V242" s="2" t="str">
        <f t="shared" si="14"/>
        <v>100%</v>
      </c>
      <c r="W242" s="2" t="s">
        <v>3678</v>
      </c>
    </row>
    <row r="243" spans="1:23" ht="16.5" customHeight="1">
      <c r="A243" s="2">
        <v>962</v>
      </c>
      <c r="B243" s="24" t="s">
        <v>14</v>
      </c>
      <c r="C243" s="24" t="s">
        <v>15</v>
      </c>
      <c r="D243" s="24" t="s">
        <v>9</v>
      </c>
      <c r="E243" s="11">
        <v>46126</v>
      </c>
      <c r="F243" s="29">
        <v>0.70902777777777803</v>
      </c>
      <c r="G243" s="24" t="s">
        <v>2209</v>
      </c>
      <c r="H243" s="24" t="s">
        <v>2210</v>
      </c>
      <c r="I243" s="24" t="s">
        <v>29</v>
      </c>
      <c r="J243" s="24" t="s">
        <v>24</v>
      </c>
      <c r="K243" s="24" t="s">
        <v>46</v>
      </c>
      <c r="L243" s="24" t="s">
        <v>47</v>
      </c>
      <c r="M243" s="24"/>
      <c r="N243" s="27" t="s">
        <v>3521</v>
      </c>
      <c r="O243" s="6">
        <v>1</v>
      </c>
      <c r="P243" s="2" t="s">
        <v>3503</v>
      </c>
      <c r="Q243" s="24" t="str">
        <f>IF(Tabla1[[#This Row],[evaluacion_]]="","",IF(Tabla1[[#This Row],[evaluacion_]]=1,"Habilitado","No Habilitado"))</f>
        <v>Habilitado</v>
      </c>
      <c r="R243" s="2" t="str">
        <f>IF(Tabla1[[#This Row],[fecha]]="","",TEXT(Tabla1[[#This Row],[fecha]],"DMMAAAA")&amp;TEXT(Tabla1[[#This Row],[hora]],"HHmm"))</f>
        <v>140420261701</v>
      </c>
      <c r="S243" s="19" t="str">
        <f>_xlfn.CONCAT(Tabla1[[#This Row],[codigo_]],Tabla1[[#This Row],[correlativo_]])</f>
        <v>140420261701962</v>
      </c>
      <c r="T243" s="2" t="str">
        <f t="shared" si="15"/>
        <v>14 de abril del 2026</v>
      </c>
      <c r="U243" s="2" t="str">
        <f>_xlfn.XLOOKUP(Tabla1[[#This Row],[instructor_2]],diccionario_!$A$1:$A$11,diccionario_!$D$1:$D$11,,0)</f>
        <v>Daniel Carvajal B.</v>
      </c>
      <c r="V243" s="2" t="str">
        <f t="shared" si="14"/>
        <v>100%</v>
      </c>
      <c r="W243" s="2" t="s">
        <v>3678</v>
      </c>
    </row>
    <row r="244" spans="1:23" ht="16.5" customHeight="1">
      <c r="A244" s="2">
        <v>963</v>
      </c>
      <c r="B244" s="24" t="s">
        <v>14</v>
      </c>
      <c r="C244" s="24" t="s">
        <v>15</v>
      </c>
      <c r="D244" s="24" t="s">
        <v>9</v>
      </c>
      <c r="E244" s="11">
        <v>46126</v>
      </c>
      <c r="F244" s="29">
        <v>0.70972222222222203</v>
      </c>
      <c r="G244" s="24" t="s">
        <v>2209</v>
      </c>
      <c r="H244" s="24" t="s">
        <v>2210</v>
      </c>
      <c r="I244" s="24" t="s">
        <v>23</v>
      </c>
      <c r="J244" s="24" t="s">
        <v>24</v>
      </c>
      <c r="K244" s="24" t="s">
        <v>44</v>
      </c>
      <c r="L244" s="24" t="s">
        <v>45</v>
      </c>
      <c r="M244" s="24"/>
      <c r="N244" s="27" t="s">
        <v>3550</v>
      </c>
      <c r="O244" s="6">
        <v>1</v>
      </c>
      <c r="P244" s="2" t="s">
        <v>3503</v>
      </c>
      <c r="Q244" s="24" t="str">
        <f>IF(Tabla1[[#This Row],[evaluacion_]]="","",IF(Tabla1[[#This Row],[evaluacion_]]=1,"Habilitado","No Habilitado"))</f>
        <v>Habilitado</v>
      </c>
      <c r="R244" s="2" t="str">
        <f>IF(Tabla1[[#This Row],[fecha]]="","",TEXT(Tabla1[[#This Row],[fecha]],"DMMAAAA")&amp;TEXT(Tabla1[[#This Row],[hora]],"HHmm"))</f>
        <v>140420261702</v>
      </c>
      <c r="S244" s="19" t="str">
        <f>_xlfn.CONCAT(Tabla1[[#This Row],[codigo_]],Tabla1[[#This Row],[correlativo_]])</f>
        <v>140420261702963</v>
      </c>
      <c r="T244" s="2" t="str">
        <f t="shared" si="15"/>
        <v>14 de abril del 2026</v>
      </c>
      <c r="U244" s="2" t="str">
        <f>_xlfn.XLOOKUP(Tabla1[[#This Row],[instructor_2]],diccionario_!$A$1:$A$11,diccionario_!$D$1:$D$11,,0)</f>
        <v>Daniel Carvajal B.</v>
      </c>
      <c r="V244" s="2" t="str">
        <f t="shared" si="14"/>
        <v>100%</v>
      </c>
      <c r="W244" s="2" t="s">
        <v>3678</v>
      </c>
    </row>
  </sheetData>
  <pageMargins left="0.7" right="0.7" top="0.75" bottom="0.75" header="0.3" footer="0.3"/>
  <ignoredErrors>
    <ignoredError sqref="T2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C7F0-5C82-4D13-B659-52E603AD9417}">
  <dimension ref="A1:W598"/>
  <sheetViews>
    <sheetView topLeftCell="A477" workbookViewId="0">
      <selection activeCell="A512" sqref="A512:XFD598"/>
    </sheetView>
  </sheetViews>
  <sheetFormatPr baseColWidth="10" defaultColWidth="9" defaultRowHeight="14"/>
  <cols>
    <col min="1" max="1" width="12" bestFit="1" customWidth="1"/>
    <col min="2" max="2" width="32.796875" bestFit="1" customWidth="1"/>
    <col min="3" max="3" width="13.796875" bestFit="1" customWidth="1"/>
    <col min="4" max="4" width="22.59765625" bestFit="1" customWidth="1"/>
    <col min="5" max="5" width="12" bestFit="1" customWidth="1"/>
    <col min="6" max="6" width="6.19921875" bestFit="1" customWidth="1"/>
    <col min="7" max="7" width="42.59765625" bestFit="1" customWidth="1"/>
    <col min="8" max="8" width="14.59765625" bestFit="1" customWidth="1"/>
    <col min="9" max="9" width="17.59765625" bestFit="1" customWidth="1"/>
    <col min="10" max="10" width="13" bestFit="1" customWidth="1"/>
    <col min="11" max="11" width="43.59765625" bestFit="1" customWidth="1"/>
    <col min="12" max="12" width="36.59765625" bestFit="1" customWidth="1"/>
    <col min="13" max="13" width="15.3984375" bestFit="1" customWidth="1"/>
    <col min="14" max="14" width="78.796875" bestFit="1" customWidth="1"/>
    <col min="15" max="15" width="12" bestFit="1" customWidth="1"/>
    <col min="16" max="16" width="18.59765625" bestFit="1" customWidth="1"/>
    <col min="17" max="17" width="23.796875" bestFit="1" customWidth="1"/>
    <col min="18" max="18" width="15.19921875" bestFit="1" customWidth="1"/>
    <col min="19" max="19" width="18.796875" bestFit="1" customWidth="1"/>
    <col min="20" max="20" width="20" bestFit="1" customWidth="1"/>
    <col min="21" max="21" width="18.796875" bestFit="1" customWidth="1"/>
    <col min="22" max="22" width="12.3984375" bestFit="1" customWidth="1"/>
    <col min="23" max="23" width="30.796875" bestFit="1" customWidth="1"/>
  </cols>
  <sheetData>
    <row r="1" spans="1:23">
      <c r="A1" s="3" t="s">
        <v>3494</v>
      </c>
      <c r="B1" s="3" t="s">
        <v>3495</v>
      </c>
      <c r="C1" s="1" t="s">
        <v>1</v>
      </c>
      <c r="D1" s="1" t="s">
        <v>2</v>
      </c>
      <c r="E1" s="10" t="s">
        <v>3483</v>
      </c>
      <c r="F1" s="12" t="s">
        <v>3484</v>
      </c>
      <c r="G1" s="3" t="s">
        <v>3485</v>
      </c>
      <c r="H1" s="1" t="s">
        <v>3486</v>
      </c>
      <c r="I1" s="3" t="s">
        <v>3487</v>
      </c>
      <c r="J1" s="3" t="s">
        <v>3488</v>
      </c>
      <c r="K1" s="3" t="s">
        <v>3489</v>
      </c>
      <c r="L1" s="3" t="s">
        <v>3490</v>
      </c>
      <c r="M1" s="3" t="s">
        <v>3491</v>
      </c>
      <c r="N1" s="1" t="s">
        <v>3492</v>
      </c>
      <c r="O1" s="3" t="s">
        <v>3493</v>
      </c>
      <c r="P1" s="16" t="s">
        <v>3496</v>
      </c>
      <c r="Q1" s="15" t="s">
        <v>3497</v>
      </c>
      <c r="R1" s="15" t="s">
        <v>3498</v>
      </c>
      <c r="S1" s="18" t="s">
        <v>3499</v>
      </c>
      <c r="T1" s="3" t="s">
        <v>3500</v>
      </c>
      <c r="U1" s="3" t="s">
        <v>3</v>
      </c>
      <c r="V1" s="3" t="s">
        <v>3501</v>
      </c>
      <c r="W1" s="3" t="s">
        <v>3502</v>
      </c>
    </row>
    <row r="2" spans="1:23" ht="16.5" customHeight="1">
      <c r="A2" s="2">
        <v>16</v>
      </c>
      <c r="B2" s="2" t="s">
        <v>14</v>
      </c>
      <c r="C2" s="2" t="s">
        <v>15</v>
      </c>
      <c r="D2" s="2" t="s">
        <v>9</v>
      </c>
      <c r="E2" s="11">
        <v>45844</v>
      </c>
      <c r="F2" s="14">
        <v>0.39583333333333298</v>
      </c>
      <c r="G2" s="2" t="s">
        <v>1437</v>
      </c>
      <c r="H2" s="2" t="s">
        <v>1438</v>
      </c>
      <c r="I2" s="2" t="s">
        <v>17</v>
      </c>
      <c r="J2" s="2" t="s">
        <v>3679</v>
      </c>
      <c r="K2" s="2" t="s">
        <v>49</v>
      </c>
      <c r="L2" s="2"/>
      <c r="M2" s="2"/>
      <c r="N2" s="7" t="s">
        <v>49</v>
      </c>
      <c r="O2" s="6">
        <v>1</v>
      </c>
      <c r="P2" s="2" t="s">
        <v>3680</v>
      </c>
      <c r="Q2" s="2" t="str">
        <f>IF(Tabla1[[#This Row],[evaluacion_]]="","",IF(Tabla1[[#This Row],[evaluacion_]]=1,"Habilitado","No Habilitado"))</f>
        <v>Habilitado</v>
      </c>
      <c r="R2" s="2" t="str">
        <f>IF(Tabla1[[#This Row],[fecha]]="","",TEXT(Tabla1[[#This Row],[fecha]],"DMMAAAA")&amp;TEXT(Tabla1[[#This Row],[hora]],"HHmm"))</f>
        <v>200120261220</v>
      </c>
      <c r="S2" s="19" t="str">
        <f>_xlfn.CONCAT(Tabla1[[#This Row],[codigo_]],Tabla1[[#This Row],[correlativo_]])</f>
        <v>200120261220721</v>
      </c>
      <c r="T2" s="2" t="str">
        <f t="shared" ref="T2:T65" si="0">DAY(E2) &amp; " de " &amp; TEXT(E2, "mmmm") &amp; " del " &amp; YEAR(E2)</f>
        <v>6 de julio del 2025</v>
      </c>
      <c r="U2" s="2" t="str">
        <f>_xlfn.XLOOKUP(Tabla1[[#This Row],[instructor_2]],diccionario_!$A$1:$A$11,diccionario_!$D$1:$D$11,,0)</f>
        <v>Marcelo Barrera A.</v>
      </c>
      <c r="V2" s="2" t="str">
        <f t="shared" ref="V2:V65" si="1">TEXT(O2,"0%")</f>
        <v>100%</v>
      </c>
      <c r="W2" s="2" t="s">
        <v>3681</v>
      </c>
    </row>
    <row r="3" spans="1:23" ht="16.5" customHeight="1">
      <c r="A3" s="2">
        <v>17</v>
      </c>
      <c r="B3" s="2" t="s">
        <v>14</v>
      </c>
      <c r="C3" s="2" t="s">
        <v>15</v>
      </c>
      <c r="D3" s="2" t="s">
        <v>9</v>
      </c>
      <c r="E3" s="11">
        <v>45844</v>
      </c>
      <c r="F3" s="14">
        <v>0.39583333333333298</v>
      </c>
      <c r="G3" s="2" t="s">
        <v>1473</v>
      </c>
      <c r="H3" s="2" t="s">
        <v>1474</v>
      </c>
      <c r="I3" s="2" t="s">
        <v>17</v>
      </c>
      <c r="J3" s="2" t="s">
        <v>3679</v>
      </c>
      <c r="K3" s="2" t="s">
        <v>49</v>
      </c>
      <c r="L3" s="2"/>
      <c r="M3" s="2"/>
      <c r="N3" s="7" t="s">
        <v>49</v>
      </c>
      <c r="O3" s="6">
        <v>1</v>
      </c>
      <c r="P3" s="2" t="s">
        <v>3680</v>
      </c>
      <c r="Q3" s="2" t="str">
        <f>IF(Tabla1[[#This Row],[evaluacion_]]="","",IF(Tabla1[[#This Row],[evaluacion_]]=1,"Habilitado","No Habilitado"))</f>
        <v>Habilitado</v>
      </c>
      <c r="R3" s="2" t="str">
        <f>IF(Tabla1[[#This Row],[fecha]]="","",TEXT(Tabla1[[#This Row],[fecha]],"DMMAAAA")&amp;TEXT(Tabla1[[#This Row],[hora]],"HHmm"))</f>
        <v>210120261750</v>
      </c>
      <c r="S3" s="19" t="str">
        <f>_xlfn.CONCAT(Tabla1[[#This Row],[codigo_]],Tabla1[[#This Row],[correlativo_]])</f>
        <v>210120261750722</v>
      </c>
      <c r="T3" s="2" t="str">
        <f t="shared" si="0"/>
        <v>6 de julio del 2025</v>
      </c>
      <c r="U3" s="2" t="str">
        <f>_xlfn.XLOOKUP(Tabla1[[#This Row],[instructor_2]],diccionario_!$A$1:$A$11,diccionario_!$D$1:$D$11,,0)</f>
        <v>Marcelo Barrera A.</v>
      </c>
      <c r="V3" s="2" t="str">
        <f t="shared" si="1"/>
        <v>100%</v>
      </c>
      <c r="W3" s="2" t="s">
        <v>3681</v>
      </c>
    </row>
    <row r="4" spans="1:23" ht="16.5" customHeight="1">
      <c r="A4" s="2">
        <v>18</v>
      </c>
      <c r="B4" s="2" t="s">
        <v>14</v>
      </c>
      <c r="C4" s="2" t="s">
        <v>15</v>
      </c>
      <c r="D4" s="2" t="s">
        <v>9</v>
      </c>
      <c r="E4" s="11">
        <v>45844</v>
      </c>
      <c r="F4" s="14">
        <v>0.39583333333333298</v>
      </c>
      <c r="G4" s="2" t="s">
        <v>1803</v>
      </c>
      <c r="H4" s="2" t="s">
        <v>1804</v>
      </c>
      <c r="I4" s="2" t="s">
        <v>17</v>
      </c>
      <c r="J4" s="2" t="s">
        <v>3679</v>
      </c>
      <c r="K4" s="2" t="s">
        <v>49</v>
      </c>
      <c r="L4" s="2"/>
      <c r="M4" s="2"/>
      <c r="N4" s="7" t="s">
        <v>49</v>
      </c>
      <c r="O4" s="6">
        <v>1</v>
      </c>
      <c r="P4" s="2" t="s">
        <v>3680</v>
      </c>
      <c r="Q4" s="2" t="str">
        <f>IF(Tabla1[[#This Row],[evaluacion_]]="","",IF(Tabla1[[#This Row],[evaluacion_]]=1,"Habilitado","No Habilitado"))</f>
        <v>Habilitado</v>
      </c>
      <c r="R4" s="2" t="str">
        <f>IF(Tabla1[[#This Row],[fecha]]="","",TEXT(Tabla1[[#This Row],[fecha]],"DMMAAAA")&amp;TEXT(Tabla1[[#This Row],[hora]],"HHmm"))</f>
        <v>220120261615</v>
      </c>
      <c r="S4" s="19" t="str">
        <f>_xlfn.CONCAT(Tabla1[[#This Row],[codigo_]],Tabla1[[#This Row],[correlativo_]])</f>
        <v>220120261615723</v>
      </c>
      <c r="T4" s="2" t="str">
        <f t="shared" si="0"/>
        <v>6 de julio del 2025</v>
      </c>
      <c r="U4" s="2" t="str">
        <f>_xlfn.XLOOKUP(Tabla1[[#This Row],[instructor_2]],diccionario_!$A$1:$A$11,diccionario_!$D$1:$D$11,,0)</f>
        <v>Marcelo Barrera A.</v>
      </c>
      <c r="V4" s="2" t="str">
        <f t="shared" si="1"/>
        <v>100%</v>
      </c>
      <c r="W4" s="2" t="s">
        <v>3681</v>
      </c>
    </row>
    <row r="5" spans="1:23" ht="16.5" customHeight="1">
      <c r="A5" s="2">
        <v>19</v>
      </c>
      <c r="B5" s="2" t="s">
        <v>14</v>
      </c>
      <c r="C5" s="2" t="s">
        <v>15</v>
      </c>
      <c r="D5" s="2" t="s">
        <v>9</v>
      </c>
      <c r="E5" s="11">
        <v>45844</v>
      </c>
      <c r="F5" s="14">
        <v>0.39583333333333298</v>
      </c>
      <c r="G5" s="2" t="s">
        <v>1863</v>
      </c>
      <c r="H5" s="2" t="s">
        <v>1864</v>
      </c>
      <c r="I5" s="2" t="s">
        <v>17</v>
      </c>
      <c r="J5" s="2" t="s">
        <v>3679</v>
      </c>
      <c r="K5" s="2" t="s">
        <v>49</v>
      </c>
      <c r="L5" s="2"/>
      <c r="M5" s="2"/>
      <c r="N5" s="7" t="s">
        <v>49</v>
      </c>
      <c r="O5" s="6">
        <v>1</v>
      </c>
      <c r="P5" s="2" t="s">
        <v>3680</v>
      </c>
      <c r="Q5" s="2" t="str">
        <f>IF(Tabla1[[#This Row],[evaluacion_]]="","",IF(Tabla1[[#This Row],[evaluacion_]]=1,"Habilitado","No Habilitado"))</f>
        <v>Habilitado</v>
      </c>
      <c r="R5" s="2" t="str">
        <f>IF(Tabla1[[#This Row],[fecha]]="","",TEXT(Tabla1[[#This Row],[fecha]],"DMMAAAA")&amp;TEXT(Tabla1[[#This Row],[hora]],"HHmm"))</f>
        <v>220120261610</v>
      </c>
      <c r="S5" s="19" t="str">
        <f>_xlfn.CONCAT(Tabla1[[#This Row],[codigo_]],Tabla1[[#This Row],[correlativo_]])</f>
        <v>220120261610724</v>
      </c>
      <c r="T5" s="2" t="str">
        <f t="shared" si="0"/>
        <v>6 de julio del 2025</v>
      </c>
      <c r="U5" s="2" t="str">
        <f>_xlfn.XLOOKUP(Tabla1[[#This Row],[instructor_2]],diccionario_!$A$1:$A$11,diccionario_!$D$1:$D$11,,0)</f>
        <v>Marcelo Barrera A.</v>
      </c>
      <c r="V5" s="2" t="str">
        <f t="shared" si="1"/>
        <v>100%</v>
      </c>
      <c r="W5" s="2" t="s">
        <v>3681</v>
      </c>
    </row>
    <row r="6" spans="1:23" ht="16.5" customHeight="1">
      <c r="A6" s="2">
        <v>20</v>
      </c>
      <c r="B6" s="2" t="s">
        <v>14</v>
      </c>
      <c r="C6" s="2" t="s">
        <v>15</v>
      </c>
      <c r="D6" s="2" t="s">
        <v>9</v>
      </c>
      <c r="E6" s="11">
        <v>45844</v>
      </c>
      <c r="F6" s="14">
        <v>0.39583333333333298</v>
      </c>
      <c r="G6" s="2" t="s">
        <v>2033</v>
      </c>
      <c r="H6" s="2" t="s">
        <v>2034</v>
      </c>
      <c r="I6" s="2" t="s">
        <v>17</v>
      </c>
      <c r="J6" s="2" t="s">
        <v>3679</v>
      </c>
      <c r="K6" s="2" t="s">
        <v>49</v>
      </c>
      <c r="L6" s="2"/>
      <c r="M6" s="2"/>
      <c r="N6" s="7" t="s">
        <v>49</v>
      </c>
      <c r="O6" s="6">
        <v>1</v>
      </c>
      <c r="P6" s="2" t="s">
        <v>3680</v>
      </c>
      <c r="Q6" s="2" t="str">
        <f>IF(Tabla1[[#This Row],[evaluacion_]]="","",IF(Tabla1[[#This Row],[evaluacion_]]=1,"Habilitado","No Habilitado"))</f>
        <v>Habilitado</v>
      </c>
      <c r="R6" s="2" t="str">
        <f>IF(Tabla1[[#This Row],[fecha]]="","",TEXT(Tabla1[[#This Row],[fecha]],"DMMAAAA")&amp;TEXT(Tabla1[[#This Row],[hora]],"HHmm"))</f>
        <v>210120261617</v>
      </c>
      <c r="S6" s="19" t="str">
        <f>_xlfn.CONCAT(Tabla1[[#This Row],[codigo_]],Tabla1[[#This Row],[correlativo_]])</f>
        <v>210120261617725</v>
      </c>
      <c r="T6" s="2" t="str">
        <f t="shared" si="0"/>
        <v>6 de julio del 2025</v>
      </c>
      <c r="U6" s="2" t="str">
        <f>_xlfn.XLOOKUP(Tabla1[[#This Row],[instructor_2]],diccionario_!$A$1:$A$11,diccionario_!$D$1:$D$11,,0)</f>
        <v>Marcelo Barrera A.</v>
      </c>
      <c r="V6" s="2" t="str">
        <f t="shared" si="1"/>
        <v>100%</v>
      </c>
      <c r="W6" s="2" t="s">
        <v>3681</v>
      </c>
    </row>
    <row r="7" spans="1:23" ht="16.5" customHeight="1">
      <c r="A7" s="2">
        <v>21</v>
      </c>
      <c r="B7" s="2" t="s">
        <v>14</v>
      </c>
      <c r="C7" s="2" t="s">
        <v>15</v>
      </c>
      <c r="D7" s="2" t="s">
        <v>9</v>
      </c>
      <c r="E7" s="11">
        <v>45844</v>
      </c>
      <c r="F7" s="14">
        <v>0.39583333333333298</v>
      </c>
      <c r="G7" s="2" t="s">
        <v>2046</v>
      </c>
      <c r="H7" s="2" t="s">
        <v>2047</v>
      </c>
      <c r="I7" s="2" t="s">
        <v>17</v>
      </c>
      <c r="J7" s="2" t="s">
        <v>3679</v>
      </c>
      <c r="K7" s="2" t="s">
        <v>49</v>
      </c>
      <c r="L7" s="2"/>
      <c r="M7" s="2"/>
      <c r="N7" s="7" t="s">
        <v>49</v>
      </c>
      <c r="O7" s="6">
        <v>1</v>
      </c>
      <c r="P7" s="2" t="s">
        <v>3680</v>
      </c>
      <c r="Q7" s="2" t="str">
        <f>IF(Tabla1[[#This Row],[evaluacion_]]="","",IF(Tabla1[[#This Row],[evaluacion_]]=1,"Habilitado","No Habilitado"))</f>
        <v>No Habilitado</v>
      </c>
      <c r="R7" s="2" t="str">
        <f>IF(Tabla1[[#This Row],[fecha]]="","",TEXT(Tabla1[[#This Row],[fecha]],"DMMAAAA")&amp;TEXT(Tabla1[[#This Row],[hora]],"HHmm"))</f>
        <v>160120260900</v>
      </c>
      <c r="S7" s="19" t="str">
        <f>_xlfn.CONCAT(Tabla1[[#This Row],[codigo_]],Tabla1[[#This Row],[correlativo_]])</f>
        <v>160120260900726</v>
      </c>
      <c r="T7" s="2" t="str">
        <f t="shared" si="0"/>
        <v>6 de julio del 2025</v>
      </c>
      <c r="U7" s="2" t="str">
        <f>_xlfn.XLOOKUP(Tabla1[[#This Row],[instructor_2]],diccionario_!$A$1:$A$11,diccionario_!$D$1:$D$11,,0)</f>
        <v>Guillermo Milla M.</v>
      </c>
      <c r="V7" s="2" t="str">
        <f t="shared" si="1"/>
        <v>100%</v>
      </c>
      <c r="W7" s="2" t="s">
        <v>3681</v>
      </c>
    </row>
    <row r="8" spans="1:23" ht="16.5" customHeight="1">
      <c r="A8" s="2">
        <v>22</v>
      </c>
      <c r="B8" s="2" t="s">
        <v>14</v>
      </c>
      <c r="C8" s="2" t="s">
        <v>15</v>
      </c>
      <c r="D8" s="2" t="s">
        <v>9</v>
      </c>
      <c r="E8" s="11">
        <v>45844</v>
      </c>
      <c r="F8" s="14">
        <v>0.39583333333333298</v>
      </c>
      <c r="G8" s="2" t="s">
        <v>2677</v>
      </c>
      <c r="H8" s="2" t="s">
        <v>2678</v>
      </c>
      <c r="I8" s="2" t="s">
        <v>17</v>
      </c>
      <c r="J8" s="2" t="s">
        <v>3679</v>
      </c>
      <c r="K8" s="2" t="s">
        <v>49</v>
      </c>
      <c r="L8" s="2"/>
      <c r="M8" s="2"/>
      <c r="N8" s="7" t="s">
        <v>49</v>
      </c>
      <c r="O8" s="6">
        <v>1</v>
      </c>
      <c r="P8" s="2" t="s">
        <v>3680</v>
      </c>
      <c r="Q8" s="2" t="str">
        <f>IF(Tabla1[[#This Row],[evaluacion_]]="","",IF(Tabla1[[#This Row],[evaluacion_]]=1,"Habilitado","No Habilitado"))</f>
        <v>Habilitado</v>
      </c>
      <c r="R8" s="2" t="str">
        <f>IF(Tabla1[[#This Row],[fecha]]="","",TEXT(Tabla1[[#This Row],[fecha]],"DMMAAAA")&amp;TEXT(Tabla1[[#This Row],[hora]],"HHmm"))</f>
        <v>260120261500</v>
      </c>
      <c r="S8" s="19" t="str">
        <f>_xlfn.CONCAT(Tabla1[[#This Row],[codigo_]],Tabla1[[#This Row],[correlativo_]])</f>
        <v>260120261500727</v>
      </c>
      <c r="T8" s="2" t="str">
        <f t="shared" si="0"/>
        <v>6 de julio del 2025</v>
      </c>
      <c r="U8" s="2" t="str">
        <f>_xlfn.XLOOKUP(Tabla1[[#This Row],[instructor_2]],diccionario_!$A$1:$A$11,diccionario_!$D$1:$D$11,,0)</f>
        <v>Gilerto Urtubia C.</v>
      </c>
      <c r="V8" s="2" t="str">
        <f t="shared" si="1"/>
        <v>100%</v>
      </c>
      <c r="W8" s="2" t="s">
        <v>3681</v>
      </c>
    </row>
    <row r="9" spans="1:23" ht="16.5" customHeight="1">
      <c r="A9" s="2">
        <v>23</v>
      </c>
      <c r="B9" s="2" t="s">
        <v>14</v>
      </c>
      <c r="C9" s="2" t="s">
        <v>15</v>
      </c>
      <c r="D9" s="2" t="s">
        <v>9</v>
      </c>
      <c r="E9" s="11">
        <v>45844</v>
      </c>
      <c r="F9" s="14">
        <v>0.39583333333333298</v>
      </c>
      <c r="G9" s="2" t="s">
        <v>2766</v>
      </c>
      <c r="H9" s="2" t="s">
        <v>2767</v>
      </c>
      <c r="I9" s="2" t="s">
        <v>17</v>
      </c>
      <c r="J9" s="2" t="s">
        <v>3679</v>
      </c>
      <c r="K9" s="2" t="s">
        <v>49</v>
      </c>
      <c r="L9" s="2"/>
      <c r="M9" s="2"/>
      <c r="N9" s="7" t="s">
        <v>49</v>
      </c>
      <c r="O9" s="6">
        <v>1</v>
      </c>
      <c r="P9" s="2" t="s">
        <v>3680</v>
      </c>
      <c r="Q9" s="2" t="str">
        <f>IF(Tabla1[[#This Row],[evaluacion_]]="","",IF(Tabla1[[#This Row],[evaluacion_]]=1,"Habilitado","No Habilitado"))</f>
        <v>Habilitado</v>
      </c>
      <c r="R9" s="2" t="str">
        <f>IF(Tabla1[[#This Row],[fecha]]="","",TEXT(Tabla1[[#This Row],[fecha]],"DMMAAAA")&amp;TEXT(Tabla1[[#This Row],[hora]],"HHmm"))</f>
        <v>260120261800</v>
      </c>
      <c r="S9" s="19" t="str">
        <f>_xlfn.CONCAT(Tabla1[[#This Row],[codigo_]],Tabla1[[#This Row],[correlativo_]])</f>
        <v>260120261800728</v>
      </c>
      <c r="T9" s="2" t="str">
        <f t="shared" si="0"/>
        <v>6 de julio del 2025</v>
      </c>
      <c r="U9" s="2" t="str">
        <f>_xlfn.XLOOKUP(Tabla1[[#This Row],[instructor_2]],diccionario_!$A$1:$A$11,diccionario_!$D$1:$D$11,,0)</f>
        <v>Gilerto Urtubia C.</v>
      </c>
      <c r="V9" s="2" t="str">
        <f t="shared" si="1"/>
        <v>100%</v>
      </c>
      <c r="W9" s="2" t="s">
        <v>3681</v>
      </c>
    </row>
    <row r="10" spans="1:23" ht="16.5" customHeight="1">
      <c r="A10" s="2">
        <v>24</v>
      </c>
      <c r="B10" s="2" t="s">
        <v>14</v>
      </c>
      <c r="C10" s="2" t="s">
        <v>15</v>
      </c>
      <c r="D10" s="2" t="s">
        <v>9</v>
      </c>
      <c r="E10" s="11">
        <v>45844</v>
      </c>
      <c r="F10" s="14">
        <v>0.39583333333333298</v>
      </c>
      <c r="G10" s="2" t="s">
        <v>2865</v>
      </c>
      <c r="H10" s="2" t="s">
        <v>2866</v>
      </c>
      <c r="I10" s="2" t="s">
        <v>17</v>
      </c>
      <c r="J10" s="2" t="s">
        <v>3679</v>
      </c>
      <c r="K10" s="2" t="s">
        <v>49</v>
      </c>
      <c r="L10" s="2"/>
      <c r="M10" s="2"/>
      <c r="N10" s="7" t="s">
        <v>49</v>
      </c>
      <c r="O10" s="6">
        <v>1</v>
      </c>
      <c r="P10" s="2" t="s">
        <v>3680</v>
      </c>
      <c r="Q10" s="2" t="str">
        <f>IF(Tabla1[[#This Row],[evaluacion_]]="","",IF(Tabla1[[#This Row],[evaluacion_]]=1,"Habilitado","No Habilitado"))</f>
        <v>Habilitado</v>
      </c>
      <c r="R10" s="2" t="str">
        <f>IF(Tabla1[[#This Row],[fecha]]="","",TEXT(Tabla1[[#This Row],[fecha]],"DMMAAAA")&amp;TEXT(Tabla1[[#This Row],[hora]],"HHmm"))</f>
        <v>50120261500</v>
      </c>
      <c r="S10" s="19" t="str">
        <f>_xlfn.CONCAT(Tabla1[[#This Row],[codigo_]],Tabla1[[#This Row],[correlativo_]])</f>
        <v>50120261500729</v>
      </c>
      <c r="T10" s="2" t="str">
        <f t="shared" si="0"/>
        <v>6 de julio del 2025</v>
      </c>
      <c r="U10" s="2" t="str">
        <f>_xlfn.XLOOKUP(Tabla1[[#This Row],[instructor_2]],diccionario_!$A$1:$A$11,diccionario_!$D$1:$D$11,,0)</f>
        <v>Daniel Carvajal B.</v>
      </c>
      <c r="V10" s="2" t="str">
        <f t="shared" si="1"/>
        <v>100%</v>
      </c>
      <c r="W10" s="2" t="s">
        <v>3681</v>
      </c>
    </row>
    <row r="11" spans="1:23" ht="16.5" customHeight="1">
      <c r="A11" s="2">
        <v>25</v>
      </c>
      <c r="B11" s="2" t="s">
        <v>14</v>
      </c>
      <c r="C11" s="2" t="s">
        <v>15</v>
      </c>
      <c r="D11" s="2" t="s">
        <v>9</v>
      </c>
      <c r="E11" s="11">
        <v>45844</v>
      </c>
      <c r="F11" s="14">
        <v>0.39583333333333298</v>
      </c>
      <c r="G11" s="2" t="s">
        <v>3682</v>
      </c>
      <c r="H11" s="2" t="s">
        <v>3683</v>
      </c>
      <c r="I11" s="2" t="s">
        <v>17</v>
      </c>
      <c r="J11" s="2" t="s">
        <v>3679</v>
      </c>
      <c r="K11" s="2" t="s">
        <v>49</v>
      </c>
      <c r="L11" s="2"/>
      <c r="M11" s="2"/>
      <c r="N11" s="7" t="s">
        <v>49</v>
      </c>
      <c r="O11" s="6">
        <v>1</v>
      </c>
      <c r="P11" s="2" t="s">
        <v>3680</v>
      </c>
      <c r="Q11" s="2" t="str">
        <f>IF(Tabla1[[#This Row],[evaluacion_]]="","",IF(Tabla1[[#This Row],[evaluacion_]]=1,"Habilitado","No Habilitado"))</f>
        <v>Habilitado</v>
      </c>
      <c r="R11" s="2" t="str">
        <f>IF(Tabla1[[#This Row],[fecha]]="","",TEXT(Tabla1[[#This Row],[fecha]],"DMMAAAA")&amp;TEXT(Tabla1[[#This Row],[hora]],"HHmm"))</f>
        <v>60120261600</v>
      </c>
      <c r="S11" s="19" t="str">
        <f>_xlfn.CONCAT(Tabla1[[#This Row],[codigo_]],Tabla1[[#This Row],[correlativo_]])</f>
        <v>60120261600730</v>
      </c>
      <c r="T11" s="2" t="str">
        <f t="shared" si="0"/>
        <v>6 de julio del 2025</v>
      </c>
      <c r="U11" s="2" t="str">
        <f>_xlfn.XLOOKUP(Tabla1[[#This Row],[instructor_2]],diccionario_!$A$1:$A$11,diccionario_!$D$1:$D$11,,0)</f>
        <v>Daniel Carvajal B.</v>
      </c>
      <c r="V11" s="2" t="str">
        <f t="shared" si="1"/>
        <v>100%</v>
      </c>
      <c r="W11" s="2" t="s">
        <v>3681</v>
      </c>
    </row>
    <row r="12" spans="1:23" ht="16.5" customHeight="1">
      <c r="A12" s="2">
        <v>26</v>
      </c>
      <c r="B12" s="2" t="s">
        <v>14</v>
      </c>
      <c r="C12" s="2" t="s">
        <v>15</v>
      </c>
      <c r="D12" s="2" t="s">
        <v>9</v>
      </c>
      <c r="E12" s="11">
        <v>45844</v>
      </c>
      <c r="F12" s="14">
        <v>0.39583333333333298</v>
      </c>
      <c r="G12" s="2" t="s">
        <v>3073</v>
      </c>
      <c r="H12" s="2" t="s">
        <v>3074</v>
      </c>
      <c r="I12" s="2" t="s">
        <v>17</v>
      </c>
      <c r="J12" s="2" t="s">
        <v>3679</v>
      </c>
      <c r="K12" s="2" t="s">
        <v>49</v>
      </c>
      <c r="L12" s="2"/>
      <c r="M12" s="2"/>
      <c r="N12" s="7" t="s">
        <v>49</v>
      </c>
      <c r="O12" s="6">
        <v>1</v>
      </c>
      <c r="P12" s="2" t="s">
        <v>3680</v>
      </c>
      <c r="Q12" s="2" t="str">
        <f>IF(Tabla1[[#This Row],[evaluacion_]]="","",IF(Tabla1[[#This Row],[evaluacion_]]=1,"Habilitado","No Habilitado"))</f>
        <v>Habilitado</v>
      </c>
      <c r="R12" s="2" t="str">
        <f>IF(Tabla1[[#This Row],[fecha]]="","",TEXT(Tabla1[[#This Row],[fecha]],"DMMAAAA")&amp;TEXT(Tabla1[[#This Row],[hora]],"HHmm"))</f>
        <v>60120261600</v>
      </c>
      <c r="S12" s="19" t="str">
        <f>_xlfn.CONCAT(Tabla1[[#This Row],[codigo_]],Tabla1[[#This Row],[correlativo_]])</f>
        <v>60120261600731</v>
      </c>
      <c r="T12" s="2" t="str">
        <f t="shared" si="0"/>
        <v>6 de julio del 2025</v>
      </c>
      <c r="U12" s="2" t="str">
        <f>_xlfn.XLOOKUP(Tabla1[[#This Row],[instructor_2]],diccionario_!$A$1:$A$11,diccionario_!$D$1:$D$11,,0)</f>
        <v>Daniel Carvajal B.</v>
      </c>
      <c r="V12" s="2" t="str">
        <f t="shared" si="1"/>
        <v>100%</v>
      </c>
      <c r="W12" s="2" t="s">
        <v>3681</v>
      </c>
    </row>
    <row r="13" spans="1:23" ht="16.5" customHeight="1">
      <c r="A13" s="2">
        <v>27</v>
      </c>
      <c r="B13" s="2" t="s">
        <v>14</v>
      </c>
      <c r="C13" s="2" t="s">
        <v>15</v>
      </c>
      <c r="D13" s="2" t="s">
        <v>9</v>
      </c>
      <c r="E13" s="11">
        <v>45844</v>
      </c>
      <c r="F13" s="14">
        <v>0.39583333333333298</v>
      </c>
      <c r="G13" s="2" t="s">
        <v>3684</v>
      </c>
      <c r="H13" s="2" t="s">
        <v>3685</v>
      </c>
      <c r="I13" s="2" t="s">
        <v>17</v>
      </c>
      <c r="J13" s="2" t="s">
        <v>3679</v>
      </c>
      <c r="K13" s="2" t="s">
        <v>49</v>
      </c>
      <c r="L13" s="2"/>
      <c r="M13" s="2"/>
      <c r="N13" s="7" t="s">
        <v>49</v>
      </c>
      <c r="O13" s="6">
        <v>1</v>
      </c>
      <c r="P13" s="2" t="s">
        <v>3680</v>
      </c>
      <c r="Q13" s="2" t="str">
        <f>IF(Tabla1[[#This Row],[evaluacion_]]="","",IF(Tabla1[[#This Row],[evaluacion_]]=1,"Habilitado","No Habilitado"))</f>
        <v>Habilitado</v>
      </c>
      <c r="R13" s="2" t="str">
        <f>IF(Tabla1[[#This Row],[fecha]]="","",TEXT(Tabla1[[#This Row],[fecha]],"DMMAAAA")&amp;TEXT(Tabla1[[#This Row],[hora]],"HHmm"))</f>
        <v>60120261800</v>
      </c>
      <c r="S13" s="19" t="str">
        <f>_xlfn.CONCAT(Tabla1[[#This Row],[codigo_]],Tabla1[[#This Row],[correlativo_]])</f>
        <v>60120261800732</v>
      </c>
      <c r="T13" s="2" t="str">
        <f t="shared" si="0"/>
        <v>6 de julio del 2025</v>
      </c>
      <c r="U13" s="2" t="str">
        <f>_xlfn.XLOOKUP(Tabla1[[#This Row],[instructor_2]],diccionario_!$A$1:$A$11,diccionario_!$D$1:$D$11,,0)</f>
        <v>Daniel Carvajal B.</v>
      </c>
      <c r="V13" s="2" t="str">
        <f t="shared" si="1"/>
        <v>100%</v>
      </c>
      <c r="W13" s="2" t="s">
        <v>3681</v>
      </c>
    </row>
    <row r="14" spans="1:23" ht="16.5" customHeight="1">
      <c r="A14" s="2">
        <v>28</v>
      </c>
      <c r="B14" s="2" t="s">
        <v>14</v>
      </c>
      <c r="C14" s="2" t="s">
        <v>15</v>
      </c>
      <c r="D14" s="2" t="s">
        <v>9</v>
      </c>
      <c r="E14" s="11">
        <v>45844</v>
      </c>
      <c r="F14" s="14">
        <v>0.39583333333333298</v>
      </c>
      <c r="G14" s="2" t="s">
        <v>3395</v>
      </c>
      <c r="H14" s="2" t="s">
        <v>3396</v>
      </c>
      <c r="I14" s="2" t="s">
        <v>17</v>
      </c>
      <c r="J14" s="2" t="s">
        <v>3679</v>
      </c>
      <c r="K14" s="2" t="s">
        <v>49</v>
      </c>
      <c r="L14" s="2"/>
      <c r="M14" s="2"/>
      <c r="N14" s="7" t="s">
        <v>49</v>
      </c>
      <c r="O14" s="6">
        <v>1</v>
      </c>
      <c r="P14" s="2" t="s">
        <v>3680</v>
      </c>
      <c r="Q14" s="2" t="str">
        <f>IF(Tabla1[[#This Row],[evaluacion_]]="","",IF(Tabla1[[#This Row],[evaluacion_]]=1,"Habilitado","No Habilitado"))</f>
        <v>No Habilitado</v>
      </c>
      <c r="R14" s="2" t="str">
        <f>IF(Tabla1[[#This Row],[fecha]]="","",TEXT(Tabla1[[#This Row],[fecha]],"DMMAAAA")&amp;TEXT(Tabla1[[#This Row],[hora]],"HHmm"))</f>
        <v>70120261800</v>
      </c>
      <c r="S14" s="19" t="str">
        <f>_xlfn.CONCAT(Tabla1[[#This Row],[codigo_]],Tabla1[[#This Row],[correlativo_]])</f>
        <v>70120261800733</v>
      </c>
      <c r="T14" s="2" t="str">
        <f t="shared" si="0"/>
        <v>6 de julio del 2025</v>
      </c>
      <c r="U14" s="2" t="str">
        <f>_xlfn.XLOOKUP(Tabla1[[#This Row],[instructor_2]],diccionario_!$A$1:$A$11,diccionario_!$D$1:$D$11,,0)</f>
        <v>Daniel Carvajal B.</v>
      </c>
      <c r="V14" s="2" t="str">
        <f t="shared" si="1"/>
        <v>100%</v>
      </c>
      <c r="W14" s="2" t="s">
        <v>3681</v>
      </c>
    </row>
    <row r="15" spans="1:23" ht="16.5" customHeight="1">
      <c r="A15" s="2">
        <v>29</v>
      </c>
      <c r="B15" s="2" t="s">
        <v>20</v>
      </c>
      <c r="C15" s="2" t="s">
        <v>21</v>
      </c>
      <c r="D15" s="2" t="s">
        <v>9</v>
      </c>
      <c r="E15" s="11">
        <v>45848</v>
      </c>
      <c r="F15" s="14">
        <v>0.66666666666666696</v>
      </c>
      <c r="G15" s="2" t="s">
        <v>57</v>
      </c>
      <c r="H15" s="2" t="s">
        <v>58</v>
      </c>
      <c r="I15" s="2" t="s">
        <v>11</v>
      </c>
      <c r="J15" s="2" t="s">
        <v>30</v>
      </c>
      <c r="K15" s="2" t="s">
        <v>37</v>
      </c>
      <c r="L15" s="2"/>
      <c r="M15" s="2"/>
      <c r="N15" s="7" t="s">
        <v>37</v>
      </c>
      <c r="O15" s="6">
        <v>1</v>
      </c>
      <c r="P15" s="2" t="s">
        <v>3680</v>
      </c>
      <c r="Q15" s="2" t="str">
        <f>IF(Tabla1[[#This Row],[evaluacion_]]="","",IF(Tabla1[[#This Row],[evaluacion_]]=1,"Habilitado","No Habilitado"))</f>
        <v>Habilitado</v>
      </c>
      <c r="R15" s="2" t="str">
        <f>IF(Tabla1[[#This Row],[fecha]]="","",TEXT(Tabla1[[#This Row],[fecha]],"DMMAAAA")&amp;TEXT(Tabla1[[#This Row],[hora]],"HHmm"))</f>
        <v>230120261800</v>
      </c>
      <c r="S15" s="19" t="str">
        <f>_xlfn.CONCAT(Tabla1[[#This Row],[codigo_]],Tabla1[[#This Row],[correlativo_]])</f>
        <v>230120261800734</v>
      </c>
      <c r="T15" s="2" t="str">
        <f t="shared" si="0"/>
        <v>10 de julio del 2025</v>
      </c>
      <c r="U15" s="2" t="str">
        <f>_xlfn.XLOOKUP(Tabla1[[#This Row],[instructor_2]],diccionario_!$A$1:$A$11,diccionario_!$D$1:$D$11,,0)</f>
        <v>Guillermo Milla M.</v>
      </c>
      <c r="V15" s="2" t="str">
        <f t="shared" si="1"/>
        <v>100%</v>
      </c>
      <c r="W15" s="2" t="s">
        <v>3686</v>
      </c>
    </row>
    <row r="16" spans="1:23" ht="16.5" customHeight="1">
      <c r="A16" s="2">
        <v>30</v>
      </c>
      <c r="B16" s="2" t="s">
        <v>14</v>
      </c>
      <c r="C16" s="2" t="s">
        <v>15</v>
      </c>
      <c r="D16" s="2" t="s">
        <v>9</v>
      </c>
      <c r="E16" s="11">
        <v>45841</v>
      </c>
      <c r="F16" s="14">
        <v>0.5</v>
      </c>
      <c r="G16" s="2" t="s">
        <v>3368</v>
      </c>
      <c r="H16" s="2" t="s">
        <v>3369</v>
      </c>
      <c r="I16" s="2" t="s">
        <v>11</v>
      </c>
      <c r="J16" s="2" t="s">
        <v>3679</v>
      </c>
      <c r="K16" s="2" t="s">
        <v>3687</v>
      </c>
      <c r="L16" s="2"/>
      <c r="M16" s="2"/>
      <c r="N16" s="7" t="s">
        <v>3687</v>
      </c>
      <c r="O16" s="6">
        <v>1</v>
      </c>
      <c r="P16" s="2" t="s">
        <v>3680</v>
      </c>
      <c r="Q16" s="2" t="str">
        <f>IF(Tabla1[[#This Row],[evaluacion_]]="","",IF(Tabla1[[#This Row],[evaluacion_]]=1,"Habilitado","No Habilitado"))</f>
        <v>Habilitado</v>
      </c>
      <c r="R16" s="2" t="str">
        <f>IF(Tabla1[[#This Row],[fecha]]="","",TEXT(Tabla1[[#This Row],[fecha]],"DMMAAAA")&amp;TEXT(Tabla1[[#This Row],[hora]],"HHmm"))</f>
        <v>230120261800</v>
      </c>
      <c r="S16" s="19" t="str">
        <f>_xlfn.CONCAT(Tabla1[[#This Row],[codigo_]],Tabla1[[#This Row],[correlativo_]])</f>
        <v>230120261800735</v>
      </c>
      <c r="T16" s="2" t="str">
        <f t="shared" si="0"/>
        <v>3 de julio del 2025</v>
      </c>
      <c r="U16" s="2" t="str">
        <f>_xlfn.XLOOKUP(Tabla1[[#This Row],[instructor_2]],diccionario_!$A$1:$A$11,diccionario_!$D$1:$D$11,,0)</f>
        <v>Guillermo Milla M.</v>
      </c>
      <c r="V16" s="2" t="str">
        <f t="shared" si="1"/>
        <v>100%</v>
      </c>
      <c r="W16" s="2" t="s">
        <v>3688</v>
      </c>
    </row>
    <row r="17" spans="1:23" ht="16.5" customHeight="1">
      <c r="A17" s="2">
        <v>132</v>
      </c>
      <c r="B17" s="2" t="s">
        <v>14</v>
      </c>
      <c r="C17" s="2" t="s">
        <v>15</v>
      </c>
      <c r="D17" s="2" t="s">
        <v>9</v>
      </c>
      <c r="E17" s="11">
        <v>45845</v>
      </c>
      <c r="F17" s="14">
        <v>0.39583333333333298</v>
      </c>
      <c r="G17" s="2" t="s">
        <v>3689</v>
      </c>
      <c r="H17" s="2" t="s">
        <v>3690</v>
      </c>
      <c r="I17" s="2" t="s">
        <v>17</v>
      </c>
      <c r="J17" s="2" t="s">
        <v>3679</v>
      </c>
      <c r="K17" s="2" t="s">
        <v>49</v>
      </c>
      <c r="L17" s="2"/>
      <c r="M17" s="2"/>
      <c r="N17" s="7" t="s">
        <v>49</v>
      </c>
      <c r="O17" s="6">
        <v>1</v>
      </c>
      <c r="P17" s="2" t="s">
        <v>3680</v>
      </c>
      <c r="Q17" s="2" t="str">
        <f>IF(Tabla1[[#This Row],[evaluacion_]]="","",IF(Tabla1[[#This Row],[evaluacion_]]=1,"Habilitado","No Habilitado"))</f>
        <v>Habilitado</v>
      </c>
      <c r="R17" s="2" t="str">
        <f>IF(Tabla1[[#This Row],[fecha]]="","",TEXT(Tabla1[[#This Row],[fecha]],"DMMAAAA")&amp;TEXT(Tabla1[[#This Row],[hora]],"HHmm"))</f>
        <v>230120261800</v>
      </c>
      <c r="S17" s="19" t="str">
        <f>_xlfn.CONCAT(Tabla1[[#This Row],[codigo_]],Tabla1[[#This Row],[correlativo_]])</f>
        <v>230120261800736</v>
      </c>
      <c r="T17" s="2" t="str">
        <f t="shared" si="0"/>
        <v>7 de julio del 2025</v>
      </c>
      <c r="U17" s="2" t="str">
        <f>_xlfn.XLOOKUP(Tabla1[[#This Row],[instructor_2]],diccionario_!$A$1:$A$11,diccionario_!$D$1:$D$11,,0)</f>
        <v>Guillermo Milla M.</v>
      </c>
      <c r="V17" s="2" t="str">
        <f t="shared" si="1"/>
        <v>100%</v>
      </c>
      <c r="W17" s="2" t="s">
        <v>3691</v>
      </c>
    </row>
    <row r="18" spans="1:23" ht="16.5" customHeight="1">
      <c r="A18" s="2">
        <v>133</v>
      </c>
      <c r="B18" s="2" t="s">
        <v>14</v>
      </c>
      <c r="C18" s="2" t="s">
        <v>15</v>
      </c>
      <c r="D18" s="2" t="s">
        <v>9</v>
      </c>
      <c r="E18" s="11">
        <v>45845</v>
      </c>
      <c r="F18" s="14">
        <v>0.39583333333333298</v>
      </c>
      <c r="G18" s="2" t="s">
        <v>445</v>
      </c>
      <c r="H18" s="2" t="s">
        <v>446</v>
      </c>
      <c r="I18" s="2" t="s">
        <v>17</v>
      </c>
      <c r="J18" s="2" t="s">
        <v>3679</v>
      </c>
      <c r="K18" s="2" t="s">
        <v>49</v>
      </c>
      <c r="L18" s="2"/>
      <c r="M18" s="2"/>
      <c r="N18" s="7" t="s">
        <v>49</v>
      </c>
      <c r="O18" s="6">
        <v>1</v>
      </c>
      <c r="P18" s="2" t="s">
        <v>3680</v>
      </c>
      <c r="Q18" s="2" t="str">
        <f>IF(Tabla1[[#This Row],[evaluacion_]]="","",IF(Tabla1[[#This Row],[evaluacion_]]=1,"Habilitado","No Habilitado"))</f>
        <v>Habilitado</v>
      </c>
      <c r="R18" s="2" t="str">
        <f>IF(Tabla1[[#This Row],[fecha]]="","",TEXT(Tabla1[[#This Row],[fecha]],"DMMAAAA")&amp;TEXT(Tabla1[[#This Row],[hora]],"HHmm"))</f>
        <v>230120261800</v>
      </c>
      <c r="S18" s="19" t="str">
        <f>_xlfn.CONCAT(Tabla1[[#This Row],[codigo_]],Tabla1[[#This Row],[correlativo_]])</f>
        <v>230120261800737</v>
      </c>
      <c r="T18" s="2" t="str">
        <f t="shared" si="0"/>
        <v>7 de julio del 2025</v>
      </c>
      <c r="U18" s="2" t="str">
        <f>_xlfn.XLOOKUP(Tabla1[[#This Row],[instructor_2]],diccionario_!$A$1:$A$11,diccionario_!$D$1:$D$11,,0)</f>
        <v>Guillermo Milla M.</v>
      </c>
      <c r="V18" s="2" t="str">
        <f t="shared" si="1"/>
        <v>100%</v>
      </c>
      <c r="W18" s="2" t="s">
        <v>3691</v>
      </c>
    </row>
    <row r="19" spans="1:23" ht="16.5" customHeight="1">
      <c r="A19" s="2">
        <v>134</v>
      </c>
      <c r="B19" s="2" t="s">
        <v>14</v>
      </c>
      <c r="C19" s="2" t="s">
        <v>15</v>
      </c>
      <c r="D19" s="2" t="s">
        <v>9</v>
      </c>
      <c r="E19" s="11">
        <v>45845</v>
      </c>
      <c r="F19" s="14">
        <v>0.39583333333333298</v>
      </c>
      <c r="G19" s="2" t="s">
        <v>3457</v>
      </c>
      <c r="H19" s="2" t="s">
        <v>3458</v>
      </c>
      <c r="I19" s="2" t="s">
        <v>17</v>
      </c>
      <c r="J19" s="2" t="s">
        <v>3679</v>
      </c>
      <c r="K19" s="2" t="s">
        <v>49</v>
      </c>
      <c r="L19" s="2"/>
      <c r="M19" s="2"/>
      <c r="N19" s="7" t="s">
        <v>49</v>
      </c>
      <c r="O19" s="6">
        <v>1</v>
      </c>
      <c r="P19" s="2" t="s">
        <v>3680</v>
      </c>
      <c r="Q19" s="2" t="str">
        <f>IF(Tabla1[[#This Row],[evaluacion_]]="","",IF(Tabla1[[#This Row],[evaluacion_]]=1,"Habilitado","No Habilitado"))</f>
        <v>Habilitado</v>
      </c>
      <c r="R19" s="2" t="str">
        <f>IF(Tabla1[[#This Row],[fecha]]="","",TEXT(Tabla1[[#This Row],[fecha]],"DMMAAAA")&amp;TEXT(Tabla1[[#This Row],[hora]],"HHmm"))</f>
        <v>270120261142</v>
      </c>
      <c r="S19" s="19" t="str">
        <f>_xlfn.CONCAT(Tabla1[[#This Row],[codigo_]],Tabla1[[#This Row],[correlativo_]])</f>
        <v>270120261142738</v>
      </c>
      <c r="T19" s="2" t="str">
        <f t="shared" si="0"/>
        <v>7 de julio del 2025</v>
      </c>
      <c r="U19" s="2" t="str">
        <f>_xlfn.XLOOKUP(Tabla1[[#This Row],[instructor_2]],diccionario_!$A$1:$A$11,diccionario_!$D$1:$D$11,,0)</f>
        <v>Guillermo Milla M.</v>
      </c>
      <c r="V19" s="2" t="str">
        <f t="shared" si="1"/>
        <v>100%</v>
      </c>
      <c r="W19" s="2" t="s">
        <v>3691</v>
      </c>
    </row>
    <row r="20" spans="1:23" ht="16.5" customHeight="1">
      <c r="A20" s="2">
        <v>135</v>
      </c>
      <c r="B20" s="2" t="s">
        <v>14</v>
      </c>
      <c r="C20" s="2" t="s">
        <v>15</v>
      </c>
      <c r="D20" s="2" t="s">
        <v>9</v>
      </c>
      <c r="E20" s="11">
        <v>45845</v>
      </c>
      <c r="F20" s="14">
        <v>0.39583333333333298</v>
      </c>
      <c r="G20" s="2" t="s">
        <v>2967</v>
      </c>
      <c r="H20" s="2" t="s">
        <v>2968</v>
      </c>
      <c r="I20" s="2" t="s">
        <v>17</v>
      </c>
      <c r="J20" s="2" t="s">
        <v>3679</v>
      </c>
      <c r="K20" s="2" t="s">
        <v>49</v>
      </c>
      <c r="L20" s="2"/>
      <c r="M20" s="2"/>
      <c r="N20" s="7" t="s">
        <v>49</v>
      </c>
      <c r="O20" s="6">
        <v>1</v>
      </c>
      <c r="P20" s="2" t="s">
        <v>3680</v>
      </c>
      <c r="Q20" s="2" t="str">
        <f>IF(Tabla1[[#This Row],[evaluacion_]]="","",IF(Tabla1[[#This Row],[evaluacion_]]=1,"Habilitado","No Habilitado"))</f>
        <v>Habilitado</v>
      </c>
      <c r="R20" s="2" t="str">
        <f>IF(Tabla1[[#This Row],[fecha]]="","",TEXT(Tabla1[[#This Row],[fecha]],"DMMAAAA")&amp;TEXT(Tabla1[[#This Row],[hora]],"HHmm"))</f>
        <v>180120261000</v>
      </c>
      <c r="S20" s="19" t="str">
        <f>_xlfn.CONCAT(Tabla1[[#This Row],[codigo_]],Tabla1[[#This Row],[correlativo_]])</f>
        <v>180120261000739</v>
      </c>
      <c r="T20" s="2" t="str">
        <f t="shared" si="0"/>
        <v>7 de julio del 2025</v>
      </c>
      <c r="U20" s="2" t="str">
        <f>_xlfn.XLOOKUP(Tabla1[[#This Row],[instructor_2]],diccionario_!$A$1:$A$11,diccionario_!$D$1:$D$11,,0)</f>
        <v>Guillermo Milla M.</v>
      </c>
      <c r="V20" s="2" t="str">
        <f t="shared" si="1"/>
        <v>100%</v>
      </c>
      <c r="W20" s="2" t="s">
        <v>3691</v>
      </c>
    </row>
    <row r="21" spans="1:23" ht="16.5" customHeight="1">
      <c r="A21" s="2">
        <v>136</v>
      </c>
      <c r="B21" s="2" t="s">
        <v>14</v>
      </c>
      <c r="C21" s="2" t="s">
        <v>15</v>
      </c>
      <c r="D21" s="2" t="s">
        <v>9</v>
      </c>
      <c r="E21" s="11">
        <v>45845</v>
      </c>
      <c r="F21" s="14">
        <v>0.39583333333333298</v>
      </c>
      <c r="G21" s="2" t="s">
        <v>3692</v>
      </c>
      <c r="H21" s="2" t="s">
        <v>3693</v>
      </c>
      <c r="I21" s="2" t="s">
        <v>17</v>
      </c>
      <c r="J21" s="2" t="s">
        <v>3679</v>
      </c>
      <c r="K21" s="2" t="s">
        <v>49</v>
      </c>
      <c r="L21" s="2"/>
      <c r="M21" s="2"/>
      <c r="N21" s="7" t="s">
        <v>49</v>
      </c>
      <c r="O21" s="6">
        <v>1</v>
      </c>
      <c r="P21" s="2" t="s">
        <v>3680</v>
      </c>
      <c r="Q21" s="2" t="str">
        <f>IF(Tabla1[[#This Row],[evaluacion_]]="","",IF(Tabla1[[#This Row],[evaluacion_]]=1,"Habilitado","No Habilitado"))</f>
        <v>Habilitado</v>
      </c>
      <c r="R21" s="2" t="str">
        <f>IF(Tabla1[[#This Row],[fecha]]="","",TEXT(Tabla1[[#This Row],[fecha]],"DMMAAAA")&amp;TEXT(Tabla1[[#This Row],[hora]],"HHmm"))</f>
        <v>180120261000</v>
      </c>
      <c r="S21" s="19" t="str">
        <f>_xlfn.CONCAT(Tabla1[[#This Row],[codigo_]],Tabla1[[#This Row],[correlativo_]])</f>
        <v>180120261000740</v>
      </c>
      <c r="T21" s="2" t="str">
        <f t="shared" si="0"/>
        <v>7 de julio del 2025</v>
      </c>
      <c r="U21" s="2" t="str">
        <f>_xlfn.XLOOKUP(Tabla1[[#This Row],[instructor_2]],diccionario_!$A$1:$A$11,diccionario_!$D$1:$D$11,,0)</f>
        <v>Guillermo Milla M.</v>
      </c>
      <c r="V21" s="2" t="str">
        <f t="shared" si="1"/>
        <v>100%</v>
      </c>
      <c r="W21" s="2" t="s">
        <v>3691</v>
      </c>
    </row>
    <row r="22" spans="1:23" ht="16.5" customHeight="1">
      <c r="A22" s="2">
        <v>137</v>
      </c>
      <c r="B22" s="2" t="s">
        <v>14</v>
      </c>
      <c r="C22" s="2" t="s">
        <v>15</v>
      </c>
      <c r="D22" s="2" t="s">
        <v>9</v>
      </c>
      <c r="E22" s="11">
        <v>45845</v>
      </c>
      <c r="F22" s="14">
        <v>0.39583333333333298</v>
      </c>
      <c r="G22" s="2" t="s">
        <v>578</v>
      </c>
      <c r="H22" s="2" t="s">
        <v>579</v>
      </c>
      <c r="I22" s="2" t="s">
        <v>17</v>
      </c>
      <c r="J22" s="2" t="s">
        <v>3679</v>
      </c>
      <c r="K22" s="2" t="s">
        <v>49</v>
      </c>
      <c r="L22" s="2"/>
      <c r="M22" s="2"/>
      <c r="N22" s="7" t="s">
        <v>49</v>
      </c>
      <c r="O22" s="6">
        <v>1</v>
      </c>
      <c r="P22" s="2" t="s">
        <v>3680</v>
      </c>
      <c r="Q22" s="2" t="str">
        <f>IF(Tabla1[[#This Row],[evaluacion_]]="","",IF(Tabla1[[#This Row],[evaluacion_]]=1,"Habilitado","No Habilitado"))</f>
        <v>Habilitado</v>
      </c>
      <c r="R22" s="2" t="str">
        <f>IF(Tabla1[[#This Row],[fecha]]="","",TEXT(Tabla1[[#This Row],[fecha]],"DMMAAAA")&amp;TEXT(Tabla1[[#This Row],[hora]],"HHmm"))</f>
        <v>180120261000</v>
      </c>
      <c r="S22" s="19" t="str">
        <f>_xlfn.CONCAT(Tabla1[[#This Row],[codigo_]],Tabla1[[#This Row],[correlativo_]])</f>
        <v>180120261000741</v>
      </c>
      <c r="T22" s="2" t="str">
        <f t="shared" si="0"/>
        <v>7 de julio del 2025</v>
      </c>
      <c r="U22" s="2" t="str">
        <f>_xlfn.XLOOKUP(Tabla1[[#This Row],[instructor_2]],diccionario_!$A$1:$A$11,diccionario_!$D$1:$D$11,,0)</f>
        <v>Marcelo Barrera A.</v>
      </c>
      <c r="V22" s="2" t="str">
        <f t="shared" si="1"/>
        <v>100%</v>
      </c>
      <c r="W22" s="2" t="s">
        <v>3691</v>
      </c>
    </row>
    <row r="23" spans="1:23" ht="16.5" customHeight="1">
      <c r="A23" s="2">
        <v>138</v>
      </c>
      <c r="B23" s="2" t="s">
        <v>14</v>
      </c>
      <c r="C23" s="2" t="s">
        <v>15</v>
      </c>
      <c r="D23" s="2" t="s">
        <v>9</v>
      </c>
      <c r="E23" s="11">
        <v>45846</v>
      </c>
      <c r="F23" s="14">
        <v>0.39583333333333298</v>
      </c>
      <c r="G23" s="2" t="s">
        <v>1937</v>
      </c>
      <c r="H23" s="2" t="s">
        <v>1938</v>
      </c>
      <c r="I23" s="2" t="s">
        <v>17</v>
      </c>
      <c r="J23" s="2" t="s">
        <v>3679</v>
      </c>
      <c r="K23" s="2" t="s">
        <v>49</v>
      </c>
      <c r="L23" s="2"/>
      <c r="M23" s="2"/>
      <c r="N23" s="7" t="s">
        <v>49</v>
      </c>
      <c r="O23" s="6">
        <v>1</v>
      </c>
      <c r="P23" s="2" t="s">
        <v>3680</v>
      </c>
      <c r="Q23" s="2" t="str">
        <f>IF(Tabla1[[#This Row],[evaluacion_]]="","",IF(Tabla1[[#This Row],[evaluacion_]]=1,"Habilitado","No Habilitado"))</f>
        <v>Habilitado</v>
      </c>
      <c r="R23" s="2" t="str">
        <f>IF(Tabla1[[#This Row],[fecha]]="","",TEXT(Tabla1[[#This Row],[fecha]],"DMMAAAA")&amp;TEXT(Tabla1[[#This Row],[hora]],"HHmm"))</f>
        <v>260120261700</v>
      </c>
      <c r="S23" s="19" t="str">
        <f>_xlfn.CONCAT(Tabla1[[#This Row],[codigo_]],Tabla1[[#This Row],[correlativo_]])</f>
        <v>260120261700742</v>
      </c>
      <c r="T23" s="2" t="str">
        <f t="shared" si="0"/>
        <v>8 de julio del 2025</v>
      </c>
      <c r="U23" s="2" t="str">
        <f>_xlfn.XLOOKUP(Tabla1[[#This Row],[instructor_2]],diccionario_!$A$1:$A$11,diccionario_!$D$1:$D$11,,0)</f>
        <v>Gilerto Urtubia C.</v>
      </c>
      <c r="V23" s="2" t="str">
        <f t="shared" si="1"/>
        <v>100%</v>
      </c>
      <c r="W23" s="2" t="s">
        <v>3691</v>
      </c>
    </row>
    <row r="24" spans="1:23" ht="16.5" customHeight="1">
      <c r="A24" s="2">
        <v>139</v>
      </c>
      <c r="B24" s="2" t="s">
        <v>14</v>
      </c>
      <c r="C24" s="2" t="s">
        <v>15</v>
      </c>
      <c r="D24" s="2" t="s">
        <v>9</v>
      </c>
      <c r="E24" s="11">
        <v>45846</v>
      </c>
      <c r="F24" s="14">
        <v>0.39583333333333298</v>
      </c>
      <c r="G24" s="2" t="s">
        <v>505</v>
      </c>
      <c r="H24" s="2" t="s">
        <v>506</v>
      </c>
      <c r="I24" s="2" t="s">
        <v>17</v>
      </c>
      <c r="J24" s="2" t="s">
        <v>3679</v>
      </c>
      <c r="K24" s="2" t="s">
        <v>49</v>
      </c>
      <c r="L24" s="2"/>
      <c r="M24" s="2"/>
      <c r="N24" s="7" t="s">
        <v>49</v>
      </c>
      <c r="O24" s="6">
        <v>1</v>
      </c>
      <c r="P24" s="2" t="s">
        <v>3680</v>
      </c>
      <c r="Q24" s="2" t="str">
        <f>IF(Tabla1[[#This Row],[evaluacion_]]="","",IF(Tabla1[[#This Row],[evaluacion_]]=1,"Habilitado","No Habilitado"))</f>
        <v>Habilitado</v>
      </c>
      <c r="R24" s="2" t="str">
        <f>IF(Tabla1[[#This Row],[fecha]]="","",TEXT(Tabla1[[#This Row],[fecha]],"DMMAAAA")&amp;TEXT(Tabla1[[#This Row],[hora]],"HHmm"))</f>
        <v>260120261730</v>
      </c>
      <c r="S24" s="19" t="str">
        <f>_xlfn.CONCAT(Tabla1[[#This Row],[codigo_]],Tabla1[[#This Row],[correlativo_]])</f>
        <v>260120261730743</v>
      </c>
      <c r="T24" s="2" t="str">
        <f t="shared" si="0"/>
        <v>8 de julio del 2025</v>
      </c>
      <c r="U24" s="2" t="str">
        <f>_xlfn.XLOOKUP(Tabla1[[#This Row],[instructor_2]],diccionario_!$A$1:$A$11,diccionario_!$D$1:$D$11,,0)</f>
        <v>Gilerto Urtubia C.</v>
      </c>
      <c r="V24" s="2" t="str">
        <f t="shared" si="1"/>
        <v>100%</v>
      </c>
      <c r="W24" s="2" t="s">
        <v>3691</v>
      </c>
    </row>
    <row r="25" spans="1:23" ht="16.5" customHeight="1">
      <c r="A25" s="2">
        <v>140</v>
      </c>
      <c r="B25" s="2" t="s">
        <v>14</v>
      </c>
      <c r="C25" s="2" t="s">
        <v>15</v>
      </c>
      <c r="D25" s="2" t="s">
        <v>9</v>
      </c>
      <c r="E25" s="11">
        <v>45846</v>
      </c>
      <c r="F25" s="14">
        <v>0.39583333333333298</v>
      </c>
      <c r="G25" s="2" t="s">
        <v>3459</v>
      </c>
      <c r="H25" s="2" t="s">
        <v>3460</v>
      </c>
      <c r="I25" s="2" t="s">
        <v>17</v>
      </c>
      <c r="J25" s="2" t="s">
        <v>3679</v>
      </c>
      <c r="K25" s="2" t="s">
        <v>49</v>
      </c>
      <c r="L25" s="2"/>
      <c r="M25" s="2"/>
      <c r="N25" s="7" t="s">
        <v>49</v>
      </c>
      <c r="O25" s="6">
        <v>1</v>
      </c>
      <c r="P25" s="2" t="s">
        <v>3680</v>
      </c>
      <c r="Q25" s="2" t="str">
        <f>IF(Tabla1[[#This Row],[evaluacion_]]="","",IF(Tabla1[[#This Row],[evaluacion_]]=1,"Habilitado","No Habilitado"))</f>
        <v>Habilitado</v>
      </c>
      <c r="R25" s="2" t="str">
        <f>IF(Tabla1[[#This Row],[fecha]]="","",TEXT(Tabla1[[#This Row],[fecha]],"DMMAAAA")&amp;TEXT(Tabla1[[#This Row],[hora]],"HHmm"))</f>
        <v>290120261300</v>
      </c>
      <c r="S25" s="19" t="str">
        <f>_xlfn.CONCAT(Tabla1[[#This Row],[codigo_]],Tabla1[[#This Row],[correlativo_]])</f>
        <v>290120261300744</v>
      </c>
      <c r="T25" s="2" t="str">
        <f t="shared" si="0"/>
        <v>8 de julio del 2025</v>
      </c>
      <c r="U25" s="2" t="str">
        <f>_xlfn.XLOOKUP(Tabla1[[#This Row],[instructor_2]],diccionario_!$A$1:$A$11,diccionario_!$D$1:$D$11,,0)</f>
        <v>Marcelo Barrera A.</v>
      </c>
      <c r="V25" s="2" t="str">
        <f t="shared" si="1"/>
        <v>100%</v>
      </c>
      <c r="W25" s="2" t="s">
        <v>3691</v>
      </c>
    </row>
    <row r="26" spans="1:23" ht="16.5" customHeight="1">
      <c r="A26" s="2">
        <v>141</v>
      </c>
      <c r="B26" s="2" t="s">
        <v>14</v>
      </c>
      <c r="C26" s="2" t="s">
        <v>15</v>
      </c>
      <c r="D26" s="2" t="s">
        <v>9</v>
      </c>
      <c r="E26" s="11">
        <v>45846</v>
      </c>
      <c r="F26" s="14">
        <v>0.39583333333333298</v>
      </c>
      <c r="G26" s="2" t="s">
        <v>1593</v>
      </c>
      <c r="H26" s="2" t="s">
        <v>1594</v>
      </c>
      <c r="I26" s="2" t="s">
        <v>17</v>
      </c>
      <c r="J26" s="2" t="s">
        <v>3679</v>
      </c>
      <c r="K26" s="2" t="s">
        <v>49</v>
      </c>
      <c r="L26" s="2"/>
      <c r="M26" s="2"/>
      <c r="N26" s="7" t="s">
        <v>49</v>
      </c>
      <c r="O26" s="6">
        <v>1</v>
      </c>
      <c r="P26" s="2" t="s">
        <v>3680</v>
      </c>
      <c r="Q26" s="2" t="str">
        <f>IF(Tabla1[[#This Row],[evaluacion_]]="","",IF(Tabla1[[#This Row],[evaluacion_]]=1,"Habilitado","No Habilitado"))</f>
        <v>Habilitado</v>
      </c>
      <c r="R26" s="2" t="str">
        <f>IF(Tabla1[[#This Row],[fecha]]="","",TEXT(Tabla1[[#This Row],[fecha]],"DMMAAAA")&amp;TEXT(Tabla1[[#This Row],[hora]],"HHmm"))</f>
        <v>290120261325</v>
      </c>
      <c r="S26" s="19" t="str">
        <f>_xlfn.CONCAT(Tabla1[[#This Row],[codigo_]],Tabla1[[#This Row],[correlativo_]])</f>
        <v>290120261325745</v>
      </c>
      <c r="T26" s="2" t="str">
        <f t="shared" si="0"/>
        <v>8 de julio del 2025</v>
      </c>
      <c r="U26" s="2" t="str">
        <f>_xlfn.XLOOKUP(Tabla1[[#This Row],[instructor_2]],diccionario_!$A$1:$A$11,diccionario_!$D$1:$D$11,,0)</f>
        <v>Marcelo Barrera A.</v>
      </c>
      <c r="V26" s="2" t="str">
        <f t="shared" si="1"/>
        <v>100%</v>
      </c>
      <c r="W26" s="2" t="s">
        <v>3691</v>
      </c>
    </row>
    <row r="27" spans="1:23" ht="16.5" customHeight="1">
      <c r="A27" s="2">
        <v>142</v>
      </c>
      <c r="B27" s="2" t="s">
        <v>7</v>
      </c>
      <c r="C27" s="2" t="s">
        <v>8</v>
      </c>
      <c r="D27" s="2" t="s">
        <v>9</v>
      </c>
      <c r="E27" s="11">
        <v>45846</v>
      </c>
      <c r="F27" s="14">
        <v>0.625</v>
      </c>
      <c r="G27" s="2" t="s">
        <v>1005</v>
      </c>
      <c r="H27" s="2" t="s">
        <v>1006</v>
      </c>
      <c r="I27" s="2" t="s">
        <v>11</v>
      </c>
      <c r="J27" s="2" t="s">
        <v>30</v>
      </c>
      <c r="K27" s="2" t="s">
        <v>37</v>
      </c>
      <c r="L27" s="2"/>
      <c r="M27" s="2"/>
      <c r="N27" s="7" t="s">
        <v>37</v>
      </c>
      <c r="O27" s="6">
        <v>1</v>
      </c>
      <c r="P27" s="2" t="s">
        <v>3680</v>
      </c>
      <c r="Q27" s="2" t="str">
        <f>IF(Tabla1[[#This Row],[evaluacion_]]="","",IF(Tabla1[[#This Row],[evaluacion_]]=1,"Habilitado","No Habilitado"))</f>
        <v>Habilitado</v>
      </c>
      <c r="R27" s="2" t="str">
        <f>IF(Tabla1[[#This Row],[fecha]]="","",TEXT(Tabla1[[#This Row],[fecha]],"DMMAAAA")&amp;TEXT(Tabla1[[#This Row],[hora]],"HHmm"))</f>
        <v>50220261000</v>
      </c>
      <c r="S27" s="19" t="str">
        <f>_xlfn.CONCAT(Tabla1[[#This Row],[codigo_]],Tabla1[[#This Row],[correlativo_]])</f>
        <v>50220261000746</v>
      </c>
      <c r="T27" s="2" t="str">
        <f t="shared" si="0"/>
        <v>8 de julio del 2025</v>
      </c>
      <c r="U27" s="2" t="str">
        <f>_xlfn.XLOOKUP(Tabla1[[#This Row],[instructor_2]],diccionario_!$A$1:$A$11,diccionario_!$D$1:$D$11,,0)</f>
        <v>Marcelo Barrera A.</v>
      </c>
      <c r="V27" s="2" t="str">
        <f t="shared" si="1"/>
        <v>100%</v>
      </c>
      <c r="W27" s="2" t="s">
        <v>3691</v>
      </c>
    </row>
    <row r="28" spans="1:23" ht="16.5" customHeight="1">
      <c r="A28" s="2">
        <v>143</v>
      </c>
      <c r="B28" s="2" t="s">
        <v>7</v>
      </c>
      <c r="C28" s="2" t="s">
        <v>8</v>
      </c>
      <c r="D28" s="2" t="s">
        <v>9</v>
      </c>
      <c r="E28" s="11">
        <v>45846</v>
      </c>
      <c r="F28" s="14">
        <v>0.625</v>
      </c>
      <c r="G28" s="2" t="s">
        <v>2083</v>
      </c>
      <c r="H28" s="2" t="s">
        <v>2084</v>
      </c>
      <c r="I28" s="2" t="s">
        <v>11</v>
      </c>
      <c r="J28" s="2" t="s">
        <v>30</v>
      </c>
      <c r="K28" s="2" t="s">
        <v>37</v>
      </c>
      <c r="L28" s="2"/>
      <c r="M28" s="2"/>
      <c r="N28" s="7" t="s">
        <v>37</v>
      </c>
      <c r="O28" s="6">
        <v>1</v>
      </c>
      <c r="P28" s="2" t="s">
        <v>3680</v>
      </c>
      <c r="Q28" s="2" t="str">
        <f>IF(Tabla1[[#This Row],[evaluacion_]]="","",IF(Tabla1[[#This Row],[evaluacion_]]=1,"Habilitado","No Habilitado"))</f>
        <v>Habilitado</v>
      </c>
      <c r="R28" s="2" t="str">
        <f>IF(Tabla1[[#This Row],[fecha]]="","",TEXT(Tabla1[[#This Row],[fecha]],"DMMAAAA")&amp;TEXT(Tabla1[[#This Row],[hora]],"HHmm"))</f>
        <v>110220261200</v>
      </c>
      <c r="S28" s="19" t="str">
        <f>_xlfn.CONCAT(Tabla1[[#This Row],[codigo_]],Tabla1[[#This Row],[correlativo_]])</f>
        <v>110220261200747</v>
      </c>
      <c r="T28" s="2" t="str">
        <f t="shared" si="0"/>
        <v>8 de julio del 2025</v>
      </c>
      <c r="U28" s="2" t="str">
        <f>_xlfn.XLOOKUP(Tabla1[[#This Row],[instructor_2]],diccionario_!$A$1:$A$11,diccionario_!$D$1:$D$11,,0)</f>
        <v>Marcelo Barrera A.</v>
      </c>
      <c r="V28" s="2" t="str">
        <f t="shared" si="1"/>
        <v>100%</v>
      </c>
      <c r="W28" s="2" t="s">
        <v>3691</v>
      </c>
    </row>
    <row r="29" spans="1:23" ht="16.5" customHeight="1">
      <c r="A29" s="2">
        <v>144</v>
      </c>
      <c r="B29" s="2" t="s">
        <v>7</v>
      </c>
      <c r="C29" s="2" t="s">
        <v>8</v>
      </c>
      <c r="D29" s="2" t="s">
        <v>9</v>
      </c>
      <c r="E29" s="11">
        <v>45846</v>
      </c>
      <c r="F29" s="14">
        <v>0.625</v>
      </c>
      <c r="G29" s="2" t="s">
        <v>2826</v>
      </c>
      <c r="H29" s="2" t="s">
        <v>2827</v>
      </c>
      <c r="I29" s="2" t="s">
        <v>11</v>
      </c>
      <c r="J29" s="2" t="s">
        <v>30</v>
      </c>
      <c r="K29" s="2" t="s">
        <v>37</v>
      </c>
      <c r="L29" s="2"/>
      <c r="M29" s="2"/>
      <c r="N29" s="7" t="s">
        <v>37</v>
      </c>
      <c r="O29" s="6">
        <v>1</v>
      </c>
      <c r="P29" s="2" t="s">
        <v>3680</v>
      </c>
      <c r="Q29" s="2" t="str">
        <f>IF(Tabla1[[#This Row],[evaluacion_]]="","",IF(Tabla1[[#This Row],[evaluacion_]]=1,"Habilitado","No Habilitado"))</f>
        <v>Habilitado</v>
      </c>
      <c r="R29" s="2" t="str">
        <f>IF(Tabla1[[#This Row],[fecha]]="","",TEXT(Tabla1[[#This Row],[fecha]],"DMMAAAA")&amp;TEXT(Tabla1[[#This Row],[hora]],"HHmm"))</f>
        <v>110220261150</v>
      </c>
      <c r="S29" s="19" t="str">
        <f>_xlfn.CONCAT(Tabla1[[#This Row],[codigo_]],Tabla1[[#This Row],[correlativo_]])</f>
        <v>110220261150748</v>
      </c>
      <c r="T29" s="2" t="str">
        <f t="shared" si="0"/>
        <v>8 de julio del 2025</v>
      </c>
      <c r="U29" s="2" t="str">
        <f>_xlfn.XLOOKUP(Tabla1[[#This Row],[instructor_2]],diccionario_!$A$1:$A$11,diccionario_!$D$1:$D$11,,0)</f>
        <v>Marcelo Barrera A.</v>
      </c>
      <c r="V29" s="2" t="str">
        <f t="shared" si="1"/>
        <v>100%</v>
      </c>
      <c r="W29" s="2" t="s">
        <v>3691</v>
      </c>
    </row>
    <row r="30" spans="1:23" ht="16.5" customHeight="1">
      <c r="A30" s="2">
        <v>145</v>
      </c>
      <c r="B30" s="2" t="s">
        <v>7</v>
      </c>
      <c r="C30" s="2" t="s">
        <v>8</v>
      </c>
      <c r="D30" s="2" t="s">
        <v>9</v>
      </c>
      <c r="E30" s="11">
        <v>45846</v>
      </c>
      <c r="F30" s="14">
        <v>0.625</v>
      </c>
      <c r="G30" s="2" t="s">
        <v>1689</v>
      </c>
      <c r="H30" s="2" t="s">
        <v>1690</v>
      </c>
      <c r="I30" s="2" t="s">
        <v>11</v>
      </c>
      <c r="J30" s="2" t="s">
        <v>30</v>
      </c>
      <c r="K30" s="2" t="s">
        <v>37</v>
      </c>
      <c r="L30" s="2"/>
      <c r="M30" s="2"/>
      <c r="N30" s="7" t="s">
        <v>37</v>
      </c>
      <c r="O30" s="6">
        <v>1</v>
      </c>
      <c r="P30" s="2" t="s">
        <v>3680</v>
      </c>
      <c r="Q30" s="2" t="str">
        <f>IF(Tabla1[[#This Row],[evaluacion_]]="","",IF(Tabla1[[#This Row],[evaluacion_]]=1,"Habilitado","No Habilitado"))</f>
        <v>Habilitado</v>
      </c>
      <c r="R30" s="2" t="str">
        <f>IF(Tabla1[[#This Row],[fecha]]="","",TEXT(Tabla1[[#This Row],[fecha]],"DMMAAAA")&amp;TEXT(Tabla1[[#This Row],[hora]],"HHmm"))</f>
        <v>100220261800</v>
      </c>
      <c r="S30" s="19" t="str">
        <f>_xlfn.CONCAT(Tabla1[[#This Row],[codigo_]],Tabla1[[#This Row],[correlativo_]])</f>
        <v>100220261800749</v>
      </c>
      <c r="T30" s="2" t="str">
        <f t="shared" si="0"/>
        <v>8 de julio del 2025</v>
      </c>
      <c r="U30" s="2" t="str">
        <f>_xlfn.XLOOKUP(Tabla1[[#This Row],[instructor_2]],diccionario_!$A$1:$A$11,diccionario_!$D$1:$D$11,,0)</f>
        <v>Marcelo Barrera A.</v>
      </c>
      <c r="V30" s="2" t="str">
        <f t="shared" si="1"/>
        <v>100%</v>
      </c>
      <c r="W30" s="2" t="s">
        <v>3691</v>
      </c>
    </row>
    <row r="31" spans="1:23" ht="16.5" customHeight="1">
      <c r="A31" s="2">
        <v>146</v>
      </c>
      <c r="B31" s="2" t="s">
        <v>7</v>
      </c>
      <c r="C31" s="2" t="s">
        <v>8</v>
      </c>
      <c r="D31" s="2" t="s">
        <v>9</v>
      </c>
      <c r="E31" s="11">
        <v>45846</v>
      </c>
      <c r="F31" s="14">
        <v>0.625</v>
      </c>
      <c r="G31" s="2" t="s">
        <v>857</v>
      </c>
      <c r="H31" s="2" t="s">
        <v>858</v>
      </c>
      <c r="I31" s="2" t="s">
        <v>11</v>
      </c>
      <c r="J31" s="2" t="s">
        <v>30</v>
      </c>
      <c r="K31" s="2" t="s">
        <v>37</v>
      </c>
      <c r="L31" s="2"/>
      <c r="M31" s="2"/>
      <c r="N31" s="7" t="s">
        <v>37</v>
      </c>
      <c r="O31" s="6">
        <v>1</v>
      </c>
      <c r="P31" s="2" t="s">
        <v>3680</v>
      </c>
      <c r="Q31" s="2" t="str">
        <f>IF(Tabla1[[#This Row],[evaluacion_]]="","",IF(Tabla1[[#This Row],[evaluacion_]]=1,"Habilitado","No Habilitado"))</f>
        <v>Habilitado</v>
      </c>
      <c r="R31" s="2" t="str">
        <f>IF(Tabla1[[#This Row],[fecha]]="","",TEXT(Tabla1[[#This Row],[fecha]],"DMMAAAA")&amp;TEXT(Tabla1[[#This Row],[hora]],"HHmm"))</f>
        <v/>
      </c>
      <c r="S31" s="19" t="str">
        <f>_xlfn.CONCAT(Tabla1[[#This Row],[codigo_]],Tabla1[[#This Row],[correlativo_]])</f>
        <v>750</v>
      </c>
      <c r="T31" s="2" t="str">
        <f t="shared" si="0"/>
        <v>8 de julio del 2025</v>
      </c>
      <c r="U31" s="2">
        <f>_xlfn.XLOOKUP(Tabla1[[#This Row],[instructor_2]],diccionario_!$A$1:$A$11,diccionario_!$D$1:$D$11,,0)</f>
        <v>0</v>
      </c>
      <c r="V31" s="2" t="str">
        <f t="shared" si="1"/>
        <v>100%</v>
      </c>
      <c r="W31" s="2" t="s">
        <v>3691</v>
      </c>
    </row>
    <row r="32" spans="1:23" ht="16.5" customHeight="1">
      <c r="A32" s="2">
        <v>147</v>
      </c>
      <c r="B32" s="2" t="s">
        <v>7</v>
      </c>
      <c r="C32" s="2" t="s">
        <v>8</v>
      </c>
      <c r="D32" s="2" t="s">
        <v>9</v>
      </c>
      <c r="E32" s="11">
        <v>45846</v>
      </c>
      <c r="F32" s="14">
        <v>0.625</v>
      </c>
      <c r="G32" s="2" t="s">
        <v>1923</v>
      </c>
      <c r="H32" s="2" t="s">
        <v>1924</v>
      </c>
      <c r="I32" s="2" t="s">
        <v>11</v>
      </c>
      <c r="J32" s="2" t="s">
        <v>30</v>
      </c>
      <c r="K32" s="2" t="s">
        <v>37</v>
      </c>
      <c r="L32" s="2"/>
      <c r="M32" s="2"/>
      <c r="N32" s="7" t="s">
        <v>37</v>
      </c>
      <c r="O32" s="6">
        <v>1</v>
      </c>
      <c r="P32" s="2" t="s">
        <v>3680</v>
      </c>
      <c r="Q32" s="2" t="str">
        <f>IF(Tabla1[[#This Row],[evaluacion_]]="","",IF(Tabla1[[#This Row],[evaluacion_]]=1,"Habilitado","No Habilitado"))</f>
        <v>Habilitado</v>
      </c>
      <c r="R32" s="2" t="str">
        <f>IF(Tabla1[[#This Row],[fecha]]="","",TEXT(Tabla1[[#This Row],[fecha]],"DMMAAAA")&amp;TEXT(Tabla1[[#This Row],[hora]],"HHmm"))</f>
        <v>271120251705</v>
      </c>
      <c r="S32" s="19" t="str">
        <f>_xlfn.CONCAT(Tabla1[[#This Row],[codigo_]],Tabla1[[#This Row],[correlativo_]])</f>
        <v>271120251705751</v>
      </c>
      <c r="T32" s="2" t="str">
        <f t="shared" si="0"/>
        <v>8 de julio del 2025</v>
      </c>
      <c r="U32" s="2" t="str">
        <f>_xlfn.XLOOKUP(Tabla1[[#This Row],[instructor_2]],diccionario_!$A$1:$A$11,diccionario_!$D$1:$D$11,,0)</f>
        <v>Daniel Carvajal B.</v>
      </c>
      <c r="V32" s="2" t="str">
        <f t="shared" si="1"/>
        <v>100%</v>
      </c>
      <c r="W32" s="2" t="s">
        <v>3691</v>
      </c>
    </row>
    <row r="33" spans="1:23" ht="16.5" customHeight="1">
      <c r="A33" s="2">
        <v>148</v>
      </c>
      <c r="B33" s="2" t="s">
        <v>7</v>
      </c>
      <c r="C33" s="2" t="s">
        <v>8</v>
      </c>
      <c r="D33" s="2" t="s">
        <v>9</v>
      </c>
      <c r="E33" s="11">
        <v>45846</v>
      </c>
      <c r="F33" s="14">
        <v>0.625</v>
      </c>
      <c r="G33" s="2" t="s">
        <v>1427</v>
      </c>
      <c r="H33" s="2" t="s">
        <v>1428</v>
      </c>
      <c r="I33" s="2" t="s">
        <v>11</v>
      </c>
      <c r="J33" s="2" t="s">
        <v>30</v>
      </c>
      <c r="K33" s="2" t="s">
        <v>37</v>
      </c>
      <c r="L33" s="2"/>
      <c r="M33" s="2"/>
      <c r="N33" s="7" t="s">
        <v>37</v>
      </c>
      <c r="O33" s="6">
        <v>1</v>
      </c>
      <c r="P33" s="2" t="s">
        <v>3680</v>
      </c>
      <c r="Q33" s="2" t="str">
        <f>IF(Tabla1[[#This Row],[evaluacion_]]="","",IF(Tabla1[[#This Row],[evaluacion_]]=1,"Habilitado","No Habilitado"))</f>
        <v>No Habilitado</v>
      </c>
      <c r="R33" s="2" t="str">
        <f>IF(Tabla1[[#This Row],[fecha]]="","",TEXT(Tabla1[[#This Row],[fecha]],"DMMAAAA")&amp;TEXT(Tabla1[[#This Row],[hora]],"HHmm"))</f>
        <v/>
      </c>
      <c r="S33" s="19" t="str">
        <f>_xlfn.CONCAT(Tabla1[[#This Row],[codigo_]],Tabla1[[#This Row],[correlativo_]])</f>
        <v>752</v>
      </c>
      <c r="T33" s="2" t="str">
        <f t="shared" si="0"/>
        <v>8 de julio del 2025</v>
      </c>
      <c r="U33" s="2" t="str">
        <f>_xlfn.XLOOKUP(Tabla1[[#This Row],[instructor_2]],diccionario_!$A$1:$A$11,diccionario_!$D$1:$D$11,,0)</f>
        <v>Daniel Carvajal B.</v>
      </c>
      <c r="V33" s="2" t="str">
        <f t="shared" si="1"/>
        <v>100%</v>
      </c>
      <c r="W33" s="2" t="s">
        <v>3691</v>
      </c>
    </row>
    <row r="34" spans="1:23" ht="16.5" customHeight="1">
      <c r="A34" s="2">
        <v>149</v>
      </c>
      <c r="B34" s="2" t="s">
        <v>7</v>
      </c>
      <c r="C34" s="2" t="s">
        <v>8</v>
      </c>
      <c r="D34" s="2" t="s">
        <v>9</v>
      </c>
      <c r="E34" s="11">
        <v>45846</v>
      </c>
      <c r="F34" s="14">
        <v>0.625</v>
      </c>
      <c r="G34" s="2" t="s">
        <v>3191</v>
      </c>
      <c r="H34" s="2" t="s">
        <v>3192</v>
      </c>
      <c r="I34" s="2" t="s">
        <v>11</v>
      </c>
      <c r="J34" s="2" t="s">
        <v>30</v>
      </c>
      <c r="K34" s="2" t="s">
        <v>37</v>
      </c>
      <c r="L34" s="2"/>
      <c r="M34" s="2"/>
      <c r="N34" s="7" t="s">
        <v>37</v>
      </c>
      <c r="O34" s="6">
        <v>1</v>
      </c>
      <c r="P34" s="2" t="s">
        <v>3680</v>
      </c>
      <c r="Q34" s="2" t="str">
        <f>IF(Tabla1[[#This Row],[evaluacion_]]="","",IF(Tabla1[[#This Row],[evaluacion_]]=1,"Habilitado","No Habilitado"))</f>
        <v>Habilitado</v>
      </c>
      <c r="R34" s="2" t="str">
        <f>IF(Tabla1[[#This Row],[fecha]]="","",TEXT(Tabla1[[#This Row],[fecha]],"DMMAAAA")&amp;TEXT(Tabla1[[#This Row],[hora]],"HHmm"))</f>
        <v>201120251726</v>
      </c>
      <c r="S34" s="19" t="str">
        <f>_xlfn.CONCAT(Tabla1[[#This Row],[codigo_]],Tabla1[[#This Row],[correlativo_]])</f>
        <v>201120251726753</v>
      </c>
      <c r="T34" s="2" t="str">
        <f t="shared" si="0"/>
        <v>8 de julio del 2025</v>
      </c>
      <c r="U34" s="2" t="str">
        <f>_xlfn.XLOOKUP(Tabla1[[#This Row],[instructor_2]],diccionario_!$A$1:$A$11,diccionario_!$D$1:$D$11,,0)</f>
        <v>Daniel Carvajal B.</v>
      </c>
      <c r="V34" s="2" t="str">
        <f t="shared" si="1"/>
        <v>100%</v>
      </c>
      <c r="W34" s="2" t="s">
        <v>3691</v>
      </c>
    </row>
    <row r="35" spans="1:23" ht="16.5" customHeight="1">
      <c r="A35" s="2">
        <v>150</v>
      </c>
      <c r="B35" s="2" t="s">
        <v>7</v>
      </c>
      <c r="C35" s="2" t="s">
        <v>8</v>
      </c>
      <c r="D35" s="2" t="s">
        <v>9</v>
      </c>
      <c r="E35" s="11">
        <v>45846</v>
      </c>
      <c r="F35" s="14">
        <v>0.625</v>
      </c>
      <c r="G35" s="2" t="s">
        <v>2007</v>
      </c>
      <c r="H35" s="2" t="s">
        <v>2008</v>
      </c>
      <c r="I35" s="2" t="s">
        <v>11</v>
      </c>
      <c r="J35" s="2" t="s">
        <v>30</v>
      </c>
      <c r="K35" s="2" t="s">
        <v>37</v>
      </c>
      <c r="L35" s="2"/>
      <c r="M35" s="2"/>
      <c r="N35" s="7" t="s">
        <v>37</v>
      </c>
      <c r="O35" s="6">
        <v>1</v>
      </c>
      <c r="P35" s="2" t="s">
        <v>3680</v>
      </c>
      <c r="Q35" s="2" t="str">
        <f>IF(Tabla1[[#This Row],[evaluacion_]]="","",IF(Tabla1[[#This Row],[evaluacion_]]=1,"Habilitado","No Habilitado"))</f>
        <v>Habilitado</v>
      </c>
      <c r="R35" s="2" t="str">
        <f>IF(Tabla1[[#This Row],[fecha]]="","",TEXT(Tabla1[[#This Row],[fecha]],"DMMAAAA")&amp;TEXT(Tabla1[[#This Row],[hora]],"HHmm"))</f>
        <v>271120251430</v>
      </c>
      <c r="S35" s="19" t="str">
        <f>_xlfn.CONCAT(Tabla1[[#This Row],[codigo_]],Tabla1[[#This Row],[correlativo_]])</f>
        <v>271120251430754</v>
      </c>
      <c r="T35" s="2" t="str">
        <f t="shared" si="0"/>
        <v>8 de julio del 2025</v>
      </c>
      <c r="U35" s="2" t="str">
        <f>_xlfn.XLOOKUP(Tabla1[[#This Row],[instructor_2]],diccionario_!$A$1:$A$11,diccionario_!$D$1:$D$11,,0)</f>
        <v>Daniel Carvajal B.</v>
      </c>
      <c r="V35" s="2" t="str">
        <f t="shared" si="1"/>
        <v>100%</v>
      </c>
      <c r="W35" s="2" t="s">
        <v>3691</v>
      </c>
    </row>
    <row r="36" spans="1:23" ht="16.5" customHeight="1">
      <c r="A36" s="2">
        <v>151</v>
      </c>
      <c r="B36" s="2" t="s">
        <v>7</v>
      </c>
      <c r="C36" s="2" t="s">
        <v>8</v>
      </c>
      <c r="D36" s="2" t="s">
        <v>9</v>
      </c>
      <c r="E36" s="11">
        <v>45846</v>
      </c>
      <c r="F36" s="14">
        <v>0.625</v>
      </c>
      <c r="G36" s="2" t="s">
        <v>565</v>
      </c>
      <c r="H36" s="2" t="s">
        <v>566</v>
      </c>
      <c r="I36" s="2" t="s">
        <v>11</v>
      </c>
      <c r="J36" s="2" t="s">
        <v>30</v>
      </c>
      <c r="K36" s="2" t="s">
        <v>37</v>
      </c>
      <c r="L36" s="2"/>
      <c r="M36" s="2"/>
      <c r="N36" s="7" t="s">
        <v>37</v>
      </c>
      <c r="O36" s="6">
        <v>1</v>
      </c>
      <c r="P36" s="2" t="s">
        <v>3680</v>
      </c>
      <c r="Q36" s="2" t="str">
        <f>IF(Tabla1[[#This Row],[evaluacion_]]="","",IF(Tabla1[[#This Row],[evaluacion_]]=1,"Habilitado","No Habilitado"))</f>
        <v>Habilitado</v>
      </c>
      <c r="R36" s="2" t="str">
        <f>IF(Tabla1[[#This Row],[fecha]]="","",TEXT(Tabla1[[#This Row],[fecha]],"DMMAAAA")&amp;TEXT(Tabla1[[#This Row],[hora]],"HHmm"))</f>
        <v>271120251546</v>
      </c>
      <c r="S36" s="19" t="str">
        <f>_xlfn.CONCAT(Tabla1[[#This Row],[codigo_]],Tabla1[[#This Row],[correlativo_]])</f>
        <v>271120251546755</v>
      </c>
      <c r="T36" s="2" t="str">
        <f t="shared" si="0"/>
        <v>8 de julio del 2025</v>
      </c>
      <c r="U36" s="2" t="str">
        <f>_xlfn.XLOOKUP(Tabla1[[#This Row],[instructor_2]],diccionario_!$A$1:$A$11,diccionario_!$D$1:$D$11,,0)</f>
        <v>Daniel Carvajal B.</v>
      </c>
      <c r="V36" s="2" t="str">
        <f t="shared" si="1"/>
        <v>100%</v>
      </c>
      <c r="W36" s="2" t="s">
        <v>3691</v>
      </c>
    </row>
    <row r="37" spans="1:23" ht="16.5" customHeight="1">
      <c r="A37" s="2">
        <v>152</v>
      </c>
      <c r="B37" s="2" t="s">
        <v>7</v>
      </c>
      <c r="C37" s="2" t="s">
        <v>8</v>
      </c>
      <c r="D37" s="2" t="s">
        <v>9</v>
      </c>
      <c r="E37" s="11">
        <v>45846</v>
      </c>
      <c r="F37" s="14">
        <v>0.625</v>
      </c>
      <c r="G37" s="2" t="s">
        <v>919</v>
      </c>
      <c r="H37" s="2" t="s">
        <v>920</v>
      </c>
      <c r="I37" s="2" t="s">
        <v>11</v>
      </c>
      <c r="J37" s="2" t="s">
        <v>30</v>
      </c>
      <c r="K37" s="2" t="s">
        <v>37</v>
      </c>
      <c r="L37" s="2"/>
      <c r="M37" s="2"/>
      <c r="N37" s="7" t="s">
        <v>37</v>
      </c>
      <c r="O37" s="6">
        <v>1</v>
      </c>
      <c r="P37" s="2" t="s">
        <v>3680</v>
      </c>
      <c r="Q37" s="2" t="str">
        <f>IF(Tabla1[[#This Row],[evaluacion_]]="","",IF(Tabla1[[#This Row],[evaluacion_]]=1,"Habilitado","No Habilitado"))</f>
        <v>Habilitado</v>
      </c>
      <c r="R37" s="2" t="str">
        <f>IF(Tabla1[[#This Row],[fecha]]="","",TEXT(Tabla1[[#This Row],[fecha]],"DMMAAAA")&amp;TEXT(Tabla1[[#This Row],[hora]],"HHmm"))</f>
        <v>271120251524</v>
      </c>
      <c r="S37" s="19" t="str">
        <f>_xlfn.CONCAT(Tabla1[[#This Row],[codigo_]],Tabla1[[#This Row],[correlativo_]])</f>
        <v>271120251524756</v>
      </c>
      <c r="T37" s="2" t="str">
        <f t="shared" si="0"/>
        <v>8 de julio del 2025</v>
      </c>
      <c r="U37" s="2" t="str">
        <f>_xlfn.XLOOKUP(Tabla1[[#This Row],[instructor_2]],diccionario_!$A$1:$A$11,diccionario_!$D$1:$D$11,,0)</f>
        <v>Daniel Carvajal B.</v>
      </c>
      <c r="V37" s="2" t="str">
        <f t="shared" si="1"/>
        <v>100%</v>
      </c>
      <c r="W37" s="2" t="s">
        <v>3691</v>
      </c>
    </row>
    <row r="38" spans="1:23" ht="16.5" customHeight="1">
      <c r="A38" s="2">
        <v>153</v>
      </c>
      <c r="B38" s="2" t="s">
        <v>7</v>
      </c>
      <c r="C38" s="2" t="s">
        <v>8</v>
      </c>
      <c r="D38" s="2" t="s">
        <v>9</v>
      </c>
      <c r="E38" s="11">
        <v>45847</v>
      </c>
      <c r="F38" s="14">
        <v>0.39583333333333298</v>
      </c>
      <c r="G38" s="2" t="s">
        <v>3189</v>
      </c>
      <c r="H38" s="2" t="s">
        <v>3190</v>
      </c>
      <c r="I38" s="2" t="s">
        <v>11</v>
      </c>
      <c r="J38" s="2" t="s">
        <v>30</v>
      </c>
      <c r="K38" s="2" t="s">
        <v>37</v>
      </c>
      <c r="L38" s="2"/>
      <c r="M38" s="2"/>
      <c r="N38" s="7" t="s">
        <v>37</v>
      </c>
      <c r="O38" s="6">
        <v>1</v>
      </c>
      <c r="P38" s="2" t="s">
        <v>3680</v>
      </c>
      <c r="Q38" s="2" t="str">
        <f>IF(Tabla1[[#This Row],[evaluacion_]]="","",IF(Tabla1[[#This Row],[evaluacion_]]=1,"Habilitado","No Habilitado"))</f>
        <v>Habilitado</v>
      </c>
      <c r="R38" s="2" t="str">
        <f>IF(Tabla1[[#This Row],[fecha]]="","",TEXT(Tabla1[[#This Row],[fecha]],"DMMAAAA")&amp;TEXT(Tabla1[[#This Row],[hora]],"HHmm"))</f>
        <v>271120251455</v>
      </c>
      <c r="S38" s="19" t="str">
        <f>_xlfn.CONCAT(Tabla1[[#This Row],[codigo_]],Tabla1[[#This Row],[correlativo_]])</f>
        <v>271120251455757</v>
      </c>
      <c r="T38" s="2" t="str">
        <f t="shared" si="0"/>
        <v>9 de julio del 2025</v>
      </c>
      <c r="U38" s="2" t="str">
        <f>_xlfn.XLOOKUP(Tabla1[[#This Row],[instructor_2]],diccionario_!$A$1:$A$11,diccionario_!$D$1:$D$11,,0)</f>
        <v>Daniel Carvajal B.</v>
      </c>
      <c r="V38" s="2" t="str">
        <f t="shared" si="1"/>
        <v>100%</v>
      </c>
      <c r="W38" s="2" t="s">
        <v>3691</v>
      </c>
    </row>
    <row r="39" spans="1:23" ht="16.5" customHeight="1">
      <c r="A39" s="2">
        <v>154</v>
      </c>
      <c r="B39" s="2" t="s">
        <v>7</v>
      </c>
      <c r="C39" s="2" t="s">
        <v>8</v>
      </c>
      <c r="D39" s="2" t="s">
        <v>9</v>
      </c>
      <c r="E39" s="11">
        <v>45847</v>
      </c>
      <c r="F39" s="14">
        <v>0.39583333333333298</v>
      </c>
      <c r="G39" s="2" t="s">
        <v>2075</v>
      </c>
      <c r="H39" s="2" t="s">
        <v>2076</v>
      </c>
      <c r="I39" s="2" t="s">
        <v>11</v>
      </c>
      <c r="J39" s="2" t="s">
        <v>30</v>
      </c>
      <c r="K39" s="2" t="s">
        <v>37</v>
      </c>
      <c r="L39" s="2"/>
      <c r="M39" s="2"/>
      <c r="N39" s="7" t="s">
        <v>37</v>
      </c>
      <c r="O39" s="6">
        <v>1</v>
      </c>
      <c r="P39" s="2" t="s">
        <v>3680</v>
      </c>
      <c r="Q39" s="2" t="str">
        <f>IF(Tabla1[[#This Row],[evaluacion_]]="","",IF(Tabla1[[#This Row],[evaluacion_]]=1,"Habilitado","No Habilitado"))</f>
        <v>Habilitado</v>
      </c>
      <c r="R39" s="2" t="str">
        <f>IF(Tabla1[[#This Row],[fecha]]="","",TEXT(Tabla1[[#This Row],[fecha]],"DMMAAAA")&amp;TEXT(Tabla1[[#This Row],[hora]],"HHmm"))</f>
        <v>121220251638</v>
      </c>
      <c r="S39" s="19" t="str">
        <f>_xlfn.CONCAT(Tabla1[[#This Row],[codigo_]],Tabla1[[#This Row],[correlativo_]])</f>
        <v>121220251638758</v>
      </c>
      <c r="T39" s="2" t="str">
        <f t="shared" si="0"/>
        <v>9 de julio del 2025</v>
      </c>
      <c r="U39" s="2" t="str">
        <f>_xlfn.XLOOKUP(Tabla1[[#This Row],[instructor_2]],diccionario_!$A$1:$A$11,diccionario_!$D$1:$D$11,,0)</f>
        <v>Daniel Carvajal B.</v>
      </c>
      <c r="V39" s="2" t="str">
        <f t="shared" si="1"/>
        <v>100%</v>
      </c>
      <c r="W39" s="2" t="s">
        <v>3691</v>
      </c>
    </row>
    <row r="40" spans="1:23" ht="16.5" customHeight="1">
      <c r="A40" s="2">
        <v>155</v>
      </c>
      <c r="B40" s="2" t="s">
        <v>7</v>
      </c>
      <c r="C40" s="2" t="s">
        <v>8</v>
      </c>
      <c r="D40" s="2" t="s">
        <v>9</v>
      </c>
      <c r="E40" s="11">
        <v>45847</v>
      </c>
      <c r="F40" s="14">
        <v>0.39583333333333298</v>
      </c>
      <c r="G40" s="2" t="s">
        <v>3694</v>
      </c>
      <c r="H40" s="2" t="s">
        <v>3695</v>
      </c>
      <c r="I40" s="2" t="s">
        <v>11</v>
      </c>
      <c r="J40" s="2" t="s">
        <v>30</v>
      </c>
      <c r="K40" s="2" t="s">
        <v>37</v>
      </c>
      <c r="L40" s="2"/>
      <c r="M40" s="2"/>
      <c r="N40" s="7" t="s">
        <v>37</v>
      </c>
      <c r="O40" s="6">
        <v>1</v>
      </c>
      <c r="P40" s="2" t="s">
        <v>3680</v>
      </c>
      <c r="Q40" s="2" t="str">
        <f>IF(Tabla1[[#This Row],[evaluacion_]]="","",IF(Tabla1[[#This Row],[evaluacion_]]=1,"Habilitado","No Habilitado"))</f>
        <v>Habilitado</v>
      </c>
      <c r="R40" s="2" t="str">
        <f>IF(Tabla1[[#This Row],[fecha]]="","",TEXT(Tabla1[[#This Row],[fecha]],"DMMAAAA")&amp;TEXT(Tabla1[[#This Row],[hora]],"HHmm"))</f>
        <v>121220251800</v>
      </c>
      <c r="S40" s="19" t="str">
        <f>_xlfn.CONCAT(Tabla1[[#This Row],[codigo_]],Tabla1[[#This Row],[correlativo_]])</f>
        <v>121220251800759</v>
      </c>
      <c r="T40" s="2" t="str">
        <f t="shared" si="0"/>
        <v>9 de julio del 2025</v>
      </c>
      <c r="U40" s="2" t="str">
        <f>_xlfn.XLOOKUP(Tabla1[[#This Row],[instructor_2]],diccionario_!$A$1:$A$11,diccionario_!$D$1:$D$11,,0)</f>
        <v>Daniel Carvajal B.</v>
      </c>
      <c r="V40" s="2" t="str">
        <f t="shared" si="1"/>
        <v>100%</v>
      </c>
      <c r="W40" s="2" t="s">
        <v>3691</v>
      </c>
    </row>
    <row r="41" spans="1:23" ht="16.5" customHeight="1">
      <c r="A41" s="2">
        <v>156</v>
      </c>
      <c r="B41" s="2" t="s">
        <v>7</v>
      </c>
      <c r="C41" s="2" t="s">
        <v>8</v>
      </c>
      <c r="D41" s="2" t="s">
        <v>9</v>
      </c>
      <c r="E41" s="11">
        <v>45847</v>
      </c>
      <c r="F41" s="14">
        <v>0.39583333333333298</v>
      </c>
      <c r="G41" s="2" t="s">
        <v>353</v>
      </c>
      <c r="H41" s="2" t="s">
        <v>354</v>
      </c>
      <c r="I41" s="2" t="s">
        <v>11</v>
      </c>
      <c r="J41" s="2" t="s">
        <v>30</v>
      </c>
      <c r="K41" s="2" t="s">
        <v>37</v>
      </c>
      <c r="L41" s="2"/>
      <c r="M41" s="2"/>
      <c r="N41" s="7" t="s">
        <v>37</v>
      </c>
      <c r="O41" s="6">
        <v>1</v>
      </c>
      <c r="P41" s="2" t="s">
        <v>3680</v>
      </c>
      <c r="Q41" s="2" t="str">
        <f>IF(Tabla1[[#This Row],[evaluacion_]]="","",IF(Tabla1[[#This Row],[evaluacion_]]=1,"Habilitado","No Habilitado"))</f>
        <v>Habilitado</v>
      </c>
      <c r="R41" s="2" t="str">
        <f>IF(Tabla1[[#This Row],[fecha]]="","",TEXT(Tabla1[[#This Row],[fecha]],"DMMAAAA")&amp;TEXT(Tabla1[[#This Row],[hora]],"HHmm"))</f>
        <v>41220251756</v>
      </c>
      <c r="S41" s="19" t="str">
        <f>_xlfn.CONCAT(Tabla1[[#This Row],[codigo_]],Tabla1[[#This Row],[correlativo_]])</f>
        <v>41220251756760</v>
      </c>
      <c r="T41" s="2" t="str">
        <f t="shared" si="0"/>
        <v>9 de julio del 2025</v>
      </c>
      <c r="U41" s="2" t="str">
        <f>_xlfn.XLOOKUP(Tabla1[[#This Row],[instructor_2]],diccionario_!$A$1:$A$11,diccionario_!$D$1:$D$11,,0)</f>
        <v>Daniel Carvajal B.</v>
      </c>
      <c r="V41" s="2" t="str">
        <f t="shared" si="1"/>
        <v>100%</v>
      </c>
      <c r="W41" s="2" t="s">
        <v>3691</v>
      </c>
    </row>
    <row r="42" spans="1:23" ht="16.5" customHeight="1">
      <c r="A42" s="2">
        <v>157</v>
      </c>
      <c r="B42" s="2" t="s">
        <v>7</v>
      </c>
      <c r="C42" s="2" t="s">
        <v>8</v>
      </c>
      <c r="D42" s="2" t="s">
        <v>9</v>
      </c>
      <c r="E42" s="11">
        <v>45847</v>
      </c>
      <c r="F42" s="14">
        <v>0.39583333333333298</v>
      </c>
      <c r="G42" s="2" t="s">
        <v>312</v>
      </c>
      <c r="H42" s="2" t="s">
        <v>313</v>
      </c>
      <c r="I42" s="2" t="s">
        <v>11</v>
      </c>
      <c r="J42" s="2" t="s">
        <v>30</v>
      </c>
      <c r="K42" s="2" t="s">
        <v>37</v>
      </c>
      <c r="L42" s="2"/>
      <c r="M42" s="2"/>
      <c r="N42" s="7" t="s">
        <v>37</v>
      </c>
      <c r="O42" s="6">
        <v>1</v>
      </c>
      <c r="P42" s="2" t="s">
        <v>3680</v>
      </c>
      <c r="Q42" s="2" t="str">
        <f>IF(Tabla1[[#This Row],[evaluacion_]]="","",IF(Tabla1[[#This Row],[evaluacion_]]=1,"Habilitado","No Habilitado"))</f>
        <v>Habilitado</v>
      </c>
      <c r="R42" s="2" t="str">
        <f>IF(Tabla1[[#This Row],[fecha]]="","",TEXT(Tabla1[[#This Row],[fecha]],"DMMAAAA")&amp;TEXT(Tabla1[[#This Row],[hora]],"HHmm"))</f>
        <v>221220251734</v>
      </c>
      <c r="S42" s="19" t="str">
        <f>_xlfn.CONCAT(Tabla1[[#This Row],[codigo_]],Tabla1[[#This Row],[correlativo_]])</f>
        <v>221220251734761</v>
      </c>
      <c r="T42" s="2" t="str">
        <f t="shared" si="0"/>
        <v>9 de julio del 2025</v>
      </c>
      <c r="U42" s="2" t="str">
        <f>_xlfn.XLOOKUP(Tabla1[[#This Row],[instructor_2]],diccionario_!$A$1:$A$11,diccionario_!$D$1:$D$11,,0)</f>
        <v>Daniel Carvajal B.</v>
      </c>
      <c r="V42" s="2" t="str">
        <f t="shared" si="1"/>
        <v>100%</v>
      </c>
      <c r="W42" s="2" t="s">
        <v>3691</v>
      </c>
    </row>
    <row r="43" spans="1:23" ht="16.5" customHeight="1">
      <c r="A43" s="2">
        <v>158</v>
      </c>
      <c r="B43" s="2" t="s">
        <v>7</v>
      </c>
      <c r="C43" s="2" t="s">
        <v>8</v>
      </c>
      <c r="D43" s="2" t="s">
        <v>9</v>
      </c>
      <c r="E43" s="11">
        <v>45847</v>
      </c>
      <c r="F43" s="14">
        <v>0.39583333333333298</v>
      </c>
      <c r="G43" s="2" t="s">
        <v>3305</v>
      </c>
      <c r="H43" s="2" t="s">
        <v>3306</v>
      </c>
      <c r="I43" s="2" t="s">
        <v>11</v>
      </c>
      <c r="J43" s="2" t="s">
        <v>30</v>
      </c>
      <c r="K43" s="2" t="s">
        <v>37</v>
      </c>
      <c r="L43" s="2"/>
      <c r="M43" s="2"/>
      <c r="N43" s="7" t="s">
        <v>37</v>
      </c>
      <c r="O43" s="6">
        <v>1</v>
      </c>
      <c r="P43" s="2" t="s">
        <v>3680</v>
      </c>
      <c r="Q43" s="2" t="str">
        <f>IF(Tabla1[[#This Row],[evaluacion_]]="","",IF(Tabla1[[#This Row],[evaluacion_]]=1,"Habilitado","No Habilitado"))</f>
        <v>Habilitado</v>
      </c>
      <c r="R43" s="2" t="str">
        <f>IF(Tabla1[[#This Row],[fecha]]="","",TEXT(Tabla1[[#This Row],[fecha]],"DMMAAAA")&amp;TEXT(Tabla1[[#This Row],[hora]],"HHmm"))</f>
        <v>221220251645</v>
      </c>
      <c r="S43" s="19" t="str">
        <f>_xlfn.CONCAT(Tabla1[[#This Row],[codigo_]],Tabla1[[#This Row],[correlativo_]])</f>
        <v>221220251645762</v>
      </c>
      <c r="T43" s="2" t="str">
        <f t="shared" si="0"/>
        <v>9 de julio del 2025</v>
      </c>
      <c r="U43" s="2" t="str">
        <f>_xlfn.XLOOKUP(Tabla1[[#This Row],[instructor_2]],diccionario_!$A$1:$A$11,diccionario_!$D$1:$D$11,,0)</f>
        <v>Daniel Carvajal B.</v>
      </c>
      <c r="V43" s="2" t="str">
        <f t="shared" si="1"/>
        <v>100%</v>
      </c>
      <c r="W43" s="2" t="s">
        <v>3691</v>
      </c>
    </row>
    <row r="44" spans="1:23" ht="16.5" customHeight="1">
      <c r="A44" s="2">
        <v>159</v>
      </c>
      <c r="B44" s="2" t="s">
        <v>7</v>
      </c>
      <c r="C44" s="2" t="s">
        <v>8</v>
      </c>
      <c r="D44" s="2" t="s">
        <v>9</v>
      </c>
      <c r="E44" s="11">
        <v>45847</v>
      </c>
      <c r="F44" s="14">
        <v>0.39583333333333298</v>
      </c>
      <c r="G44" s="2" t="s">
        <v>2272</v>
      </c>
      <c r="H44" s="2" t="s">
        <v>2273</v>
      </c>
      <c r="I44" s="2" t="s">
        <v>11</v>
      </c>
      <c r="J44" s="2" t="s">
        <v>30</v>
      </c>
      <c r="K44" s="2" t="s">
        <v>37</v>
      </c>
      <c r="L44" s="2"/>
      <c r="M44" s="2"/>
      <c r="N44" s="7" t="s">
        <v>37</v>
      </c>
      <c r="O44" s="6">
        <v>1</v>
      </c>
      <c r="P44" s="2" t="s">
        <v>3680</v>
      </c>
      <c r="Q44" s="2" t="str">
        <f>IF(Tabla1[[#This Row],[evaluacion_]]="","",IF(Tabla1[[#This Row],[evaluacion_]]=1,"Habilitado","No Habilitado"))</f>
        <v>Habilitado</v>
      </c>
      <c r="R44" s="2" t="str">
        <f>IF(Tabla1[[#This Row],[fecha]]="","",TEXT(Tabla1[[#This Row],[fecha]],"DMMAAAA")&amp;TEXT(Tabla1[[#This Row],[hora]],"HHmm"))</f>
        <v>191220251645</v>
      </c>
      <c r="S44" s="19" t="str">
        <f>_xlfn.CONCAT(Tabla1[[#This Row],[codigo_]],Tabla1[[#This Row],[correlativo_]])</f>
        <v>191220251645763</v>
      </c>
      <c r="T44" s="2" t="str">
        <f t="shared" si="0"/>
        <v>9 de julio del 2025</v>
      </c>
      <c r="U44" s="2" t="str">
        <f>_xlfn.XLOOKUP(Tabla1[[#This Row],[instructor_2]],diccionario_!$A$1:$A$11,diccionario_!$D$1:$D$11,,0)</f>
        <v>Daniel Carvajal B.</v>
      </c>
      <c r="V44" s="2" t="str">
        <f t="shared" si="1"/>
        <v>100%</v>
      </c>
      <c r="W44" s="2" t="s">
        <v>3691</v>
      </c>
    </row>
    <row r="45" spans="1:23" ht="16.5" customHeight="1">
      <c r="A45" s="2">
        <v>160</v>
      </c>
      <c r="B45" s="2" t="s">
        <v>7</v>
      </c>
      <c r="C45" s="2" t="s">
        <v>8</v>
      </c>
      <c r="D45" s="2" t="s">
        <v>9</v>
      </c>
      <c r="E45" s="11">
        <v>45847</v>
      </c>
      <c r="F45" s="14">
        <v>0.39583333333333298</v>
      </c>
      <c r="G45" s="2" t="s">
        <v>274</v>
      </c>
      <c r="H45" s="2" t="s">
        <v>275</v>
      </c>
      <c r="I45" s="2" t="s">
        <v>11</v>
      </c>
      <c r="J45" s="2" t="s">
        <v>30</v>
      </c>
      <c r="K45" s="2" t="s">
        <v>37</v>
      </c>
      <c r="L45" s="2"/>
      <c r="M45" s="2"/>
      <c r="N45" s="7" t="s">
        <v>37</v>
      </c>
      <c r="O45" s="6">
        <v>1</v>
      </c>
      <c r="P45" s="2" t="s">
        <v>3680</v>
      </c>
      <c r="Q45" s="2" t="str">
        <f>IF(Tabla1[[#This Row],[evaluacion_]]="","",IF(Tabla1[[#This Row],[evaluacion_]]=1,"Habilitado","No Habilitado"))</f>
        <v>Habilitado</v>
      </c>
      <c r="R45" s="2" t="str">
        <f>IF(Tabla1[[#This Row],[fecha]]="","",TEXT(Tabla1[[#This Row],[fecha]],"DMMAAAA")&amp;TEXT(Tabla1[[#This Row],[hora]],"HHmm"))</f>
        <v>161220251702</v>
      </c>
      <c r="S45" s="19" t="str">
        <f>_xlfn.CONCAT(Tabla1[[#This Row],[codigo_]],Tabla1[[#This Row],[correlativo_]])</f>
        <v>161220251702764</v>
      </c>
      <c r="T45" s="2" t="str">
        <f t="shared" si="0"/>
        <v>9 de julio del 2025</v>
      </c>
      <c r="U45" s="2" t="str">
        <f>_xlfn.XLOOKUP(Tabla1[[#This Row],[instructor_2]],diccionario_!$A$1:$A$11,diccionario_!$D$1:$D$11,,0)</f>
        <v>Daniel Carvajal B.</v>
      </c>
      <c r="V45" s="2" t="str">
        <f t="shared" si="1"/>
        <v>100%</v>
      </c>
      <c r="W45" s="2" t="s">
        <v>3691</v>
      </c>
    </row>
    <row r="46" spans="1:23" ht="16.5" customHeight="1">
      <c r="A46" s="2">
        <v>161</v>
      </c>
      <c r="B46" s="2" t="s">
        <v>7</v>
      </c>
      <c r="C46" s="2" t="s">
        <v>8</v>
      </c>
      <c r="D46" s="2" t="s">
        <v>9</v>
      </c>
      <c r="E46" s="11">
        <v>45847</v>
      </c>
      <c r="F46" s="14">
        <v>0.39583333333333298</v>
      </c>
      <c r="G46" s="2" t="s">
        <v>960</v>
      </c>
      <c r="H46" s="2" t="s">
        <v>961</v>
      </c>
      <c r="I46" s="2" t="s">
        <v>11</v>
      </c>
      <c r="J46" s="2" t="s">
        <v>30</v>
      </c>
      <c r="K46" s="2" t="s">
        <v>37</v>
      </c>
      <c r="L46" s="2"/>
      <c r="M46" s="2"/>
      <c r="N46" s="7" t="s">
        <v>37</v>
      </c>
      <c r="O46" s="6">
        <v>1</v>
      </c>
      <c r="P46" s="2" t="s">
        <v>3680</v>
      </c>
      <c r="Q46" s="2" t="str">
        <f>IF(Tabla1[[#This Row],[evaluacion_]]="","",IF(Tabla1[[#This Row],[evaluacion_]]=1,"Habilitado","No Habilitado"))</f>
        <v>Habilitado</v>
      </c>
      <c r="R46" s="2" t="str">
        <f>IF(Tabla1[[#This Row],[fecha]]="","",TEXT(Tabla1[[#This Row],[fecha]],"DMMAAAA")&amp;TEXT(Tabla1[[#This Row],[hora]],"HHmm"))</f>
        <v>181220251535</v>
      </c>
      <c r="S46" s="19" t="str">
        <f>_xlfn.CONCAT(Tabla1[[#This Row],[codigo_]],Tabla1[[#This Row],[correlativo_]])</f>
        <v>181220251535765</v>
      </c>
      <c r="T46" s="2" t="str">
        <f t="shared" si="0"/>
        <v>9 de julio del 2025</v>
      </c>
      <c r="U46" s="2" t="str">
        <f>_xlfn.XLOOKUP(Tabla1[[#This Row],[instructor_2]],diccionario_!$A$1:$A$11,diccionario_!$D$1:$D$11,,0)</f>
        <v>Daniel Carvajal B.</v>
      </c>
      <c r="V46" s="2" t="str">
        <f t="shared" si="1"/>
        <v>100%</v>
      </c>
      <c r="W46" s="2" t="s">
        <v>3691</v>
      </c>
    </row>
    <row r="47" spans="1:23" ht="16.5" customHeight="1">
      <c r="A47" s="2">
        <v>162</v>
      </c>
      <c r="B47" s="2" t="s">
        <v>7</v>
      </c>
      <c r="C47" s="2" t="s">
        <v>8</v>
      </c>
      <c r="D47" s="2" t="s">
        <v>9</v>
      </c>
      <c r="E47" s="11">
        <v>45847</v>
      </c>
      <c r="F47" s="14">
        <v>0.39583333333333298</v>
      </c>
      <c r="G47" s="2" t="s">
        <v>2077</v>
      </c>
      <c r="H47" s="2" t="s">
        <v>2078</v>
      </c>
      <c r="I47" s="2" t="s">
        <v>11</v>
      </c>
      <c r="J47" s="2" t="s">
        <v>30</v>
      </c>
      <c r="K47" s="2" t="s">
        <v>37</v>
      </c>
      <c r="L47" s="2"/>
      <c r="M47" s="2"/>
      <c r="N47" s="7" t="s">
        <v>37</v>
      </c>
      <c r="O47" s="6">
        <v>1</v>
      </c>
      <c r="P47" s="2" t="s">
        <v>3680</v>
      </c>
      <c r="Q47" s="2" t="str">
        <f>IF(Tabla1[[#This Row],[evaluacion_]]="","",IF(Tabla1[[#This Row],[evaluacion_]]=1,"Habilitado","No Habilitado"))</f>
        <v>Habilitado</v>
      </c>
      <c r="R47" s="2" t="str">
        <f>IF(Tabla1[[#This Row],[fecha]]="","",TEXT(Tabla1[[#This Row],[fecha]],"DMMAAAA")&amp;TEXT(Tabla1[[#This Row],[hora]],"HHmm"))</f>
        <v>151220251558</v>
      </c>
      <c r="S47" s="19" t="str">
        <f>_xlfn.CONCAT(Tabla1[[#This Row],[codigo_]],Tabla1[[#This Row],[correlativo_]])</f>
        <v>151220251558766</v>
      </c>
      <c r="T47" s="2" t="str">
        <f t="shared" si="0"/>
        <v>9 de julio del 2025</v>
      </c>
      <c r="U47" s="2" t="str">
        <f>_xlfn.XLOOKUP(Tabla1[[#This Row],[instructor_2]],diccionario_!$A$1:$A$11,diccionario_!$D$1:$D$11,,0)</f>
        <v>Daniel Carvajal B.</v>
      </c>
      <c r="V47" s="2" t="str">
        <f t="shared" si="1"/>
        <v>100%</v>
      </c>
      <c r="W47" s="2" t="s">
        <v>3691</v>
      </c>
    </row>
    <row r="48" spans="1:23" ht="16.5" customHeight="1">
      <c r="A48" s="2">
        <v>163</v>
      </c>
      <c r="B48" s="2" t="s">
        <v>7</v>
      </c>
      <c r="C48" s="2" t="s">
        <v>8</v>
      </c>
      <c r="D48" s="2" t="s">
        <v>9</v>
      </c>
      <c r="E48" s="11">
        <v>45847</v>
      </c>
      <c r="F48" s="14">
        <v>0.39583333333333298</v>
      </c>
      <c r="G48" s="2" t="s">
        <v>1879</v>
      </c>
      <c r="H48" s="2" t="s">
        <v>1880</v>
      </c>
      <c r="I48" s="2" t="s">
        <v>11</v>
      </c>
      <c r="J48" s="2" t="s">
        <v>30</v>
      </c>
      <c r="K48" s="2" t="s">
        <v>37</v>
      </c>
      <c r="L48" s="2"/>
      <c r="M48" s="2"/>
      <c r="N48" s="7" t="s">
        <v>37</v>
      </c>
      <c r="O48" s="6">
        <v>1</v>
      </c>
      <c r="P48" s="2" t="s">
        <v>3680</v>
      </c>
      <c r="Q48" s="2" t="str">
        <f>IF(Tabla1[[#This Row],[evaluacion_]]="","",IF(Tabla1[[#This Row],[evaluacion_]]=1,"Habilitado","No Habilitado"))</f>
        <v>Habilitado</v>
      </c>
      <c r="R48" s="2" t="str">
        <f>IF(Tabla1[[#This Row],[fecha]]="","",TEXT(Tabla1[[#This Row],[fecha]],"DMMAAAA")&amp;TEXT(Tabla1[[#This Row],[hora]],"HHmm"))</f>
        <v>91220251728</v>
      </c>
      <c r="S48" s="19" t="str">
        <f>_xlfn.CONCAT(Tabla1[[#This Row],[codigo_]],Tabla1[[#This Row],[correlativo_]])</f>
        <v>91220251728767</v>
      </c>
      <c r="T48" s="2" t="str">
        <f t="shared" si="0"/>
        <v>9 de julio del 2025</v>
      </c>
      <c r="U48" s="2" t="str">
        <f>_xlfn.XLOOKUP(Tabla1[[#This Row],[instructor_2]],diccionario_!$A$1:$A$11,diccionario_!$D$1:$D$11,,0)</f>
        <v>Daniel Carvajal B.</v>
      </c>
      <c r="V48" s="2" t="str">
        <f t="shared" si="1"/>
        <v>100%</v>
      </c>
      <c r="W48" s="2" t="s">
        <v>3691</v>
      </c>
    </row>
    <row r="49" spans="1:23" ht="16.5" customHeight="1">
      <c r="A49" s="2">
        <v>164</v>
      </c>
      <c r="B49" s="2" t="s">
        <v>7</v>
      </c>
      <c r="C49" s="2" t="s">
        <v>8</v>
      </c>
      <c r="D49" s="2" t="s">
        <v>9</v>
      </c>
      <c r="E49" s="11">
        <v>45847</v>
      </c>
      <c r="F49" s="14">
        <v>0.39583333333333298</v>
      </c>
      <c r="G49" s="2" t="s">
        <v>3358</v>
      </c>
      <c r="H49" s="2" t="s">
        <v>3359</v>
      </c>
      <c r="I49" s="2" t="s">
        <v>11</v>
      </c>
      <c r="J49" s="2" t="s">
        <v>30</v>
      </c>
      <c r="K49" s="2" t="s">
        <v>37</v>
      </c>
      <c r="L49" s="2"/>
      <c r="M49" s="2"/>
      <c r="N49" s="7" t="s">
        <v>37</v>
      </c>
      <c r="O49" s="6">
        <v>1</v>
      </c>
      <c r="P49" s="2" t="s">
        <v>3680</v>
      </c>
      <c r="Q49" s="2" t="str">
        <f>IF(Tabla1[[#This Row],[evaluacion_]]="","",IF(Tabla1[[#This Row],[evaluacion_]]=1,"Habilitado","No Habilitado"))</f>
        <v>Habilitado</v>
      </c>
      <c r="R49" s="2" t="str">
        <f>IF(Tabla1[[#This Row],[fecha]]="","",TEXT(Tabla1[[#This Row],[fecha]],"DMMAAAA")&amp;TEXT(Tabla1[[#This Row],[hora]],"HHmm"))</f>
        <v>91220251755</v>
      </c>
      <c r="S49" s="19" t="str">
        <f>_xlfn.CONCAT(Tabla1[[#This Row],[codigo_]],Tabla1[[#This Row],[correlativo_]])</f>
        <v>91220251755768</v>
      </c>
      <c r="T49" s="2" t="str">
        <f t="shared" si="0"/>
        <v>9 de julio del 2025</v>
      </c>
      <c r="U49" s="2" t="str">
        <f>_xlfn.XLOOKUP(Tabla1[[#This Row],[instructor_2]],diccionario_!$A$1:$A$11,diccionario_!$D$1:$D$11,,0)</f>
        <v>Daniel Carvajal B.</v>
      </c>
      <c r="V49" s="2" t="str">
        <f t="shared" si="1"/>
        <v>100%</v>
      </c>
      <c r="W49" s="2" t="s">
        <v>3691</v>
      </c>
    </row>
    <row r="50" spans="1:23" ht="16.5" customHeight="1">
      <c r="A50" s="2">
        <v>165</v>
      </c>
      <c r="B50" s="2" t="s">
        <v>7</v>
      </c>
      <c r="C50" s="2" t="s">
        <v>8</v>
      </c>
      <c r="D50" s="2" t="s">
        <v>9</v>
      </c>
      <c r="E50" s="11">
        <v>45847</v>
      </c>
      <c r="F50" s="14">
        <v>0.39583333333333298</v>
      </c>
      <c r="G50" s="2" t="s">
        <v>2165</v>
      </c>
      <c r="H50" s="2" t="s">
        <v>2166</v>
      </c>
      <c r="I50" s="2" t="s">
        <v>11</v>
      </c>
      <c r="J50" s="2" t="s">
        <v>30</v>
      </c>
      <c r="K50" s="2" t="s">
        <v>37</v>
      </c>
      <c r="L50" s="2"/>
      <c r="M50" s="2"/>
      <c r="N50" s="7" t="s">
        <v>37</v>
      </c>
      <c r="O50" s="6">
        <v>1</v>
      </c>
      <c r="P50" s="2" t="s">
        <v>3680</v>
      </c>
      <c r="Q50" s="2" t="str">
        <f>IF(Tabla1[[#This Row],[evaluacion_]]="","",IF(Tabla1[[#This Row],[evaluacion_]]=1,"Habilitado","No Habilitado"))</f>
        <v>Habilitado</v>
      </c>
      <c r="R50" s="2" t="str">
        <f>IF(Tabla1[[#This Row],[fecha]]="","",TEXT(Tabla1[[#This Row],[fecha]],"DMMAAAA")&amp;TEXT(Tabla1[[#This Row],[hora]],"HHmm"))</f>
        <v>160220261735</v>
      </c>
      <c r="S50" s="19" t="str">
        <f>_xlfn.CONCAT(Tabla1[[#This Row],[codigo_]],Tabla1[[#This Row],[correlativo_]])</f>
        <v>160220261735769</v>
      </c>
      <c r="T50" s="2" t="str">
        <f t="shared" si="0"/>
        <v>9 de julio del 2025</v>
      </c>
      <c r="U50" s="2" t="str">
        <f>_xlfn.XLOOKUP(Tabla1[[#This Row],[instructor_2]],diccionario_!$A$1:$A$11,diccionario_!$D$1:$D$11,,0)</f>
        <v>Daniel Carvajal B.</v>
      </c>
      <c r="V50" s="2" t="str">
        <f t="shared" si="1"/>
        <v>100%</v>
      </c>
      <c r="W50" s="2" t="s">
        <v>3691</v>
      </c>
    </row>
    <row r="51" spans="1:23" ht="16.5" customHeight="1">
      <c r="A51" s="2">
        <v>166</v>
      </c>
      <c r="B51" s="2" t="s">
        <v>7</v>
      </c>
      <c r="C51" s="2" t="s">
        <v>8</v>
      </c>
      <c r="D51" s="2" t="s">
        <v>9</v>
      </c>
      <c r="E51" s="11">
        <v>45847</v>
      </c>
      <c r="F51" s="14">
        <v>0.39583333333333298</v>
      </c>
      <c r="G51" s="2" t="s">
        <v>755</v>
      </c>
      <c r="H51" s="2" t="s">
        <v>756</v>
      </c>
      <c r="I51" s="2" t="s">
        <v>11</v>
      </c>
      <c r="J51" s="2" t="s">
        <v>30</v>
      </c>
      <c r="K51" s="2" t="s">
        <v>37</v>
      </c>
      <c r="L51" s="2"/>
      <c r="M51" s="2"/>
      <c r="N51" s="7" t="s">
        <v>37</v>
      </c>
      <c r="O51" s="6">
        <v>1</v>
      </c>
      <c r="P51" s="2" t="s">
        <v>3680</v>
      </c>
      <c r="Q51" s="2" t="str">
        <f>IF(Tabla1[[#This Row],[evaluacion_]]="","",IF(Tabla1[[#This Row],[evaluacion_]]=1,"Habilitado","No Habilitado"))</f>
        <v>Habilitado</v>
      </c>
      <c r="R51" s="2" t="str">
        <f>IF(Tabla1[[#This Row],[fecha]]="","",TEXT(Tabla1[[#This Row],[fecha]],"DMMAAAA")&amp;TEXT(Tabla1[[#This Row],[hora]],"HHmm"))</f>
        <v>161020251748</v>
      </c>
      <c r="S51" s="19" t="str">
        <f>_xlfn.CONCAT(Tabla1[[#This Row],[codigo_]],Tabla1[[#This Row],[correlativo_]])</f>
        <v>161020251748770</v>
      </c>
      <c r="T51" s="2" t="str">
        <f t="shared" si="0"/>
        <v>9 de julio del 2025</v>
      </c>
      <c r="U51" s="2" t="str">
        <f>_xlfn.XLOOKUP(Tabla1[[#This Row],[instructor_2]],diccionario_!$A$1:$A$11,diccionario_!$D$1:$D$11,,0)</f>
        <v>Daniel Carvajal B.</v>
      </c>
      <c r="V51" s="2" t="str">
        <f t="shared" si="1"/>
        <v>100%</v>
      </c>
      <c r="W51" s="2" t="s">
        <v>3691</v>
      </c>
    </row>
    <row r="52" spans="1:23" ht="16.5" customHeight="1">
      <c r="A52" s="2">
        <v>167</v>
      </c>
      <c r="B52" s="2" t="s">
        <v>7</v>
      </c>
      <c r="C52" s="2" t="s">
        <v>8</v>
      </c>
      <c r="D52" s="2" t="s">
        <v>9</v>
      </c>
      <c r="E52" s="11">
        <v>45847</v>
      </c>
      <c r="F52" s="14">
        <v>0.39583333333333298</v>
      </c>
      <c r="G52" s="2" t="s">
        <v>471</v>
      </c>
      <c r="H52" s="2" t="s">
        <v>472</v>
      </c>
      <c r="I52" s="2" t="s">
        <v>11</v>
      </c>
      <c r="J52" s="2" t="s">
        <v>30</v>
      </c>
      <c r="K52" s="2" t="s">
        <v>37</v>
      </c>
      <c r="L52" s="2"/>
      <c r="M52" s="2"/>
      <c r="N52" s="7" t="s">
        <v>37</v>
      </c>
      <c r="O52" s="6">
        <v>1</v>
      </c>
      <c r="P52" s="2" t="s">
        <v>3680</v>
      </c>
      <c r="Q52" s="2" t="str">
        <f>IF(Tabla1[[#This Row],[evaluacion_]]="","",IF(Tabla1[[#This Row],[evaluacion_]]=1,"Habilitado","No Habilitado"))</f>
        <v>Habilitado</v>
      </c>
      <c r="R52" s="2" t="str">
        <f>IF(Tabla1[[#This Row],[fecha]]="","",TEXT(Tabla1[[#This Row],[fecha]],"DMMAAAA")&amp;TEXT(Tabla1[[#This Row],[hora]],"HHmm"))</f>
        <v>221220251718</v>
      </c>
      <c r="S52" s="19" t="str">
        <f>_xlfn.CONCAT(Tabla1[[#This Row],[codigo_]],Tabla1[[#This Row],[correlativo_]])</f>
        <v>221220251718771</v>
      </c>
      <c r="T52" s="2" t="str">
        <f t="shared" si="0"/>
        <v>9 de julio del 2025</v>
      </c>
      <c r="U52" s="2" t="str">
        <f>_xlfn.XLOOKUP(Tabla1[[#This Row],[instructor_2]],diccionario_!$A$1:$A$11,diccionario_!$D$1:$D$11,,0)</f>
        <v>Daniel Carvajal B.</v>
      </c>
      <c r="V52" s="2" t="str">
        <f t="shared" si="1"/>
        <v>100%</v>
      </c>
      <c r="W52" s="2" t="s">
        <v>3691</v>
      </c>
    </row>
    <row r="53" spans="1:23" ht="16.5" customHeight="1">
      <c r="A53" s="2">
        <v>168</v>
      </c>
      <c r="B53" s="2" t="s">
        <v>7</v>
      </c>
      <c r="C53" s="2" t="s">
        <v>8</v>
      </c>
      <c r="D53" s="2" t="s">
        <v>9</v>
      </c>
      <c r="E53" s="11">
        <v>45847</v>
      </c>
      <c r="F53" s="14">
        <v>0.39583333333333298</v>
      </c>
      <c r="G53" s="2" t="s">
        <v>2673</v>
      </c>
      <c r="H53" s="2" t="s">
        <v>2674</v>
      </c>
      <c r="I53" s="2" t="s">
        <v>11</v>
      </c>
      <c r="J53" s="2" t="s">
        <v>30</v>
      </c>
      <c r="K53" s="2" t="s">
        <v>37</v>
      </c>
      <c r="L53" s="2"/>
      <c r="M53" s="2"/>
      <c r="N53" s="7" t="s">
        <v>37</v>
      </c>
      <c r="O53" s="6">
        <v>1</v>
      </c>
      <c r="P53" s="2" t="s">
        <v>3680</v>
      </c>
      <c r="Q53" s="2" t="str">
        <f>IF(Tabla1[[#This Row],[evaluacion_]]="","",IF(Tabla1[[#This Row],[evaluacion_]]=1,"Habilitado","No Habilitado"))</f>
        <v>Habilitado</v>
      </c>
      <c r="R53" s="2" t="str">
        <f>IF(Tabla1[[#This Row],[fecha]]="","",TEXT(Tabla1[[#This Row],[fecha]],"DMMAAAA")&amp;TEXT(Tabla1[[#This Row],[hora]],"HHmm"))</f>
        <v>61120251708</v>
      </c>
      <c r="S53" s="19" t="str">
        <f>_xlfn.CONCAT(Tabla1[[#This Row],[codigo_]],Tabla1[[#This Row],[correlativo_]])</f>
        <v>61120251708772</v>
      </c>
      <c r="T53" s="2" t="str">
        <f t="shared" si="0"/>
        <v>9 de julio del 2025</v>
      </c>
      <c r="U53" s="2" t="str">
        <f>_xlfn.XLOOKUP(Tabla1[[#This Row],[instructor_2]],diccionario_!$A$1:$A$11,diccionario_!$D$1:$D$11,,0)</f>
        <v>Daniel Carvajal B.</v>
      </c>
      <c r="V53" s="2" t="str">
        <f t="shared" si="1"/>
        <v>100%</v>
      </c>
      <c r="W53" s="2" t="s">
        <v>3691</v>
      </c>
    </row>
    <row r="54" spans="1:23" ht="16.5" customHeight="1">
      <c r="A54" s="2">
        <v>169</v>
      </c>
      <c r="B54" s="2" t="s">
        <v>7</v>
      </c>
      <c r="C54" s="2" t="s">
        <v>8</v>
      </c>
      <c r="D54" s="2" t="s">
        <v>9</v>
      </c>
      <c r="E54" s="11">
        <v>45847</v>
      </c>
      <c r="F54" s="14">
        <v>0.39583333333333298</v>
      </c>
      <c r="G54" s="2" t="s">
        <v>1206</v>
      </c>
      <c r="H54" s="2" t="s">
        <v>1207</v>
      </c>
      <c r="I54" s="2" t="s">
        <v>11</v>
      </c>
      <c r="J54" s="2" t="s">
        <v>30</v>
      </c>
      <c r="K54" s="2" t="s">
        <v>37</v>
      </c>
      <c r="L54" s="2"/>
      <c r="M54" s="2"/>
      <c r="N54" s="7" t="s">
        <v>37</v>
      </c>
      <c r="O54" s="6">
        <v>1</v>
      </c>
      <c r="P54" s="2" t="s">
        <v>3680</v>
      </c>
      <c r="Q54" s="2" t="str">
        <f>IF(Tabla1[[#This Row],[evaluacion_]]="","",IF(Tabla1[[#This Row],[evaluacion_]]=1,"Habilitado","No Habilitado"))</f>
        <v>Habilitado</v>
      </c>
      <c r="R54" s="2" t="str">
        <f>IF(Tabla1[[#This Row],[fecha]]="","",TEXT(Tabla1[[#This Row],[fecha]],"DMMAAAA")&amp;TEXT(Tabla1[[#This Row],[hora]],"HHmm"))</f>
        <v>61120251709</v>
      </c>
      <c r="S54" s="19" t="str">
        <f>_xlfn.CONCAT(Tabla1[[#This Row],[codigo_]],Tabla1[[#This Row],[correlativo_]])</f>
        <v>61120251709773</v>
      </c>
      <c r="T54" s="2" t="str">
        <f t="shared" si="0"/>
        <v>9 de julio del 2025</v>
      </c>
      <c r="U54" s="2" t="str">
        <f>_xlfn.XLOOKUP(Tabla1[[#This Row],[instructor_2]],diccionario_!$A$1:$A$11,diccionario_!$D$1:$D$11,,0)</f>
        <v>Daniel Carvajal B.</v>
      </c>
      <c r="V54" s="2" t="str">
        <f t="shared" si="1"/>
        <v>100%</v>
      </c>
      <c r="W54" s="2" t="s">
        <v>3691</v>
      </c>
    </row>
    <row r="55" spans="1:23" ht="16.5" customHeight="1">
      <c r="A55" s="2">
        <v>170</v>
      </c>
      <c r="B55" s="2" t="s">
        <v>7</v>
      </c>
      <c r="C55" s="2" t="s">
        <v>8</v>
      </c>
      <c r="D55" s="2" t="s">
        <v>9</v>
      </c>
      <c r="E55" s="11">
        <v>45847</v>
      </c>
      <c r="F55" s="14">
        <v>0.39583333333333298</v>
      </c>
      <c r="G55" s="2" t="s">
        <v>3696</v>
      </c>
      <c r="H55" s="2" t="s">
        <v>3697</v>
      </c>
      <c r="I55" s="2" t="s">
        <v>11</v>
      </c>
      <c r="J55" s="2" t="s">
        <v>30</v>
      </c>
      <c r="K55" s="2" t="s">
        <v>37</v>
      </c>
      <c r="L55" s="2"/>
      <c r="M55" s="2"/>
      <c r="N55" s="7" t="s">
        <v>37</v>
      </c>
      <c r="O55" s="6">
        <v>1</v>
      </c>
      <c r="P55" s="2" t="s">
        <v>3680</v>
      </c>
      <c r="Q55" s="2" t="str">
        <f>IF(Tabla1[[#This Row],[evaluacion_]]="","",IF(Tabla1[[#This Row],[evaluacion_]]=1,"Habilitado","No Habilitado"))</f>
        <v>Habilitado</v>
      </c>
      <c r="R55" s="2" t="str">
        <f>IF(Tabla1[[#This Row],[fecha]]="","",TEXT(Tabla1[[#This Row],[fecha]],"DMMAAAA")&amp;TEXT(Tabla1[[#This Row],[hora]],"HHmm"))</f>
        <v>61120251710</v>
      </c>
      <c r="S55" s="19" t="str">
        <f>_xlfn.CONCAT(Tabla1[[#This Row],[codigo_]],Tabla1[[#This Row],[correlativo_]])</f>
        <v>61120251710774</v>
      </c>
      <c r="T55" s="2" t="str">
        <f t="shared" si="0"/>
        <v>9 de julio del 2025</v>
      </c>
      <c r="U55" s="2" t="str">
        <f>_xlfn.XLOOKUP(Tabla1[[#This Row],[instructor_2]],diccionario_!$A$1:$A$11,diccionario_!$D$1:$D$11,,0)</f>
        <v>Daniel Carvajal B.</v>
      </c>
      <c r="V55" s="2" t="str">
        <f t="shared" si="1"/>
        <v>100%</v>
      </c>
      <c r="W55" s="2" t="s">
        <v>3691</v>
      </c>
    </row>
    <row r="56" spans="1:23" ht="16.5" customHeight="1">
      <c r="A56" s="2">
        <v>171</v>
      </c>
      <c r="B56" s="2" t="s">
        <v>7</v>
      </c>
      <c r="C56" s="2" t="s">
        <v>8</v>
      </c>
      <c r="D56" s="2" t="s">
        <v>9</v>
      </c>
      <c r="E56" s="11">
        <v>45847</v>
      </c>
      <c r="F56" s="14">
        <v>0.39583333333333298</v>
      </c>
      <c r="G56" s="2" t="s">
        <v>915</v>
      </c>
      <c r="H56" s="2" t="s">
        <v>916</v>
      </c>
      <c r="I56" s="2" t="s">
        <v>11</v>
      </c>
      <c r="J56" s="2" t="s">
        <v>30</v>
      </c>
      <c r="K56" s="2" t="s">
        <v>37</v>
      </c>
      <c r="L56" s="2"/>
      <c r="M56" s="2"/>
      <c r="N56" s="7" t="s">
        <v>37</v>
      </c>
      <c r="O56" s="6">
        <v>1</v>
      </c>
      <c r="P56" s="2" t="s">
        <v>3680</v>
      </c>
      <c r="Q56" s="2" t="str">
        <f>IF(Tabla1[[#This Row],[evaluacion_]]="","",IF(Tabla1[[#This Row],[evaluacion_]]=1,"Habilitado","No Habilitado"))</f>
        <v>Habilitado</v>
      </c>
      <c r="R56" s="2" t="str">
        <f>IF(Tabla1[[#This Row],[fecha]]="","",TEXT(Tabla1[[#This Row],[fecha]],"DMMAAAA")&amp;TEXT(Tabla1[[#This Row],[hora]],"HHmm"))</f>
        <v>61120251711</v>
      </c>
      <c r="S56" s="19" t="str">
        <f>_xlfn.CONCAT(Tabla1[[#This Row],[codigo_]],Tabla1[[#This Row],[correlativo_]])</f>
        <v>61120251711775</v>
      </c>
      <c r="T56" s="2" t="str">
        <f t="shared" si="0"/>
        <v>9 de julio del 2025</v>
      </c>
      <c r="U56" s="2" t="str">
        <f>_xlfn.XLOOKUP(Tabla1[[#This Row],[instructor_2]],diccionario_!$A$1:$A$11,diccionario_!$D$1:$D$11,,0)</f>
        <v>Daniel Carvajal B.</v>
      </c>
      <c r="V56" s="2" t="str">
        <f t="shared" si="1"/>
        <v>100%</v>
      </c>
      <c r="W56" s="2" t="s">
        <v>3691</v>
      </c>
    </row>
    <row r="57" spans="1:23" ht="16.5" customHeight="1">
      <c r="A57" s="2">
        <v>172</v>
      </c>
      <c r="B57" s="2" t="s">
        <v>7</v>
      </c>
      <c r="C57" s="2" t="s">
        <v>8</v>
      </c>
      <c r="D57" s="2" t="s">
        <v>9</v>
      </c>
      <c r="E57" s="11">
        <v>45847</v>
      </c>
      <c r="F57" s="14">
        <v>0.39583333333333298</v>
      </c>
      <c r="G57" s="2" t="s">
        <v>2423</v>
      </c>
      <c r="H57" s="2" t="s">
        <v>2424</v>
      </c>
      <c r="I57" s="2" t="s">
        <v>11</v>
      </c>
      <c r="J57" s="2" t="s">
        <v>30</v>
      </c>
      <c r="K57" s="2" t="s">
        <v>37</v>
      </c>
      <c r="L57" s="2"/>
      <c r="M57" s="2"/>
      <c r="N57" s="7" t="s">
        <v>37</v>
      </c>
      <c r="O57" s="6">
        <v>1</v>
      </c>
      <c r="P57" s="2" t="s">
        <v>3680</v>
      </c>
      <c r="Q57" s="2" t="str">
        <f>IF(Tabla1[[#This Row],[evaluacion_]]="","",IF(Tabla1[[#This Row],[evaluacion_]]=1,"Habilitado","No Habilitado"))</f>
        <v>Habilitado</v>
      </c>
      <c r="R57" s="2" t="str">
        <f>IF(Tabla1[[#This Row],[fecha]]="","",TEXT(Tabla1[[#This Row],[fecha]],"DMMAAAA")&amp;TEXT(Tabla1[[#This Row],[hora]],"HHmm"))</f>
        <v>31020251723</v>
      </c>
      <c r="S57" s="19" t="str">
        <f>_xlfn.CONCAT(Tabla1[[#This Row],[codigo_]],Tabla1[[#This Row],[correlativo_]])</f>
        <v>31020251723776</v>
      </c>
      <c r="T57" s="2" t="str">
        <f t="shared" si="0"/>
        <v>9 de julio del 2025</v>
      </c>
      <c r="U57" s="2" t="str">
        <f>_xlfn.XLOOKUP(Tabla1[[#This Row],[instructor_2]],diccionario_!$A$1:$A$11,diccionario_!$D$1:$D$11,,0)</f>
        <v>Daniel Carvajal B.</v>
      </c>
      <c r="V57" s="2" t="str">
        <f t="shared" si="1"/>
        <v>100%</v>
      </c>
      <c r="W57" s="2" t="s">
        <v>3691</v>
      </c>
    </row>
    <row r="58" spans="1:23" ht="16.5" customHeight="1">
      <c r="A58" s="2">
        <v>173</v>
      </c>
      <c r="B58" s="2" t="s">
        <v>7</v>
      </c>
      <c r="C58" s="2" t="s">
        <v>8</v>
      </c>
      <c r="D58" s="2" t="s">
        <v>9</v>
      </c>
      <c r="E58" s="11">
        <v>45847</v>
      </c>
      <c r="F58" s="14">
        <v>0.39583333333333298</v>
      </c>
      <c r="G58" s="2" t="s">
        <v>591</v>
      </c>
      <c r="H58" s="2" t="s">
        <v>592</v>
      </c>
      <c r="I58" s="2" t="s">
        <v>11</v>
      </c>
      <c r="J58" s="2" t="s">
        <v>30</v>
      </c>
      <c r="K58" s="2" t="s">
        <v>37</v>
      </c>
      <c r="L58" s="2"/>
      <c r="M58" s="2"/>
      <c r="N58" s="7" t="s">
        <v>37</v>
      </c>
      <c r="O58" s="6">
        <v>1</v>
      </c>
      <c r="P58" s="2" t="s">
        <v>3680</v>
      </c>
      <c r="Q58" s="2" t="str">
        <f>IF(Tabla1[[#This Row],[evaluacion_]]="","",IF(Tabla1[[#This Row],[evaluacion_]]=1,"Habilitado","No Habilitado"))</f>
        <v>Habilitado</v>
      </c>
      <c r="R58" s="2" t="str">
        <f>IF(Tabla1[[#This Row],[fecha]]="","",TEXT(Tabla1[[#This Row],[fecha]],"DMMAAAA")&amp;TEXT(Tabla1[[#This Row],[hora]],"HHmm"))</f>
        <v>31020251712</v>
      </c>
      <c r="S58" s="19" t="str">
        <f>_xlfn.CONCAT(Tabla1[[#This Row],[codigo_]],Tabla1[[#This Row],[correlativo_]])</f>
        <v>31020251712777</v>
      </c>
      <c r="T58" s="2" t="str">
        <f t="shared" si="0"/>
        <v>9 de julio del 2025</v>
      </c>
      <c r="U58" s="2" t="str">
        <f>_xlfn.XLOOKUP(Tabla1[[#This Row],[instructor_2]],diccionario_!$A$1:$A$11,diccionario_!$D$1:$D$11,,0)</f>
        <v>Daniel Carvajal B.</v>
      </c>
      <c r="V58" s="2" t="str">
        <f t="shared" si="1"/>
        <v>100%</v>
      </c>
      <c r="W58" s="2" t="s">
        <v>3691</v>
      </c>
    </row>
    <row r="59" spans="1:23" ht="16.5" customHeight="1">
      <c r="A59" s="2">
        <v>174</v>
      </c>
      <c r="B59" s="2" t="s">
        <v>7</v>
      </c>
      <c r="C59" s="2" t="s">
        <v>8</v>
      </c>
      <c r="D59" s="2" t="s">
        <v>9</v>
      </c>
      <c r="E59" s="11">
        <v>45847</v>
      </c>
      <c r="F59" s="14">
        <v>0.39583333333333298</v>
      </c>
      <c r="G59" s="2" t="s">
        <v>2009</v>
      </c>
      <c r="H59" s="2" t="s">
        <v>2010</v>
      </c>
      <c r="I59" s="2" t="s">
        <v>11</v>
      </c>
      <c r="J59" s="2" t="s">
        <v>30</v>
      </c>
      <c r="K59" s="2" t="s">
        <v>37</v>
      </c>
      <c r="L59" s="2"/>
      <c r="M59" s="2"/>
      <c r="N59" s="7" t="s">
        <v>37</v>
      </c>
      <c r="O59" s="6">
        <v>1</v>
      </c>
      <c r="P59" s="2" t="s">
        <v>3680</v>
      </c>
      <c r="Q59" s="2" t="str">
        <f>IF(Tabla1[[#This Row],[evaluacion_]]="","",IF(Tabla1[[#This Row],[evaluacion_]]=1,"Habilitado","No Habilitado"))</f>
        <v>Habilitado</v>
      </c>
      <c r="R59" s="2" t="str">
        <f>IF(Tabla1[[#This Row],[fecha]]="","",TEXT(Tabla1[[#This Row],[fecha]],"DMMAAAA")&amp;TEXT(Tabla1[[#This Row],[hora]],"HHmm"))</f>
        <v>11020251718</v>
      </c>
      <c r="S59" s="19" t="str">
        <f>_xlfn.CONCAT(Tabla1[[#This Row],[codigo_]],Tabla1[[#This Row],[correlativo_]])</f>
        <v>11020251718778</v>
      </c>
      <c r="T59" s="2" t="str">
        <f t="shared" si="0"/>
        <v>9 de julio del 2025</v>
      </c>
      <c r="U59" s="2" t="str">
        <f>_xlfn.XLOOKUP(Tabla1[[#This Row],[instructor_2]],diccionario_!$A$1:$A$11,diccionario_!$D$1:$D$11,,0)</f>
        <v>Daniel Carvajal B.</v>
      </c>
      <c r="V59" s="2" t="str">
        <f t="shared" si="1"/>
        <v>100%</v>
      </c>
      <c r="W59" s="2" t="s">
        <v>3691</v>
      </c>
    </row>
    <row r="60" spans="1:23" ht="16.5" customHeight="1">
      <c r="A60" s="2">
        <v>175</v>
      </c>
      <c r="B60" s="2" t="s">
        <v>7</v>
      </c>
      <c r="C60" s="2" t="s">
        <v>8</v>
      </c>
      <c r="D60" s="2" t="s">
        <v>9</v>
      </c>
      <c r="E60" s="11">
        <v>45847</v>
      </c>
      <c r="F60" s="14">
        <v>0.39583333333333298</v>
      </c>
      <c r="G60" s="2" t="s">
        <v>308</v>
      </c>
      <c r="H60" s="2" t="s">
        <v>309</v>
      </c>
      <c r="I60" s="2" t="s">
        <v>11</v>
      </c>
      <c r="J60" s="2" t="s">
        <v>30</v>
      </c>
      <c r="K60" s="2" t="s">
        <v>37</v>
      </c>
      <c r="L60" s="2"/>
      <c r="M60" s="2"/>
      <c r="N60" s="7" t="s">
        <v>37</v>
      </c>
      <c r="O60" s="6">
        <v>1</v>
      </c>
      <c r="P60" s="2" t="s">
        <v>3680</v>
      </c>
      <c r="Q60" s="2" t="str">
        <f>IF(Tabla1[[#This Row],[evaluacion_]]="","",IF(Tabla1[[#This Row],[evaluacion_]]=1,"Habilitado","No Habilitado"))</f>
        <v>Habilitado</v>
      </c>
      <c r="R60" s="2" t="str">
        <f>IF(Tabla1[[#This Row],[fecha]]="","",TEXT(Tabla1[[#This Row],[fecha]],"DMMAAAA")&amp;TEXT(Tabla1[[#This Row],[hora]],"HHmm"))</f>
        <v>11020251712</v>
      </c>
      <c r="S60" s="19" t="str">
        <f>_xlfn.CONCAT(Tabla1[[#This Row],[codigo_]],Tabla1[[#This Row],[correlativo_]])</f>
        <v>11020251712779</v>
      </c>
      <c r="T60" s="2" t="str">
        <f t="shared" si="0"/>
        <v>9 de julio del 2025</v>
      </c>
      <c r="U60" s="2" t="str">
        <f>_xlfn.XLOOKUP(Tabla1[[#This Row],[instructor_2]],diccionario_!$A$1:$A$11,diccionario_!$D$1:$D$11,,0)</f>
        <v>Daniel Carvajal B.</v>
      </c>
      <c r="V60" s="2" t="str">
        <f t="shared" si="1"/>
        <v>100%</v>
      </c>
      <c r="W60" s="2" t="s">
        <v>3691</v>
      </c>
    </row>
    <row r="61" spans="1:23" ht="16.5" customHeight="1">
      <c r="A61" s="2">
        <v>176</v>
      </c>
      <c r="B61" s="2" t="s">
        <v>7</v>
      </c>
      <c r="C61" s="2" t="s">
        <v>8</v>
      </c>
      <c r="D61" s="2" t="s">
        <v>9</v>
      </c>
      <c r="E61" s="11">
        <v>45847</v>
      </c>
      <c r="F61" s="14">
        <v>0.39583333333333298</v>
      </c>
      <c r="G61" s="2" t="s">
        <v>1086</v>
      </c>
      <c r="H61" s="2" t="s">
        <v>1087</v>
      </c>
      <c r="I61" s="2" t="s">
        <v>11</v>
      </c>
      <c r="J61" s="2" t="s">
        <v>30</v>
      </c>
      <c r="K61" s="2" t="s">
        <v>37</v>
      </c>
      <c r="L61" s="2"/>
      <c r="M61" s="2"/>
      <c r="N61" s="7" t="s">
        <v>37</v>
      </c>
      <c r="O61" s="6">
        <v>1</v>
      </c>
      <c r="P61" s="2" t="s">
        <v>3680</v>
      </c>
      <c r="Q61" s="2" t="str">
        <f>IF(Tabla1[[#This Row],[evaluacion_]]="","",IF(Tabla1[[#This Row],[evaluacion_]]=1,"Habilitado","No Habilitado"))</f>
        <v>Habilitado</v>
      </c>
      <c r="R61" s="2" t="str">
        <f>IF(Tabla1[[#This Row],[fecha]]="","",TEXT(Tabla1[[#This Row],[fecha]],"DMMAAAA")&amp;TEXT(Tabla1[[#This Row],[hora]],"HHmm"))</f>
        <v>11020251713</v>
      </c>
      <c r="S61" s="19" t="str">
        <f>_xlfn.CONCAT(Tabla1[[#This Row],[codigo_]],Tabla1[[#This Row],[correlativo_]])</f>
        <v>11020251713780</v>
      </c>
      <c r="T61" s="2" t="str">
        <f t="shared" si="0"/>
        <v>9 de julio del 2025</v>
      </c>
      <c r="U61" s="2" t="str">
        <f>_xlfn.XLOOKUP(Tabla1[[#This Row],[instructor_2]],diccionario_!$A$1:$A$11,diccionario_!$D$1:$D$11,,0)</f>
        <v>Daniel Carvajal B.</v>
      </c>
      <c r="V61" s="2" t="str">
        <f t="shared" si="1"/>
        <v>100%</v>
      </c>
      <c r="W61" s="2" t="s">
        <v>3691</v>
      </c>
    </row>
    <row r="62" spans="1:23" ht="16.5" customHeight="1">
      <c r="A62" s="2">
        <v>177</v>
      </c>
      <c r="B62" s="2" t="s">
        <v>7</v>
      </c>
      <c r="C62" s="2" t="s">
        <v>8</v>
      </c>
      <c r="D62" s="2" t="s">
        <v>9</v>
      </c>
      <c r="E62" s="11">
        <v>45847</v>
      </c>
      <c r="F62" s="14">
        <v>0.39583333333333298</v>
      </c>
      <c r="G62" s="2" t="s">
        <v>2847</v>
      </c>
      <c r="H62" s="2" t="s">
        <v>2848</v>
      </c>
      <c r="I62" s="2" t="s">
        <v>11</v>
      </c>
      <c r="J62" s="2" t="s">
        <v>30</v>
      </c>
      <c r="K62" s="2" t="s">
        <v>37</v>
      </c>
      <c r="L62" s="2"/>
      <c r="M62" s="2"/>
      <c r="N62" s="7" t="s">
        <v>37</v>
      </c>
      <c r="O62" s="6">
        <v>1</v>
      </c>
      <c r="P62" s="2" t="s">
        <v>3680</v>
      </c>
      <c r="Q62" s="2" t="str">
        <f>IF(Tabla1[[#This Row],[evaluacion_]]="","",IF(Tabla1[[#This Row],[evaluacion_]]=1,"Habilitado","No Habilitado"))</f>
        <v>Habilitado</v>
      </c>
      <c r="R62" s="2" t="str">
        <f>IF(Tabla1[[#This Row],[fecha]]="","",TEXT(Tabla1[[#This Row],[fecha]],"DMMAAAA")&amp;TEXT(Tabla1[[#This Row],[hora]],"HHmm"))</f>
        <v>290120261701</v>
      </c>
      <c r="S62" s="19" t="str">
        <f>_xlfn.CONCAT(Tabla1[[#This Row],[codigo_]],Tabla1[[#This Row],[correlativo_]])</f>
        <v>290120261701781</v>
      </c>
      <c r="T62" s="2" t="str">
        <f t="shared" si="0"/>
        <v>9 de julio del 2025</v>
      </c>
      <c r="U62" s="2" t="str">
        <f>_xlfn.XLOOKUP(Tabla1[[#This Row],[instructor_2]],diccionario_!$A$1:$A$11,diccionario_!$D$1:$D$11,,0)</f>
        <v>Gilerto Urtubia C.</v>
      </c>
      <c r="V62" s="2" t="str">
        <f t="shared" si="1"/>
        <v>100%</v>
      </c>
      <c r="W62" s="2" t="s">
        <v>3691</v>
      </c>
    </row>
    <row r="63" spans="1:23" ht="16.5" customHeight="1">
      <c r="A63" s="2">
        <v>178</v>
      </c>
      <c r="B63" s="2" t="s">
        <v>7</v>
      </c>
      <c r="C63" s="2" t="s">
        <v>8</v>
      </c>
      <c r="D63" s="2" t="s">
        <v>9</v>
      </c>
      <c r="E63" s="11">
        <v>45847</v>
      </c>
      <c r="F63" s="14">
        <v>0.39583333333333298</v>
      </c>
      <c r="G63" s="2" t="s">
        <v>585</v>
      </c>
      <c r="H63" s="2" t="s">
        <v>586</v>
      </c>
      <c r="I63" s="2" t="s">
        <v>11</v>
      </c>
      <c r="J63" s="2" t="s">
        <v>30</v>
      </c>
      <c r="K63" s="2" t="s">
        <v>37</v>
      </c>
      <c r="L63" s="2"/>
      <c r="M63" s="2"/>
      <c r="N63" s="7" t="s">
        <v>37</v>
      </c>
      <c r="O63" s="6">
        <v>1</v>
      </c>
      <c r="P63" s="2" t="s">
        <v>3680</v>
      </c>
      <c r="Q63" s="2" t="str">
        <f>IF(Tabla1[[#This Row],[evaluacion_]]="","",IF(Tabla1[[#This Row],[evaluacion_]]=1,"Habilitado","No Habilitado"))</f>
        <v>Habilitado</v>
      </c>
      <c r="R63" s="2" t="str">
        <f>IF(Tabla1[[#This Row],[fecha]]="","",TEXT(Tabla1[[#This Row],[fecha]],"DMMAAAA")&amp;TEXT(Tabla1[[#This Row],[hora]],"HHmm"))</f>
        <v>60220261235</v>
      </c>
      <c r="S63" s="19" t="str">
        <f>_xlfn.CONCAT(Tabla1[[#This Row],[codigo_]],Tabla1[[#This Row],[correlativo_]])</f>
        <v>60220261235782</v>
      </c>
      <c r="T63" s="2" t="str">
        <f t="shared" si="0"/>
        <v>9 de julio del 2025</v>
      </c>
      <c r="U63" s="2" t="str">
        <f>_xlfn.XLOOKUP(Tabla1[[#This Row],[instructor_2]],diccionario_!$A$1:$A$11,diccionario_!$D$1:$D$11,,0)</f>
        <v>Daniel Carvajal B.</v>
      </c>
      <c r="V63" s="2" t="str">
        <f t="shared" si="1"/>
        <v>100%</v>
      </c>
      <c r="W63" s="2" t="s">
        <v>3691</v>
      </c>
    </row>
    <row r="64" spans="1:23" ht="16.5" customHeight="1">
      <c r="A64" s="2">
        <v>179</v>
      </c>
      <c r="B64" s="2" t="s">
        <v>7</v>
      </c>
      <c r="C64" s="2" t="s">
        <v>8</v>
      </c>
      <c r="D64" s="2" t="s">
        <v>9</v>
      </c>
      <c r="E64" s="11">
        <v>45847</v>
      </c>
      <c r="F64" s="14">
        <v>0.39583333333333298</v>
      </c>
      <c r="G64" s="2" t="s">
        <v>1228</v>
      </c>
      <c r="H64" s="2" t="s">
        <v>1229</v>
      </c>
      <c r="I64" s="2" t="s">
        <v>11</v>
      </c>
      <c r="J64" s="2" t="s">
        <v>30</v>
      </c>
      <c r="K64" s="2" t="s">
        <v>37</v>
      </c>
      <c r="L64" s="2"/>
      <c r="M64" s="2"/>
      <c r="N64" s="7" t="s">
        <v>37</v>
      </c>
      <c r="O64" s="6">
        <v>1</v>
      </c>
      <c r="P64" s="2" t="s">
        <v>3680</v>
      </c>
      <c r="Q64" s="2" t="str">
        <f>IF(Tabla1[[#This Row],[evaluacion_]]="","",IF(Tabla1[[#This Row],[evaluacion_]]=1,"Habilitado","No Habilitado"))</f>
        <v>Habilitado</v>
      </c>
      <c r="R64" s="2" t="str">
        <f>IF(Tabla1[[#This Row],[fecha]]="","",TEXT(Tabla1[[#This Row],[fecha]],"DMMAAAA")&amp;TEXT(Tabla1[[#This Row],[hora]],"HHmm"))</f>
        <v>60220261238</v>
      </c>
      <c r="S64" s="19" t="str">
        <f>_xlfn.CONCAT(Tabla1[[#This Row],[codigo_]],Tabla1[[#This Row],[correlativo_]])</f>
        <v>60220261238783</v>
      </c>
      <c r="T64" s="2" t="str">
        <f t="shared" si="0"/>
        <v>9 de julio del 2025</v>
      </c>
      <c r="U64" s="2" t="str">
        <f>_xlfn.XLOOKUP(Tabla1[[#This Row],[instructor_2]],diccionario_!$A$1:$A$11,diccionario_!$D$1:$D$11,,0)</f>
        <v>Daniel Carvajal B.</v>
      </c>
      <c r="V64" s="2" t="str">
        <f t="shared" si="1"/>
        <v>100%</v>
      </c>
      <c r="W64" s="2" t="s">
        <v>3691</v>
      </c>
    </row>
    <row r="65" spans="1:23" ht="16.5" customHeight="1">
      <c r="A65" s="2">
        <v>180</v>
      </c>
      <c r="B65" s="2" t="s">
        <v>7</v>
      </c>
      <c r="C65" s="2" t="s">
        <v>8</v>
      </c>
      <c r="D65" s="2" t="s">
        <v>9</v>
      </c>
      <c r="E65" s="11">
        <v>45847</v>
      </c>
      <c r="F65" s="14">
        <v>0.39583333333333298</v>
      </c>
      <c r="G65" s="2" t="s">
        <v>2307</v>
      </c>
      <c r="H65" s="2" t="s">
        <v>2308</v>
      </c>
      <c r="I65" s="2" t="s">
        <v>11</v>
      </c>
      <c r="J65" s="2" t="s">
        <v>30</v>
      </c>
      <c r="K65" s="2" t="s">
        <v>37</v>
      </c>
      <c r="L65" s="2"/>
      <c r="M65" s="2"/>
      <c r="N65" s="7" t="s">
        <v>37</v>
      </c>
      <c r="O65" s="6">
        <v>1</v>
      </c>
      <c r="P65" s="2" t="s">
        <v>3680</v>
      </c>
      <c r="Q65" s="2" t="str">
        <f>IF(Tabla1[[#This Row],[evaluacion_]]="","",IF(Tabla1[[#This Row],[evaluacion_]]=1,"Habilitado","No Habilitado"))</f>
        <v>Habilitado</v>
      </c>
      <c r="R65" s="2" t="str">
        <f>IF(Tabla1[[#This Row],[fecha]]="","",TEXT(Tabla1[[#This Row],[fecha]],"DMMAAAA")&amp;TEXT(Tabla1[[#This Row],[hora]],"HHmm"))</f>
        <v>241220251301</v>
      </c>
      <c r="S65" s="19" t="str">
        <f>_xlfn.CONCAT(Tabla1[[#This Row],[codigo_]],Tabla1[[#This Row],[correlativo_]])</f>
        <v>241220251301784</v>
      </c>
      <c r="T65" s="2" t="str">
        <f t="shared" si="0"/>
        <v>9 de julio del 2025</v>
      </c>
      <c r="U65" s="2" t="str">
        <f>_xlfn.XLOOKUP(Tabla1[[#This Row],[instructor_2]],diccionario_!$A$1:$A$11,diccionario_!$D$1:$D$11,,0)</f>
        <v>Daniel Carvajal B.</v>
      </c>
      <c r="V65" s="2" t="str">
        <f t="shared" si="1"/>
        <v>100%</v>
      </c>
      <c r="W65" s="2" t="s">
        <v>3691</v>
      </c>
    </row>
    <row r="66" spans="1:23" ht="16.5" customHeight="1">
      <c r="A66" s="2">
        <v>181</v>
      </c>
      <c r="B66" s="2" t="s">
        <v>7</v>
      </c>
      <c r="C66" s="2" t="s">
        <v>8</v>
      </c>
      <c r="D66" s="2" t="s">
        <v>9</v>
      </c>
      <c r="E66" s="11">
        <v>45847</v>
      </c>
      <c r="F66" s="14">
        <v>0.625</v>
      </c>
      <c r="G66" s="2" t="s">
        <v>990</v>
      </c>
      <c r="H66" s="2" t="s">
        <v>991</v>
      </c>
      <c r="I66" s="2" t="s">
        <v>11</v>
      </c>
      <c r="J66" s="2" t="s">
        <v>30</v>
      </c>
      <c r="K66" s="2" t="s">
        <v>37</v>
      </c>
      <c r="L66" s="2"/>
      <c r="M66" s="2"/>
      <c r="N66" s="7" t="s">
        <v>37</v>
      </c>
      <c r="O66" s="6">
        <v>1</v>
      </c>
      <c r="P66" s="2" t="s">
        <v>3680</v>
      </c>
      <c r="Q66" s="2" t="str">
        <f>IF(Tabla1[[#This Row],[evaluacion_]]="","",IF(Tabla1[[#This Row],[evaluacion_]]=1,"Habilitado","No Habilitado"))</f>
        <v>Habilitado</v>
      </c>
      <c r="R66" s="2" t="str">
        <f>IF(Tabla1[[#This Row],[fecha]]="","",TEXT(Tabla1[[#This Row],[fecha]],"DMMAAAA")&amp;TEXT(Tabla1[[#This Row],[hora]],"HHmm"))</f>
        <v>241220251302</v>
      </c>
      <c r="S66" s="19" t="str">
        <f>_xlfn.CONCAT(Tabla1[[#This Row],[codigo_]],Tabla1[[#This Row],[correlativo_]])</f>
        <v>241220251302785</v>
      </c>
      <c r="T66" s="2" t="str">
        <f t="shared" ref="T66:T129" si="2">DAY(E66) &amp; " de " &amp; TEXT(E66, "mmmm") &amp; " del " &amp; YEAR(E66)</f>
        <v>9 de julio del 2025</v>
      </c>
      <c r="U66" s="2" t="str">
        <f>_xlfn.XLOOKUP(Tabla1[[#This Row],[instructor_2]],diccionario_!$A$1:$A$11,diccionario_!$D$1:$D$11,,0)</f>
        <v>Daniel Carvajal B.</v>
      </c>
      <c r="V66" s="2" t="str">
        <f t="shared" ref="V66:V129" si="3">TEXT(O66,"0%")</f>
        <v>100%</v>
      </c>
      <c r="W66" s="2" t="s">
        <v>3691</v>
      </c>
    </row>
    <row r="67" spans="1:23" ht="16.5" customHeight="1">
      <c r="A67" s="2">
        <v>182</v>
      </c>
      <c r="B67" s="2" t="s">
        <v>7</v>
      </c>
      <c r="C67" s="2" t="s">
        <v>8</v>
      </c>
      <c r="D67" s="2" t="s">
        <v>9</v>
      </c>
      <c r="E67" s="11">
        <v>45847</v>
      </c>
      <c r="F67" s="14">
        <v>0.625</v>
      </c>
      <c r="G67" s="2" t="s">
        <v>2647</v>
      </c>
      <c r="H67" s="2" t="s">
        <v>2648</v>
      </c>
      <c r="I67" s="2" t="s">
        <v>11</v>
      </c>
      <c r="J67" s="2" t="s">
        <v>30</v>
      </c>
      <c r="K67" s="2" t="s">
        <v>37</v>
      </c>
      <c r="L67" s="2"/>
      <c r="M67" s="2"/>
      <c r="N67" s="7" t="s">
        <v>37</v>
      </c>
      <c r="O67" s="6">
        <v>1</v>
      </c>
      <c r="P67" s="2" t="s">
        <v>3680</v>
      </c>
      <c r="Q67" s="2" t="str">
        <f>IF(Tabla1[[#This Row],[evaluacion_]]="","",IF(Tabla1[[#This Row],[evaluacion_]]=1,"Habilitado","No Habilitado"))</f>
        <v>Habilitado</v>
      </c>
      <c r="R67" s="2" t="str">
        <f>IF(Tabla1[[#This Row],[fecha]]="","",TEXT(Tabla1[[#This Row],[fecha]],"DMMAAAA")&amp;TEXT(Tabla1[[#This Row],[hora]],"HHmm"))</f>
        <v>241220251759</v>
      </c>
      <c r="S67" s="19" t="str">
        <f>_xlfn.CONCAT(Tabla1[[#This Row],[codigo_]],Tabla1[[#This Row],[correlativo_]])</f>
        <v>241220251759786</v>
      </c>
      <c r="T67" s="2" t="str">
        <f t="shared" si="2"/>
        <v>9 de julio del 2025</v>
      </c>
      <c r="U67" s="2" t="str">
        <f>_xlfn.XLOOKUP(Tabla1[[#This Row],[instructor_2]],diccionario_!$A$1:$A$11,diccionario_!$D$1:$D$11,,0)</f>
        <v>Daniel Carvajal B.</v>
      </c>
      <c r="V67" s="2" t="str">
        <f t="shared" si="3"/>
        <v>100%</v>
      </c>
      <c r="W67" s="2" t="s">
        <v>3691</v>
      </c>
    </row>
    <row r="68" spans="1:23" ht="16.5" customHeight="1">
      <c r="A68" s="2">
        <v>183</v>
      </c>
      <c r="B68" s="2" t="s">
        <v>7</v>
      </c>
      <c r="C68" s="2" t="s">
        <v>8</v>
      </c>
      <c r="D68" s="2" t="s">
        <v>9</v>
      </c>
      <c r="E68" s="11">
        <v>45847</v>
      </c>
      <c r="F68" s="14">
        <v>0.625</v>
      </c>
      <c r="G68" s="2" t="s">
        <v>1370</v>
      </c>
      <c r="H68" s="2" t="s">
        <v>1371</v>
      </c>
      <c r="I68" s="2" t="s">
        <v>11</v>
      </c>
      <c r="J68" s="2" t="s">
        <v>30</v>
      </c>
      <c r="K68" s="2" t="s">
        <v>37</v>
      </c>
      <c r="L68" s="2"/>
      <c r="M68" s="2"/>
      <c r="N68" s="7" t="s">
        <v>37</v>
      </c>
      <c r="O68" s="6">
        <v>1</v>
      </c>
      <c r="P68" s="2" t="s">
        <v>3680</v>
      </c>
      <c r="Q68" s="2" t="str">
        <f>IF(Tabla1[[#This Row],[evaluacion_]]="","",IF(Tabla1[[#This Row],[evaluacion_]]=1,"Habilitado","No Habilitado"))</f>
        <v>Habilitado</v>
      </c>
      <c r="R68" s="2" t="str">
        <f>IF(Tabla1[[#This Row],[fecha]]="","",TEXT(Tabla1[[#This Row],[fecha]],"DMMAAAA")&amp;TEXT(Tabla1[[#This Row],[hora]],"HHmm"))</f>
        <v>171220251657</v>
      </c>
      <c r="S68" s="19" t="str">
        <f>_xlfn.CONCAT(Tabla1[[#This Row],[codigo_]],Tabla1[[#This Row],[correlativo_]])</f>
        <v>171220251657787</v>
      </c>
      <c r="T68" s="2" t="str">
        <f t="shared" si="2"/>
        <v>9 de julio del 2025</v>
      </c>
      <c r="U68" s="2" t="str">
        <f>_xlfn.XLOOKUP(Tabla1[[#This Row],[instructor_2]],diccionario_!$A$1:$A$11,diccionario_!$D$1:$D$11,,0)</f>
        <v>Daniel Carvajal B.</v>
      </c>
      <c r="V68" s="2" t="str">
        <f t="shared" si="3"/>
        <v>100%</v>
      </c>
      <c r="W68" s="2" t="s">
        <v>3691</v>
      </c>
    </row>
    <row r="69" spans="1:23" ht="16.5" customHeight="1">
      <c r="A69" s="2">
        <v>184</v>
      </c>
      <c r="B69" s="2" t="s">
        <v>7</v>
      </c>
      <c r="C69" s="2" t="s">
        <v>8</v>
      </c>
      <c r="D69" s="2" t="s">
        <v>9</v>
      </c>
      <c r="E69" s="11">
        <v>45847</v>
      </c>
      <c r="F69" s="14">
        <v>0.625</v>
      </c>
      <c r="G69" s="2" t="s">
        <v>535</v>
      </c>
      <c r="H69" s="2" t="s">
        <v>536</v>
      </c>
      <c r="I69" s="2" t="s">
        <v>11</v>
      </c>
      <c r="J69" s="2" t="s">
        <v>30</v>
      </c>
      <c r="K69" s="2" t="s">
        <v>37</v>
      </c>
      <c r="L69" s="2"/>
      <c r="M69" s="2"/>
      <c r="N69" s="7" t="s">
        <v>37</v>
      </c>
      <c r="O69" s="6">
        <v>1</v>
      </c>
      <c r="P69" s="2" t="s">
        <v>3680</v>
      </c>
      <c r="Q69" s="2" t="str">
        <f>IF(Tabla1[[#This Row],[evaluacion_]]="","",IF(Tabla1[[#This Row],[evaluacion_]]=1,"Habilitado","No Habilitado"))</f>
        <v>Habilitado</v>
      </c>
      <c r="R69" s="2" t="str">
        <f>IF(Tabla1[[#This Row],[fecha]]="","",TEXT(Tabla1[[#This Row],[fecha]],"DMMAAAA")&amp;TEXT(Tabla1[[#This Row],[hora]],"HHmm"))</f>
        <v>171220251658</v>
      </c>
      <c r="S69" s="19" t="str">
        <f>_xlfn.CONCAT(Tabla1[[#This Row],[codigo_]],Tabla1[[#This Row],[correlativo_]])</f>
        <v>171220251658788</v>
      </c>
      <c r="T69" s="2" t="str">
        <f t="shared" si="2"/>
        <v>9 de julio del 2025</v>
      </c>
      <c r="U69" s="2" t="str">
        <f>_xlfn.XLOOKUP(Tabla1[[#This Row],[instructor_2]],diccionario_!$A$1:$A$11,diccionario_!$D$1:$D$11,,0)</f>
        <v>Daniel Carvajal B.</v>
      </c>
      <c r="V69" s="2" t="str">
        <f t="shared" si="3"/>
        <v>100%</v>
      </c>
      <c r="W69" s="2" t="s">
        <v>3691</v>
      </c>
    </row>
    <row r="70" spans="1:23" ht="16.5" customHeight="1">
      <c r="A70" s="2">
        <v>185</v>
      </c>
      <c r="B70" s="2" t="s">
        <v>7</v>
      </c>
      <c r="C70" s="2" t="s">
        <v>8</v>
      </c>
      <c r="D70" s="2" t="s">
        <v>9</v>
      </c>
      <c r="E70" s="11">
        <v>45847</v>
      </c>
      <c r="F70" s="14">
        <v>0.625</v>
      </c>
      <c r="G70" s="2" t="s">
        <v>962</v>
      </c>
      <c r="H70" s="2" t="s">
        <v>963</v>
      </c>
      <c r="I70" s="2" t="s">
        <v>11</v>
      </c>
      <c r="J70" s="2" t="s">
        <v>30</v>
      </c>
      <c r="K70" s="2" t="s">
        <v>37</v>
      </c>
      <c r="L70" s="2"/>
      <c r="M70" s="2"/>
      <c r="N70" s="7" t="s">
        <v>37</v>
      </c>
      <c r="O70" s="6">
        <v>1</v>
      </c>
      <c r="P70" s="2" t="s">
        <v>3680</v>
      </c>
      <c r="Q70" s="2" t="str">
        <f>IF(Tabla1[[#This Row],[evaluacion_]]="","",IF(Tabla1[[#This Row],[evaluacion_]]=1,"Habilitado","No Habilitado"))</f>
        <v>Habilitado</v>
      </c>
      <c r="R70" s="2" t="str">
        <f>IF(Tabla1[[#This Row],[fecha]]="","",TEXT(Tabla1[[#This Row],[fecha]],"DMMAAAA")&amp;TEXT(Tabla1[[#This Row],[hora]],"HHmm"))</f>
        <v>171220251659</v>
      </c>
      <c r="S70" s="19" t="str">
        <f>_xlfn.CONCAT(Tabla1[[#This Row],[codigo_]],Tabla1[[#This Row],[correlativo_]])</f>
        <v>171220251659789</v>
      </c>
      <c r="T70" s="2" t="str">
        <f t="shared" si="2"/>
        <v>9 de julio del 2025</v>
      </c>
      <c r="U70" s="2" t="str">
        <f>_xlfn.XLOOKUP(Tabla1[[#This Row],[instructor_2]],diccionario_!$A$1:$A$11,diccionario_!$D$1:$D$11,,0)</f>
        <v>Daniel Carvajal B.</v>
      </c>
      <c r="V70" s="2" t="str">
        <f t="shared" si="3"/>
        <v>100%</v>
      </c>
      <c r="W70" s="2" t="s">
        <v>3691</v>
      </c>
    </row>
    <row r="71" spans="1:23" ht="16.5" customHeight="1">
      <c r="A71" s="2">
        <v>186</v>
      </c>
      <c r="B71" s="2" t="s">
        <v>7</v>
      </c>
      <c r="C71" s="2" t="s">
        <v>8</v>
      </c>
      <c r="D71" s="2" t="s">
        <v>9</v>
      </c>
      <c r="E71" s="11">
        <v>45847</v>
      </c>
      <c r="F71" s="14">
        <v>0.625</v>
      </c>
      <c r="G71" s="2" t="s">
        <v>1775</v>
      </c>
      <c r="H71" s="2" t="s">
        <v>1776</v>
      </c>
      <c r="I71" s="2" t="s">
        <v>11</v>
      </c>
      <c r="J71" s="2" t="s">
        <v>30</v>
      </c>
      <c r="K71" s="2" t="s">
        <v>37</v>
      </c>
      <c r="L71" s="2"/>
      <c r="M71" s="2"/>
      <c r="N71" s="7" t="s">
        <v>37</v>
      </c>
      <c r="O71" s="6">
        <v>1</v>
      </c>
      <c r="P71" s="2" t="s">
        <v>3680</v>
      </c>
      <c r="Q71" s="2" t="str">
        <f>IF(Tabla1[[#This Row],[evaluacion_]]="","",IF(Tabla1[[#This Row],[evaluacion_]]=1,"Habilitado","No Habilitado"))</f>
        <v>Habilitado</v>
      </c>
      <c r="R71" s="2" t="str">
        <f>IF(Tabla1[[#This Row],[fecha]]="","",TEXT(Tabla1[[#This Row],[fecha]],"DMMAAAA")&amp;TEXT(Tabla1[[#This Row],[hora]],"HHmm"))</f>
        <v>120220261000</v>
      </c>
      <c r="S71" s="19" t="str">
        <f>_xlfn.CONCAT(Tabla1[[#This Row],[codigo_]],Tabla1[[#This Row],[correlativo_]])</f>
        <v>120220261000790</v>
      </c>
      <c r="T71" s="2" t="str">
        <f t="shared" si="2"/>
        <v>9 de julio del 2025</v>
      </c>
      <c r="U71" s="2" t="str">
        <f>_xlfn.XLOOKUP(Tabla1[[#This Row],[instructor_2]],diccionario_!$A$1:$A$11,diccionario_!$D$1:$D$11,,0)</f>
        <v>Guillermo Milla M.</v>
      </c>
      <c r="V71" s="2" t="str">
        <f t="shared" si="3"/>
        <v>100%</v>
      </c>
      <c r="W71" s="2" t="s">
        <v>3691</v>
      </c>
    </row>
    <row r="72" spans="1:23" ht="16.5" customHeight="1">
      <c r="A72" s="2">
        <v>187</v>
      </c>
      <c r="B72" s="2" t="s">
        <v>7</v>
      </c>
      <c r="C72" s="2" t="s">
        <v>8</v>
      </c>
      <c r="D72" s="2" t="s">
        <v>9</v>
      </c>
      <c r="E72" s="11">
        <v>45847</v>
      </c>
      <c r="F72" s="14">
        <v>0.625</v>
      </c>
      <c r="G72" s="2" t="s">
        <v>1113</v>
      </c>
      <c r="H72" s="2" t="s">
        <v>1114</v>
      </c>
      <c r="I72" s="2" t="s">
        <v>11</v>
      </c>
      <c r="J72" s="2" t="s">
        <v>30</v>
      </c>
      <c r="K72" s="2" t="s">
        <v>37</v>
      </c>
      <c r="L72" s="2"/>
      <c r="M72" s="2"/>
      <c r="N72" s="7" t="s">
        <v>37</v>
      </c>
      <c r="O72" s="6">
        <v>1</v>
      </c>
      <c r="P72" s="2" t="s">
        <v>3680</v>
      </c>
      <c r="Q72" s="2" t="str">
        <f>IF(Tabla1[[#This Row],[evaluacion_]]="","",IF(Tabla1[[#This Row],[evaluacion_]]=1,"Habilitado","No Habilitado"))</f>
        <v>Habilitado</v>
      </c>
      <c r="R72" s="2" t="str">
        <f>IF(Tabla1[[#This Row],[fecha]]="","",TEXT(Tabla1[[#This Row],[fecha]],"DMMAAAA")&amp;TEXT(Tabla1[[#This Row],[hora]],"HHmm"))</f>
        <v>120220261000</v>
      </c>
      <c r="S72" s="19" t="str">
        <f>_xlfn.CONCAT(Tabla1[[#This Row],[codigo_]],Tabla1[[#This Row],[correlativo_]])</f>
        <v>120220261000791</v>
      </c>
      <c r="T72" s="2" t="str">
        <f t="shared" si="2"/>
        <v>9 de julio del 2025</v>
      </c>
      <c r="U72" s="2" t="str">
        <f>_xlfn.XLOOKUP(Tabla1[[#This Row],[instructor_2]],diccionario_!$A$1:$A$11,diccionario_!$D$1:$D$11,,0)</f>
        <v>Guillermo Milla M.</v>
      </c>
      <c r="V72" s="2" t="str">
        <f t="shared" si="3"/>
        <v>100%</v>
      </c>
      <c r="W72" s="2" t="s">
        <v>3691</v>
      </c>
    </row>
    <row r="73" spans="1:23" ht="16.5" customHeight="1">
      <c r="A73" s="2">
        <v>188</v>
      </c>
      <c r="B73" s="2" t="s">
        <v>7</v>
      </c>
      <c r="C73" s="2" t="s">
        <v>8</v>
      </c>
      <c r="D73" s="2" t="s">
        <v>9</v>
      </c>
      <c r="E73" s="11">
        <v>45847</v>
      </c>
      <c r="F73" s="14">
        <v>0.625</v>
      </c>
      <c r="G73" s="2" t="s">
        <v>1987</v>
      </c>
      <c r="H73" s="2" t="s">
        <v>1988</v>
      </c>
      <c r="I73" s="2" t="s">
        <v>11</v>
      </c>
      <c r="J73" s="2" t="s">
        <v>30</v>
      </c>
      <c r="K73" s="2" t="s">
        <v>37</v>
      </c>
      <c r="L73" s="2"/>
      <c r="M73" s="2"/>
      <c r="N73" s="7" t="s">
        <v>37</v>
      </c>
      <c r="O73" s="6">
        <v>1</v>
      </c>
      <c r="P73" s="2" t="s">
        <v>3680</v>
      </c>
      <c r="Q73" s="2" t="str">
        <f>IF(Tabla1[[#This Row],[evaluacion_]]="","",IF(Tabla1[[#This Row],[evaluacion_]]=1,"Habilitado","No Habilitado"))</f>
        <v>Habilitado</v>
      </c>
      <c r="R73" s="2" t="str">
        <f>IF(Tabla1[[#This Row],[fecha]]="","",TEXT(Tabla1[[#This Row],[fecha]],"DMMAAAA")&amp;TEXT(Tabla1[[#This Row],[hora]],"HHmm"))</f>
        <v>300120261701</v>
      </c>
      <c r="S73" s="19" t="str">
        <f>_xlfn.CONCAT(Tabla1[[#This Row],[codigo_]],Tabla1[[#This Row],[correlativo_]])</f>
        <v>300120261701792</v>
      </c>
      <c r="T73" s="2" t="str">
        <f t="shared" si="2"/>
        <v>9 de julio del 2025</v>
      </c>
      <c r="U73" s="2" t="str">
        <f>_xlfn.XLOOKUP(Tabla1[[#This Row],[instructor_2]],diccionario_!$A$1:$A$11,diccionario_!$D$1:$D$11,,0)</f>
        <v>Gilerto Urtubia C.</v>
      </c>
      <c r="V73" s="2" t="str">
        <f t="shared" si="3"/>
        <v>100%</v>
      </c>
      <c r="W73" s="2" t="s">
        <v>3691</v>
      </c>
    </row>
    <row r="74" spans="1:23" ht="16.5" customHeight="1">
      <c r="A74" s="2">
        <v>189</v>
      </c>
      <c r="B74" s="2" t="s">
        <v>7</v>
      </c>
      <c r="C74" s="2" t="s">
        <v>8</v>
      </c>
      <c r="D74" s="2" t="s">
        <v>9</v>
      </c>
      <c r="E74" s="11">
        <v>45847</v>
      </c>
      <c r="F74" s="14">
        <v>0.625</v>
      </c>
      <c r="G74" s="2" t="s">
        <v>411</v>
      </c>
      <c r="H74" s="2" t="s">
        <v>412</v>
      </c>
      <c r="I74" s="2" t="s">
        <v>11</v>
      </c>
      <c r="J74" s="2" t="s">
        <v>30</v>
      </c>
      <c r="K74" s="2" t="s">
        <v>37</v>
      </c>
      <c r="L74" s="2"/>
      <c r="M74" s="2"/>
      <c r="N74" s="7" t="s">
        <v>37</v>
      </c>
      <c r="O74" s="6">
        <v>1</v>
      </c>
      <c r="P74" s="2" t="s">
        <v>3680</v>
      </c>
      <c r="Q74" s="2" t="str">
        <f>IF(Tabla1[[#This Row],[evaluacion_]]="","",IF(Tabla1[[#This Row],[evaluacion_]]=1,"Habilitado","No Habilitado"))</f>
        <v>Habilitado</v>
      </c>
      <c r="R74" s="2" t="str">
        <f>IF(Tabla1[[#This Row],[fecha]]="","",TEXT(Tabla1[[#This Row],[fecha]],"DMMAAAA")&amp;TEXT(Tabla1[[#This Row],[hora]],"HHmm"))</f>
        <v>290120261655</v>
      </c>
      <c r="S74" s="19" t="str">
        <f>_xlfn.CONCAT(Tabla1[[#This Row],[codigo_]],Tabla1[[#This Row],[correlativo_]])</f>
        <v>290120261655793</v>
      </c>
      <c r="T74" s="2" t="str">
        <f t="shared" si="2"/>
        <v>9 de julio del 2025</v>
      </c>
      <c r="U74" s="2" t="str">
        <f>_xlfn.XLOOKUP(Tabla1[[#This Row],[instructor_2]],diccionario_!$A$1:$A$11,diccionario_!$D$1:$D$11,,0)</f>
        <v>Gilerto Urtubia C.</v>
      </c>
      <c r="V74" s="2" t="str">
        <f t="shared" si="3"/>
        <v>100%</v>
      </c>
      <c r="W74" s="2" t="s">
        <v>3691</v>
      </c>
    </row>
    <row r="75" spans="1:23" ht="16.5" customHeight="1">
      <c r="A75" s="2">
        <v>190</v>
      </c>
      <c r="B75" s="2" t="s">
        <v>7</v>
      </c>
      <c r="C75" s="2" t="s">
        <v>8</v>
      </c>
      <c r="D75" s="2" t="s">
        <v>9</v>
      </c>
      <c r="E75" s="11">
        <v>45847</v>
      </c>
      <c r="F75" s="14">
        <v>0.625</v>
      </c>
      <c r="G75" s="2" t="s">
        <v>1218</v>
      </c>
      <c r="H75" s="2" t="s">
        <v>1219</v>
      </c>
      <c r="I75" s="2" t="s">
        <v>11</v>
      </c>
      <c r="J75" s="2" t="s">
        <v>30</v>
      </c>
      <c r="K75" s="2" t="s">
        <v>37</v>
      </c>
      <c r="L75" s="2"/>
      <c r="M75" s="2"/>
      <c r="N75" s="7" t="s">
        <v>37</v>
      </c>
      <c r="O75" s="6">
        <v>1</v>
      </c>
      <c r="P75" s="2" t="s">
        <v>3680</v>
      </c>
      <c r="Q75" s="2" t="str">
        <f>IF(Tabla1[[#This Row],[evaluacion_]]="","",IF(Tabla1[[#This Row],[evaluacion_]]=1,"Habilitado","No Habilitado"))</f>
        <v>Habilitado</v>
      </c>
      <c r="R75" s="2" t="str">
        <f>IF(Tabla1[[#This Row],[fecha]]="","",TEXT(Tabla1[[#This Row],[fecha]],"DMMAAAA")&amp;TEXT(Tabla1[[#This Row],[hora]],"HHmm"))</f>
        <v>220120261756</v>
      </c>
      <c r="S75" s="19" t="str">
        <f>_xlfn.CONCAT(Tabla1[[#This Row],[codigo_]],Tabla1[[#This Row],[correlativo_]])</f>
        <v>220120261756794</v>
      </c>
      <c r="T75" s="2" t="str">
        <f t="shared" si="2"/>
        <v>9 de julio del 2025</v>
      </c>
      <c r="U75" s="2" t="str">
        <f>_xlfn.XLOOKUP(Tabla1[[#This Row],[instructor_2]],diccionario_!$A$1:$A$11,diccionario_!$D$1:$D$11,,0)</f>
        <v>Gilerto Urtubia C.</v>
      </c>
      <c r="V75" s="2" t="str">
        <f t="shared" si="3"/>
        <v>100%</v>
      </c>
      <c r="W75" s="2" t="s">
        <v>3691</v>
      </c>
    </row>
    <row r="76" spans="1:23" ht="16.5" customHeight="1">
      <c r="A76" s="2">
        <v>191</v>
      </c>
      <c r="B76" s="2" t="s">
        <v>7</v>
      </c>
      <c r="C76" s="2" t="s">
        <v>8</v>
      </c>
      <c r="D76" s="2" t="s">
        <v>9</v>
      </c>
      <c r="E76" s="11">
        <v>45847</v>
      </c>
      <c r="F76" s="14">
        <v>0.625</v>
      </c>
      <c r="G76" s="2" t="s">
        <v>1912</v>
      </c>
      <c r="H76" s="2" t="s">
        <v>1913</v>
      </c>
      <c r="I76" s="2" t="s">
        <v>11</v>
      </c>
      <c r="J76" s="2" t="s">
        <v>30</v>
      </c>
      <c r="K76" s="2" t="s">
        <v>37</v>
      </c>
      <c r="L76" s="2"/>
      <c r="M76" s="2"/>
      <c r="N76" s="7" t="s">
        <v>37</v>
      </c>
      <c r="O76" s="6">
        <v>1</v>
      </c>
      <c r="P76" s="2" t="s">
        <v>3680</v>
      </c>
      <c r="Q76" s="2" t="str">
        <f>IF(Tabla1[[#This Row],[evaluacion_]]="","",IF(Tabla1[[#This Row],[evaluacion_]]=1,"Habilitado","No Habilitado"))</f>
        <v>Habilitado</v>
      </c>
      <c r="R76" s="2" t="str">
        <f>IF(Tabla1[[#This Row],[fecha]]="","",TEXT(Tabla1[[#This Row],[fecha]],"DMMAAAA")&amp;TEXT(Tabla1[[#This Row],[hora]],"HHmm"))</f>
        <v>150120261743</v>
      </c>
      <c r="S76" s="19" t="str">
        <f>_xlfn.CONCAT(Tabla1[[#This Row],[codigo_]],Tabla1[[#This Row],[correlativo_]])</f>
        <v>150120261743795</v>
      </c>
      <c r="T76" s="2" t="str">
        <f t="shared" si="2"/>
        <v>9 de julio del 2025</v>
      </c>
      <c r="U76" s="2" t="str">
        <f>_xlfn.XLOOKUP(Tabla1[[#This Row],[instructor_2]],diccionario_!$A$1:$A$11,diccionario_!$D$1:$D$11,,0)</f>
        <v>Gilerto Urtubia C.</v>
      </c>
      <c r="V76" s="2" t="str">
        <f t="shared" si="3"/>
        <v>100%</v>
      </c>
      <c r="W76" s="2" t="s">
        <v>3691</v>
      </c>
    </row>
    <row r="77" spans="1:23" ht="16.5" customHeight="1">
      <c r="A77" s="2">
        <v>192</v>
      </c>
      <c r="B77" s="2" t="s">
        <v>7</v>
      </c>
      <c r="C77" s="2" t="s">
        <v>8</v>
      </c>
      <c r="D77" s="2" t="s">
        <v>9</v>
      </c>
      <c r="E77" s="11">
        <v>45848</v>
      </c>
      <c r="F77" s="14">
        <v>0.41666666666666702</v>
      </c>
      <c r="G77" s="2" t="s">
        <v>1022</v>
      </c>
      <c r="H77" s="2" t="s">
        <v>1023</v>
      </c>
      <c r="I77" s="2" t="s">
        <v>11</v>
      </c>
      <c r="J77" s="2" t="s">
        <v>30</v>
      </c>
      <c r="K77" s="2" t="s">
        <v>37</v>
      </c>
      <c r="L77" s="2"/>
      <c r="M77" s="2"/>
      <c r="N77" s="7" t="s">
        <v>37</v>
      </c>
      <c r="O77" s="6">
        <v>1</v>
      </c>
      <c r="P77" s="2" t="s">
        <v>3680</v>
      </c>
      <c r="Q77" s="2" t="str">
        <f>IF(Tabla1[[#This Row],[evaluacion_]]="","",IF(Tabla1[[#This Row],[evaluacion_]]=1,"Habilitado","No Habilitado"))</f>
        <v>Habilitado</v>
      </c>
      <c r="R77" s="2" t="str">
        <f>IF(Tabla1[[#This Row],[fecha]]="","",TEXT(Tabla1[[#This Row],[fecha]],"DMMAAAA")&amp;TEXT(Tabla1[[#This Row],[hora]],"HHmm"))</f>
        <v>90120261756</v>
      </c>
      <c r="S77" s="19" t="str">
        <f>_xlfn.CONCAT(Tabla1[[#This Row],[codigo_]],Tabla1[[#This Row],[correlativo_]])</f>
        <v>90120261756796</v>
      </c>
      <c r="T77" s="2" t="str">
        <f t="shared" si="2"/>
        <v>10 de julio del 2025</v>
      </c>
      <c r="U77" s="2" t="str">
        <f>_xlfn.XLOOKUP(Tabla1[[#This Row],[instructor_2]],diccionario_!$A$1:$A$11,diccionario_!$D$1:$D$11,,0)</f>
        <v>Gilerto Urtubia C.</v>
      </c>
      <c r="V77" s="2" t="str">
        <f t="shared" si="3"/>
        <v>100%</v>
      </c>
      <c r="W77" s="2" t="s">
        <v>3691</v>
      </c>
    </row>
    <row r="78" spans="1:23" ht="16.5" customHeight="1">
      <c r="A78" s="2">
        <v>193</v>
      </c>
      <c r="B78" s="2" t="s">
        <v>7</v>
      </c>
      <c r="C78" s="2" t="s">
        <v>8</v>
      </c>
      <c r="D78" s="2" t="s">
        <v>9</v>
      </c>
      <c r="E78" s="11">
        <v>45848</v>
      </c>
      <c r="F78" s="14">
        <v>0.41666666666666702</v>
      </c>
      <c r="G78" s="2" t="s">
        <v>360</v>
      </c>
      <c r="H78" s="2" t="s">
        <v>361</v>
      </c>
      <c r="I78" s="2" t="s">
        <v>11</v>
      </c>
      <c r="J78" s="2" t="s">
        <v>30</v>
      </c>
      <c r="K78" s="2" t="s">
        <v>37</v>
      </c>
      <c r="L78" s="2"/>
      <c r="M78" s="2"/>
      <c r="N78" s="7" t="s">
        <v>37</v>
      </c>
      <c r="O78" s="6">
        <v>1</v>
      </c>
      <c r="P78" s="2" t="s">
        <v>3680</v>
      </c>
      <c r="Q78" s="2" t="str">
        <f>IF(Tabla1[[#This Row],[evaluacion_]]="","",IF(Tabla1[[#This Row],[evaluacion_]]=1,"Habilitado","No Habilitado"))</f>
        <v>Habilitado</v>
      </c>
      <c r="R78" s="2" t="str">
        <f>IF(Tabla1[[#This Row],[fecha]]="","",TEXT(Tabla1[[#This Row],[fecha]],"DMMAAAA")&amp;TEXT(Tabla1[[#This Row],[hora]],"HHmm"))</f>
        <v>90120261649</v>
      </c>
      <c r="S78" s="19" t="str">
        <f>_xlfn.CONCAT(Tabla1[[#This Row],[codigo_]],Tabla1[[#This Row],[correlativo_]])</f>
        <v>90120261649797</v>
      </c>
      <c r="T78" s="2" t="str">
        <f t="shared" si="2"/>
        <v>10 de julio del 2025</v>
      </c>
      <c r="U78" s="2" t="str">
        <f>_xlfn.XLOOKUP(Tabla1[[#This Row],[instructor_2]],diccionario_!$A$1:$A$11,diccionario_!$D$1:$D$11,,0)</f>
        <v>Gilerto Urtubia C.</v>
      </c>
      <c r="V78" s="2" t="str">
        <f t="shared" si="3"/>
        <v>100%</v>
      </c>
      <c r="W78" s="2" t="s">
        <v>3691</v>
      </c>
    </row>
    <row r="79" spans="1:23" ht="16.5" customHeight="1">
      <c r="A79" s="2">
        <v>194</v>
      </c>
      <c r="B79" s="2" t="s">
        <v>7</v>
      </c>
      <c r="C79" s="2" t="s">
        <v>8</v>
      </c>
      <c r="D79" s="2" t="s">
        <v>9</v>
      </c>
      <c r="E79" s="11">
        <v>45848</v>
      </c>
      <c r="F79" s="14">
        <v>0.41666666666666702</v>
      </c>
      <c r="G79" s="2" t="s">
        <v>2281</v>
      </c>
      <c r="H79" s="2" t="s">
        <v>2282</v>
      </c>
      <c r="I79" s="2" t="s">
        <v>11</v>
      </c>
      <c r="J79" s="2" t="s">
        <v>30</v>
      </c>
      <c r="K79" s="2" t="s">
        <v>37</v>
      </c>
      <c r="L79" s="2"/>
      <c r="M79" s="2"/>
      <c r="N79" s="7" t="s">
        <v>37</v>
      </c>
      <c r="O79" s="6">
        <v>1</v>
      </c>
      <c r="P79" s="2" t="s">
        <v>3680</v>
      </c>
      <c r="Q79" s="2" t="str">
        <f>IF(Tabla1[[#This Row],[evaluacion_]]="","",IF(Tabla1[[#This Row],[evaluacion_]]=1,"Habilitado","No Habilitado"))</f>
        <v>Habilitado</v>
      </c>
      <c r="R79" s="2" t="str">
        <f>IF(Tabla1[[#This Row],[fecha]]="","",TEXT(Tabla1[[#This Row],[fecha]],"DMMAAAA")&amp;TEXT(Tabla1[[#This Row],[hora]],"HHmm"))</f>
        <v>310120261755</v>
      </c>
      <c r="S79" s="19" t="str">
        <f>_xlfn.CONCAT(Tabla1[[#This Row],[codigo_]],Tabla1[[#This Row],[correlativo_]])</f>
        <v>310120261755798</v>
      </c>
      <c r="T79" s="2" t="str">
        <f t="shared" si="2"/>
        <v>10 de julio del 2025</v>
      </c>
      <c r="U79" s="2" t="str">
        <f>_xlfn.XLOOKUP(Tabla1[[#This Row],[instructor_2]],diccionario_!$A$1:$A$11,diccionario_!$D$1:$D$11,,0)</f>
        <v>Daniel Carvajal B.</v>
      </c>
      <c r="V79" s="2" t="str">
        <f t="shared" si="3"/>
        <v>100%</v>
      </c>
      <c r="W79" s="2" t="s">
        <v>3691</v>
      </c>
    </row>
    <row r="80" spans="1:23" ht="16.5" customHeight="1">
      <c r="A80" s="2">
        <v>195</v>
      </c>
      <c r="B80" s="2" t="s">
        <v>7</v>
      </c>
      <c r="C80" s="2" t="s">
        <v>8</v>
      </c>
      <c r="D80" s="2" t="s">
        <v>9</v>
      </c>
      <c r="E80" s="11">
        <v>45848</v>
      </c>
      <c r="F80" s="14">
        <v>0.41666666666666702</v>
      </c>
      <c r="G80" s="2" t="s">
        <v>2762</v>
      </c>
      <c r="H80" s="2" t="s">
        <v>2763</v>
      </c>
      <c r="I80" s="2" t="s">
        <v>11</v>
      </c>
      <c r="J80" s="2" t="s">
        <v>30</v>
      </c>
      <c r="K80" s="2" t="s">
        <v>37</v>
      </c>
      <c r="L80" s="2"/>
      <c r="M80" s="2"/>
      <c r="N80" s="7" t="s">
        <v>37</v>
      </c>
      <c r="O80" s="6">
        <v>1</v>
      </c>
      <c r="P80" s="2" t="s">
        <v>3680</v>
      </c>
      <c r="Q80" s="2" t="str">
        <f>IF(Tabla1[[#This Row],[evaluacion_]]="","",IF(Tabla1[[#This Row],[evaluacion_]]=1,"Habilitado","No Habilitado"))</f>
        <v>Habilitado</v>
      </c>
      <c r="R80" s="2" t="str">
        <f>IF(Tabla1[[#This Row],[fecha]]="","",TEXT(Tabla1[[#This Row],[fecha]],"DMMAAAA")&amp;TEXT(Tabla1[[#This Row],[hora]],"HHmm"))</f>
        <v>150120261639</v>
      </c>
      <c r="S80" s="19" t="str">
        <f>_xlfn.CONCAT(Tabla1[[#This Row],[codigo_]],Tabla1[[#This Row],[correlativo_]])</f>
        <v>150120261639799</v>
      </c>
      <c r="T80" s="2" t="str">
        <f t="shared" si="2"/>
        <v>10 de julio del 2025</v>
      </c>
      <c r="U80" s="2" t="str">
        <f>_xlfn.XLOOKUP(Tabla1[[#This Row],[instructor_2]],diccionario_!$A$1:$A$11,diccionario_!$D$1:$D$11,,0)</f>
        <v>Gilerto Urtubia C.</v>
      </c>
      <c r="V80" s="2" t="str">
        <f t="shared" si="3"/>
        <v>100%</v>
      </c>
      <c r="W80" s="2" t="s">
        <v>3691</v>
      </c>
    </row>
    <row r="81" spans="1:23" ht="16.5" customHeight="1">
      <c r="A81" s="2">
        <v>196</v>
      </c>
      <c r="B81" s="2" t="s">
        <v>7</v>
      </c>
      <c r="C81" s="2" t="s">
        <v>8</v>
      </c>
      <c r="D81" s="2" t="s">
        <v>9</v>
      </c>
      <c r="E81" s="11">
        <v>45848</v>
      </c>
      <c r="F81" s="14">
        <v>0.41666666666666702</v>
      </c>
      <c r="G81" s="2" t="s">
        <v>1663</v>
      </c>
      <c r="H81" s="2" t="s">
        <v>1664</v>
      </c>
      <c r="I81" s="2" t="s">
        <v>11</v>
      </c>
      <c r="J81" s="2" t="s">
        <v>30</v>
      </c>
      <c r="K81" s="2" t="s">
        <v>37</v>
      </c>
      <c r="L81" s="2"/>
      <c r="M81" s="2"/>
      <c r="N81" s="7" t="s">
        <v>37</v>
      </c>
      <c r="O81" s="6">
        <v>1</v>
      </c>
      <c r="P81" s="2" t="s">
        <v>3680</v>
      </c>
      <c r="Q81" s="2" t="str">
        <f>IF(Tabla1[[#This Row],[evaluacion_]]="","",IF(Tabla1[[#This Row],[evaluacion_]]=1,"Habilitado","No Habilitado"))</f>
        <v>No Habilitado</v>
      </c>
      <c r="R81" s="2" t="str">
        <f>IF(Tabla1[[#This Row],[fecha]]="","",TEXT(Tabla1[[#This Row],[fecha]],"DMMAAAA")&amp;TEXT(Tabla1[[#This Row],[hora]],"HHmm"))</f>
        <v/>
      </c>
      <c r="S81" s="19" t="str">
        <f>_xlfn.CONCAT(Tabla1[[#This Row],[codigo_]],Tabla1[[#This Row],[correlativo_]])</f>
        <v>800</v>
      </c>
      <c r="T81" s="2" t="str">
        <f t="shared" si="2"/>
        <v>10 de julio del 2025</v>
      </c>
      <c r="U81" s="2">
        <f>_xlfn.XLOOKUP(Tabla1[[#This Row],[instructor_2]],diccionario_!$A$1:$A$11,diccionario_!$D$1:$D$11,,0)</f>
        <v>0</v>
      </c>
      <c r="V81" s="2" t="str">
        <f t="shared" si="3"/>
        <v>100%</v>
      </c>
      <c r="W81" s="2" t="s">
        <v>3691</v>
      </c>
    </row>
    <row r="82" spans="1:23" ht="16.5" customHeight="1">
      <c r="A82" s="2">
        <v>197</v>
      </c>
      <c r="B82" s="2" t="s">
        <v>7</v>
      </c>
      <c r="C82" s="2" t="s">
        <v>8</v>
      </c>
      <c r="D82" s="2" t="s">
        <v>9</v>
      </c>
      <c r="E82" s="11">
        <v>45848</v>
      </c>
      <c r="F82" s="14">
        <v>0.41666666666666702</v>
      </c>
      <c r="G82" s="2" t="s">
        <v>2971</v>
      </c>
      <c r="H82" s="2" t="s">
        <v>2972</v>
      </c>
      <c r="I82" s="2" t="s">
        <v>11</v>
      </c>
      <c r="J82" s="2" t="s">
        <v>30</v>
      </c>
      <c r="K82" s="2" t="s">
        <v>37</v>
      </c>
      <c r="L82" s="2"/>
      <c r="M82" s="2"/>
      <c r="N82" s="7" t="s">
        <v>37</v>
      </c>
      <c r="O82" s="6">
        <v>1</v>
      </c>
      <c r="P82" s="2" t="s">
        <v>3680</v>
      </c>
      <c r="Q82" s="2" t="str">
        <f>IF(Tabla1[[#This Row],[evaluacion_]]="","",IF(Tabla1[[#This Row],[evaluacion_]]=1,"Habilitado","No Habilitado"))</f>
        <v>Habilitado</v>
      </c>
      <c r="R82" s="2" t="str">
        <f>IF(Tabla1[[#This Row],[fecha]]="","",TEXT(Tabla1[[#This Row],[fecha]],"DMMAAAA")&amp;TEXT(Tabla1[[#This Row],[hora]],"HHmm"))</f>
        <v>290120261728</v>
      </c>
      <c r="S82" s="19" t="str">
        <f>_xlfn.CONCAT(Tabla1[[#This Row],[codigo_]],Tabla1[[#This Row],[correlativo_]])</f>
        <v>290120261728801</v>
      </c>
      <c r="T82" s="2" t="str">
        <f t="shared" si="2"/>
        <v>10 de julio del 2025</v>
      </c>
      <c r="U82" s="2" t="str">
        <f>_xlfn.XLOOKUP(Tabla1[[#This Row],[instructor_2]],diccionario_!$A$1:$A$11,diccionario_!$D$1:$D$11,,0)</f>
        <v>Gilerto Urtubia C.</v>
      </c>
      <c r="V82" s="2" t="str">
        <f t="shared" si="3"/>
        <v>100%</v>
      </c>
      <c r="W82" s="2" t="s">
        <v>3691</v>
      </c>
    </row>
    <row r="83" spans="1:23" ht="16.5" customHeight="1">
      <c r="A83" s="2">
        <v>198</v>
      </c>
      <c r="B83" s="2" t="s">
        <v>7</v>
      </c>
      <c r="C83" s="2" t="s">
        <v>8</v>
      </c>
      <c r="D83" s="2" t="s">
        <v>9</v>
      </c>
      <c r="E83" s="11">
        <v>45848</v>
      </c>
      <c r="F83" s="14">
        <v>0.41666666666666702</v>
      </c>
      <c r="G83" s="2" t="s">
        <v>788</v>
      </c>
      <c r="H83" s="2" t="s">
        <v>789</v>
      </c>
      <c r="I83" s="2" t="s">
        <v>11</v>
      </c>
      <c r="J83" s="2" t="s">
        <v>30</v>
      </c>
      <c r="K83" s="2" t="s">
        <v>37</v>
      </c>
      <c r="L83" s="2"/>
      <c r="M83" s="2"/>
      <c r="N83" s="7" t="s">
        <v>37</v>
      </c>
      <c r="O83" s="6">
        <v>1</v>
      </c>
      <c r="P83" s="2" t="s">
        <v>3680</v>
      </c>
      <c r="Q83" s="2" t="str">
        <f>IF(Tabla1[[#This Row],[evaluacion_]]="","",IF(Tabla1[[#This Row],[evaluacion_]]=1,"Habilitado","No Habilitado"))</f>
        <v>No Habilitado</v>
      </c>
      <c r="R83" s="2" t="str">
        <f>IF(Tabla1[[#This Row],[fecha]]="","",TEXT(Tabla1[[#This Row],[fecha]],"DMMAAAA")&amp;TEXT(Tabla1[[#This Row],[hora]],"HHmm"))</f>
        <v>110220261800</v>
      </c>
      <c r="S83" s="19" t="str">
        <f>_xlfn.CONCAT(Tabla1[[#This Row],[codigo_]],Tabla1[[#This Row],[correlativo_]])</f>
        <v>110220261800802</v>
      </c>
      <c r="T83" s="2" t="str">
        <f t="shared" si="2"/>
        <v>10 de julio del 2025</v>
      </c>
      <c r="U83" s="2" t="str">
        <f>_xlfn.XLOOKUP(Tabla1[[#This Row],[instructor_2]],diccionario_!$A$1:$A$11,diccionario_!$D$1:$D$11,,0)</f>
        <v>Marcelo Barrera A.</v>
      </c>
      <c r="V83" s="2" t="str">
        <f t="shared" si="3"/>
        <v>100%</v>
      </c>
      <c r="W83" s="2" t="s">
        <v>3691</v>
      </c>
    </row>
    <row r="84" spans="1:23" ht="16.5" customHeight="1">
      <c r="A84" s="2">
        <v>199</v>
      </c>
      <c r="B84" s="2" t="s">
        <v>7</v>
      </c>
      <c r="C84" s="2" t="s">
        <v>8</v>
      </c>
      <c r="D84" s="2" t="s">
        <v>9</v>
      </c>
      <c r="E84" s="11">
        <v>45852</v>
      </c>
      <c r="F84" s="14">
        <v>0.41666666666666702</v>
      </c>
      <c r="G84" s="2" t="s">
        <v>3113</v>
      </c>
      <c r="H84" s="2" t="s">
        <v>3114</v>
      </c>
      <c r="I84" s="2" t="s">
        <v>17</v>
      </c>
      <c r="J84" s="2" t="s">
        <v>3679</v>
      </c>
      <c r="K84" s="2" t="s">
        <v>49</v>
      </c>
      <c r="L84" s="2"/>
      <c r="M84" s="2"/>
      <c r="N84" s="7" t="s">
        <v>49</v>
      </c>
      <c r="O84" s="6">
        <v>1</v>
      </c>
      <c r="P84" s="2" t="s">
        <v>3680</v>
      </c>
      <c r="Q84" s="2" t="str">
        <f>IF(Tabla1[[#This Row],[evaluacion_]]="","",IF(Tabla1[[#This Row],[evaluacion_]]=1,"Habilitado","No Habilitado"))</f>
        <v>No Habilitado</v>
      </c>
      <c r="R84" s="2" t="str">
        <f>IF(Tabla1[[#This Row],[fecha]]="","",TEXT(Tabla1[[#This Row],[fecha]],"DMMAAAA")&amp;TEXT(Tabla1[[#This Row],[hora]],"HHmm"))</f>
        <v>60220261750</v>
      </c>
      <c r="S84" s="19" t="str">
        <f>_xlfn.CONCAT(Tabla1[[#This Row],[codigo_]],Tabla1[[#This Row],[correlativo_]])</f>
        <v>60220261750803</v>
      </c>
      <c r="T84" s="2" t="str">
        <f t="shared" si="2"/>
        <v>14 de julio del 2025</v>
      </c>
      <c r="U84" s="2" t="str">
        <f>_xlfn.XLOOKUP(Tabla1[[#This Row],[instructor_2]],diccionario_!$A$1:$A$11,diccionario_!$D$1:$D$11,,0)</f>
        <v>Daniel Carvajal B.</v>
      </c>
      <c r="V84" s="2" t="str">
        <f t="shared" si="3"/>
        <v>100%</v>
      </c>
      <c r="W84" s="2" t="s">
        <v>3691</v>
      </c>
    </row>
    <row r="85" spans="1:23" ht="16.5" customHeight="1">
      <c r="A85" s="2">
        <v>200</v>
      </c>
      <c r="B85" s="2" t="s">
        <v>7</v>
      </c>
      <c r="C85" s="2" t="s">
        <v>8</v>
      </c>
      <c r="D85" s="2" t="s">
        <v>9</v>
      </c>
      <c r="E85" s="11">
        <v>45852</v>
      </c>
      <c r="F85" s="14">
        <v>0.41666666666666702</v>
      </c>
      <c r="G85" s="2" t="s">
        <v>2011</v>
      </c>
      <c r="H85" s="2" t="s">
        <v>2012</v>
      </c>
      <c r="I85" s="2" t="s">
        <v>17</v>
      </c>
      <c r="J85" s="2" t="s">
        <v>3679</v>
      </c>
      <c r="K85" s="2" t="s">
        <v>49</v>
      </c>
      <c r="L85" s="2"/>
      <c r="M85" s="2"/>
      <c r="N85" s="7" t="s">
        <v>49</v>
      </c>
      <c r="O85" s="6">
        <v>1</v>
      </c>
      <c r="P85" s="2" t="s">
        <v>3680</v>
      </c>
      <c r="Q85" s="2" t="str">
        <f>IF(Tabla1[[#This Row],[evaluacion_]]="","",IF(Tabla1[[#This Row],[evaluacion_]]=1,"Habilitado","No Habilitado"))</f>
        <v>Habilitado</v>
      </c>
      <c r="R85" s="2" t="str">
        <f>IF(Tabla1[[#This Row],[fecha]]="","",TEXT(Tabla1[[#This Row],[fecha]],"DMMAAAA")&amp;TEXT(Tabla1[[#This Row],[hora]],"HHmm"))</f>
        <v/>
      </c>
      <c r="S85" s="19" t="str">
        <f>_xlfn.CONCAT(Tabla1[[#This Row],[codigo_]],Tabla1[[#This Row],[correlativo_]])</f>
        <v>804</v>
      </c>
      <c r="T85" s="2" t="str">
        <f t="shared" si="2"/>
        <v>14 de julio del 2025</v>
      </c>
      <c r="U85" s="2">
        <f>_xlfn.XLOOKUP(Tabla1[[#This Row],[instructor_2]],diccionario_!$A$1:$A$11,diccionario_!$D$1:$D$11,,0)</f>
        <v>0</v>
      </c>
      <c r="V85" s="2" t="str">
        <f t="shared" si="3"/>
        <v>100%</v>
      </c>
      <c r="W85" s="2" t="s">
        <v>3691</v>
      </c>
    </row>
    <row r="86" spans="1:23" ht="16.5" customHeight="1">
      <c r="A86" s="2">
        <v>201</v>
      </c>
      <c r="B86" s="2" t="s">
        <v>32</v>
      </c>
      <c r="C86" s="2" t="s">
        <v>33</v>
      </c>
      <c r="D86" s="2" t="s">
        <v>9</v>
      </c>
      <c r="E86" s="11">
        <v>45852</v>
      </c>
      <c r="F86" s="14">
        <v>0.41666666666666702</v>
      </c>
      <c r="G86" s="2" t="s">
        <v>2011</v>
      </c>
      <c r="H86" s="2" t="s">
        <v>2012</v>
      </c>
      <c r="I86" s="2" t="s">
        <v>17</v>
      </c>
      <c r="J86" s="2" t="s">
        <v>3679</v>
      </c>
      <c r="K86" s="2" t="s">
        <v>49</v>
      </c>
      <c r="L86" s="2"/>
      <c r="M86" s="2"/>
      <c r="N86" s="7" t="s">
        <v>49</v>
      </c>
      <c r="O86" s="6">
        <v>1</v>
      </c>
      <c r="P86" s="2" t="s">
        <v>3680</v>
      </c>
      <c r="Q86" s="2" t="str">
        <f>IF(Tabla1[[#This Row],[evaluacion_]]="","",IF(Tabla1[[#This Row],[evaluacion_]]=1,"Habilitado","No Habilitado"))</f>
        <v>Habilitado</v>
      </c>
      <c r="R86" s="2" t="str">
        <f>IF(Tabla1[[#This Row],[fecha]]="","",TEXT(Tabla1[[#This Row],[fecha]],"DMMAAAA")&amp;TEXT(Tabla1[[#This Row],[hora]],"HHmm"))</f>
        <v>110220261800</v>
      </c>
      <c r="S86" s="19" t="str">
        <f>_xlfn.CONCAT(Tabla1[[#This Row],[codigo_]],Tabla1[[#This Row],[correlativo_]])</f>
        <v>110220261800805</v>
      </c>
      <c r="T86" s="2" t="str">
        <f t="shared" si="2"/>
        <v>14 de julio del 2025</v>
      </c>
      <c r="U86" s="2" t="str">
        <f>_xlfn.XLOOKUP(Tabla1[[#This Row],[instructor_2]],diccionario_!$A$1:$A$11,diccionario_!$D$1:$D$11,,0)</f>
        <v>Marcelo Barrera A.</v>
      </c>
      <c r="V86" s="2" t="str">
        <f t="shared" si="3"/>
        <v>100%</v>
      </c>
      <c r="W86" s="2" t="s">
        <v>3691</v>
      </c>
    </row>
    <row r="87" spans="1:23" ht="16.5" customHeight="1">
      <c r="A87" s="2">
        <v>202</v>
      </c>
      <c r="B87" s="2" t="s">
        <v>32</v>
      </c>
      <c r="C87" s="2" t="s">
        <v>33</v>
      </c>
      <c r="D87" s="2" t="s">
        <v>9</v>
      </c>
      <c r="E87" s="11">
        <v>45852</v>
      </c>
      <c r="F87" s="14">
        <v>0.41666666666666702</v>
      </c>
      <c r="G87" s="2" t="s">
        <v>3113</v>
      </c>
      <c r="H87" s="2" t="s">
        <v>3114</v>
      </c>
      <c r="I87" s="2" t="s">
        <v>17</v>
      </c>
      <c r="J87" s="2" t="s">
        <v>3679</v>
      </c>
      <c r="K87" s="2" t="s">
        <v>49</v>
      </c>
      <c r="L87" s="2"/>
      <c r="M87" s="2"/>
      <c r="N87" s="7" t="s">
        <v>49</v>
      </c>
      <c r="O87" s="6">
        <v>1</v>
      </c>
      <c r="P87" s="2" t="s">
        <v>3680</v>
      </c>
      <c r="Q87" s="2" t="str">
        <f>IF(Tabla1[[#This Row],[evaluacion_]]="","",IF(Tabla1[[#This Row],[evaluacion_]]=1,"Habilitado","No Habilitado"))</f>
        <v>Habilitado</v>
      </c>
      <c r="R87" s="2" t="str">
        <f>IF(Tabla1[[#This Row],[fecha]]="","",TEXT(Tabla1[[#This Row],[fecha]],"DMMAAAA")&amp;TEXT(Tabla1[[#This Row],[hora]],"HHmm"))</f>
        <v>160220261800</v>
      </c>
      <c r="S87" s="19" t="str">
        <f>_xlfn.CONCAT(Tabla1[[#This Row],[codigo_]],Tabla1[[#This Row],[correlativo_]])</f>
        <v>160220261800806</v>
      </c>
      <c r="T87" s="2" t="str">
        <f t="shared" si="2"/>
        <v>14 de julio del 2025</v>
      </c>
      <c r="U87" s="2" t="str">
        <f>_xlfn.XLOOKUP(Tabla1[[#This Row],[instructor_2]],diccionario_!$A$1:$A$11,diccionario_!$D$1:$D$11,,0)</f>
        <v>Marcelo Barrera A.</v>
      </c>
      <c r="V87" s="2" t="str">
        <f t="shared" si="3"/>
        <v>100%</v>
      </c>
      <c r="W87" s="2" t="s">
        <v>3691</v>
      </c>
    </row>
    <row r="88" spans="1:23" ht="16.5" customHeight="1">
      <c r="A88" s="2">
        <v>203</v>
      </c>
      <c r="B88" s="2" t="s">
        <v>7</v>
      </c>
      <c r="C88" s="2" t="s">
        <v>8</v>
      </c>
      <c r="D88" s="2" t="s">
        <v>9</v>
      </c>
      <c r="E88" s="11">
        <v>45852</v>
      </c>
      <c r="F88" s="14">
        <v>0.41666666666666702</v>
      </c>
      <c r="G88" s="2" t="s">
        <v>2135</v>
      </c>
      <c r="H88" s="2" t="s">
        <v>2136</v>
      </c>
      <c r="I88" s="2" t="s">
        <v>11</v>
      </c>
      <c r="J88" s="2" t="s">
        <v>30</v>
      </c>
      <c r="K88" s="2" t="s">
        <v>37</v>
      </c>
      <c r="L88" s="2"/>
      <c r="M88" s="2"/>
      <c r="N88" s="7" t="s">
        <v>37</v>
      </c>
      <c r="O88" s="6">
        <v>1</v>
      </c>
      <c r="P88" s="2" t="s">
        <v>3680</v>
      </c>
      <c r="Q88" s="2" t="str">
        <f>IF(Tabla1[[#This Row],[evaluacion_]]="","",IF(Tabla1[[#This Row],[evaluacion_]]=1,"Habilitado","No Habilitado"))</f>
        <v>Habilitado</v>
      </c>
      <c r="R88" s="2" t="str">
        <f>IF(Tabla1[[#This Row],[fecha]]="","",TEXT(Tabla1[[#This Row],[fecha]],"DMMAAAA")&amp;TEXT(Tabla1[[#This Row],[hora]],"HHmm"))</f>
        <v>180220261500</v>
      </c>
      <c r="S88" s="19" t="str">
        <f>_xlfn.CONCAT(Tabla1[[#This Row],[codigo_]],Tabla1[[#This Row],[correlativo_]])</f>
        <v>180220261500807</v>
      </c>
      <c r="T88" s="2" t="str">
        <f t="shared" si="2"/>
        <v>14 de julio del 2025</v>
      </c>
      <c r="U88" s="2" t="str">
        <f>_xlfn.XLOOKUP(Tabla1[[#This Row],[instructor_2]],diccionario_!$A$1:$A$11,diccionario_!$D$1:$D$11,,0)</f>
        <v>Guillermo Milla M.</v>
      </c>
      <c r="V88" s="2" t="str">
        <f t="shared" si="3"/>
        <v>100%</v>
      </c>
      <c r="W88" s="2" t="s">
        <v>3691</v>
      </c>
    </row>
    <row r="89" spans="1:23" ht="16.5" customHeight="1">
      <c r="A89" s="2">
        <v>204</v>
      </c>
      <c r="B89" s="2" t="s">
        <v>7</v>
      </c>
      <c r="C89" s="2" t="s">
        <v>8</v>
      </c>
      <c r="D89" s="2" t="s">
        <v>9</v>
      </c>
      <c r="E89" s="11">
        <v>45852</v>
      </c>
      <c r="F89" s="14">
        <v>0.41666666666666702</v>
      </c>
      <c r="G89" s="2" t="s">
        <v>2027</v>
      </c>
      <c r="H89" s="2" t="s">
        <v>2028</v>
      </c>
      <c r="I89" s="2" t="s">
        <v>11</v>
      </c>
      <c r="J89" s="2" t="s">
        <v>30</v>
      </c>
      <c r="K89" s="2" t="s">
        <v>37</v>
      </c>
      <c r="L89" s="2"/>
      <c r="M89" s="2"/>
      <c r="N89" s="7" t="s">
        <v>37</v>
      </c>
      <c r="O89" s="6">
        <v>1</v>
      </c>
      <c r="P89" s="2" t="s">
        <v>3680</v>
      </c>
      <c r="Q89" s="2" t="str">
        <f>IF(Tabla1[[#This Row],[evaluacion_]]="","",IF(Tabla1[[#This Row],[evaluacion_]]=1,"Habilitado","No Habilitado"))</f>
        <v>Habilitado</v>
      </c>
      <c r="R89" s="2" t="str">
        <f>IF(Tabla1[[#This Row],[fecha]]="","",TEXT(Tabla1[[#This Row],[fecha]],"DMMAAAA")&amp;TEXT(Tabla1[[#This Row],[hora]],"HHmm"))</f>
        <v>180220261500</v>
      </c>
      <c r="S89" s="19" t="str">
        <f>_xlfn.CONCAT(Tabla1[[#This Row],[codigo_]],Tabla1[[#This Row],[correlativo_]])</f>
        <v>180220261500808</v>
      </c>
      <c r="T89" s="2" t="str">
        <f t="shared" si="2"/>
        <v>14 de julio del 2025</v>
      </c>
      <c r="U89" s="2" t="str">
        <f>_xlfn.XLOOKUP(Tabla1[[#This Row],[instructor_2]],diccionario_!$A$1:$A$11,diccionario_!$D$1:$D$11,,0)</f>
        <v>Guillermo Milla M.</v>
      </c>
      <c r="V89" s="2" t="str">
        <f t="shared" si="3"/>
        <v>100%</v>
      </c>
      <c r="W89" s="2" t="s">
        <v>3691</v>
      </c>
    </row>
    <row r="90" spans="1:23" ht="16.5" customHeight="1">
      <c r="A90" s="2">
        <v>205</v>
      </c>
      <c r="B90" s="2" t="s">
        <v>7</v>
      </c>
      <c r="C90" s="2" t="s">
        <v>8</v>
      </c>
      <c r="D90" s="2" t="s">
        <v>9</v>
      </c>
      <c r="E90" s="11">
        <v>45852</v>
      </c>
      <c r="F90" s="14">
        <v>0.41666666666666702</v>
      </c>
      <c r="G90" s="2" t="s">
        <v>3121</v>
      </c>
      <c r="H90" s="2" t="s">
        <v>3122</v>
      </c>
      <c r="I90" s="2" t="s">
        <v>11</v>
      </c>
      <c r="J90" s="2" t="s">
        <v>30</v>
      </c>
      <c r="K90" s="2" t="s">
        <v>37</v>
      </c>
      <c r="L90" s="2"/>
      <c r="M90" s="2"/>
      <c r="N90" s="7" t="s">
        <v>37</v>
      </c>
      <c r="O90" s="6">
        <v>1</v>
      </c>
      <c r="P90" s="2" t="s">
        <v>3680</v>
      </c>
      <c r="Q90" s="2" t="str">
        <f>IF(Tabla1[[#This Row],[evaluacion_]]="","",IF(Tabla1[[#This Row],[evaluacion_]]=1,"Habilitado","No Habilitado"))</f>
        <v>Habilitado</v>
      </c>
      <c r="R90" s="2" t="str">
        <f>IF(Tabla1[[#This Row],[fecha]]="","",TEXT(Tabla1[[#This Row],[fecha]],"DMMAAAA")&amp;TEXT(Tabla1[[#This Row],[hora]],"HHmm"))</f>
        <v>180220261500</v>
      </c>
      <c r="S90" s="19" t="str">
        <f>_xlfn.CONCAT(Tabla1[[#This Row],[codigo_]],Tabla1[[#This Row],[correlativo_]])</f>
        <v>180220261500809</v>
      </c>
      <c r="T90" s="2" t="str">
        <f t="shared" si="2"/>
        <v>14 de julio del 2025</v>
      </c>
      <c r="U90" s="2" t="str">
        <f>_xlfn.XLOOKUP(Tabla1[[#This Row],[instructor_2]],diccionario_!$A$1:$A$11,diccionario_!$D$1:$D$11,,0)</f>
        <v>Guillermo Milla M.</v>
      </c>
      <c r="V90" s="2" t="str">
        <f t="shared" si="3"/>
        <v>100%</v>
      </c>
      <c r="W90" s="2" t="s">
        <v>3691</v>
      </c>
    </row>
    <row r="91" spans="1:23" ht="16.5" customHeight="1">
      <c r="A91" s="2">
        <v>206</v>
      </c>
      <c r="B91" s="2" t="s">
        <v>7</v>
      </c>
      <c r="C91" s="2" t="s">
        <v>8</v>
      </c>
      <c r="D91" s="2" t="s">
        <v>9</v>
      </c>
      <c r="E91" s="11">
        <v>45852</v>
      </c>
      <c r="F91" s="14">
        <v>0.41666666666666702</v>
      </c>
      <c r="G91" s="2" t="s">
        <v>2337</v>
      </c>
      <c r="H91" s="2" t="s">
        <v>2338</v>
      </c>
      <c r="I91" s="2" t="s">
        <v>11</v>
      </c>
      <c r="J91" s="2" t="s">
        <v>30</v>
      </c>
      <c r="K91" s="2" t="s">
        <v>37</v>
      </c>
      <c r="L91" s="2"/>
      <c r="M91" s="2"/>
      <c r="N91" s="7" t="s">
        <v>37</v>
      </c>
      <c r="O91" s="6">
        <v>1</v>
      </c>
      <c r="P91" s="2" t="s">
        <v>3680</v>
      </c>
      <c r="Q91" s="2" t="str">
        <f>IF(Tabla1[[#This Row],[evaluacion_]]="","",IF(Tabla1[[#This Row],[evaluacion_]]=1,"Habilitado","No Habilitado"))</f>
        <v>Habilitado</v>
      </c>
      <c r="R91" s="2" t="str">
        <f>IF(Tabla1[[#This Row],[fecha]]="","",TEXT(Tabla1[[#This Row],[fecha]],"DMMAAAA")&amp;TEXT(Tabla1[[#This Row],[hora]],"HHmm"))</f>
        <v>180220261500</v>
      </c>
      <c r="S91" s="19" t="str">
        <f>_xlfn.CONCAT(Tabla1[[#This Row],[codigo_]],Tabla1[[#This Row],[correlativo_]])</f>
        <v>180220261500810</v>
      </c>
      <c r="T91" s="2" t="str">
        <f t="shared" si="2"/>
        <v>14 de julio del 2025</v>
      </c>
      <c r="U91" s="2" t="str">
        <f>_xlfn.XLOOKUP(Tabla1[[#This Row],[instructor_2]],diccionario_!$A$1:$A$11,diccionario_!$D$1:$D$11,,0)</f>
        <v>Guillermo Milla M.</v>
      </c>
      <c r="V91" s="2" t="str">
        <f t="shared" si="3"/>
        <v>100%</v>
      </c>
      <c r="W91" s="2" t="s">
        <v>3691</v>
      </c>
    </row>
    <row r="92" spans="1:23" ht="16.5" customHeight="1">
      <c r="A92" s="2">
        <v>207</v>
      </c>
      <c r="B92" s="2" t="s">
        <v>7</v>
      </c>
      <c r="C92" s="2" t="s">
        <v>8</v>
      </c>
      <c r="D92" s="2" t="s">
        <v>9</v>
      </c>
      <c r="E92" s="11">
        <v>45852</v>
      </c>
      <c r="F92" s="14">
        <v>0.41666666666666702</v>
      </c>
      <c r="G92" s="2" t="s">
        <v>1421</v>
      </c>
      <c r="H92" s="2" t="s">
        <v>1422</v>
      </c>
      <c r="I92" s="2" t="s">
        <v>11</v>
      </c>
      <c r="J92" s="2" t="s">
        <v>30</v>
      </c>
      <c r="K92" s="2" t="s">
        <v>37</v>
      </c>
      <c r="L92" s="2"/>
      <c r="M92" s="2"/>
      <c r="N92" s="7" t="s">
        <v>37</v>
      </c>
      <c r="O92" s="6">
        <v>1</v>
      </c>
      <c r="P92" s="2" t="s">
        <v>3680</v>
      </c>
      <c r="Q92" s="2" t="str">
        <f>IF(Tabla1[[#This Row],[evaluacion_]]="","",IF(Tabla1[[#This Row],[evaluacion_]]=1,"Habilitado","No Habilitado"))</f>
        <v>Habilitado</v>
      </c>
      <c r="R92" s="2" t="str">
        <f>IF(Tabla1[[#This Row],[fecha]]="","",TEXT(Tabla1[[#This Row],[fecha]],"DMMAAAA")&amp;TEXT(Tabla1[[#This Row],[hora]],"HHmm"))</f>
        <v>180220261500</v>
      </c>
      <c r="S92" s="19" t="str">
        <f>_xlfn.CONCAT(Tabla1[[#This Row],[codigo_]],Tabla1[[#This Row],[correlativo_]])</f>
        <v>180220261500811</v>
      </c>
      <c r="T92" s="2" t="str">
        <f t="shared" si="2"/>
        <v>14 de julio del 2025</v>
      </c>
      <c r="U92" s="2" t="str">
        <f>_xlfn.XLOOKUP(Tabla1[[#This Row],[instructor_2]],diccionario_!$A$1:$A$11,diccionario_!$D$1:$D$11,,0)</f>
        <v>Guillermo Milla M.</v>
      </c>
      <c r="V92" s="2" t="str">
        <f t="shared" si="3"/>
        <v>100%</v>
      </c>
      <c r="W92" s="2" t="s">
        <v>3691</v>
      </c>
    </row>
    <row r="93" spans="1:23" ht="16.5" customHeight="1">
      <c r="A93" s="2">
        <v>208</v>
      </c>
      <c r="B93" s="2" t="s">
        <v>7</v>
      </c>
      <c r="C93" s="2" t="s">
        <v>8</v>
      </c>
      <c r="D93" s="2" t="s">
        <v>9</v>
      </c>
      <c r="E93" s="11">
        <v>45852</v>
      </c>
      <c r="F93" s="14">
        <v>0.41666666666666702</v>
      </c>
      <c r="G93" s="2" t="s">
        <v>2954</v>
      </c>
      <c r="H93" s="2" t="s">
        <v>2955</v>
      </c>
      <c r="I93" s="2" t="s">
        <v>11</v>
      </c>
      <c r="J93" s="2" t="s">
        <v>30</v>
      </c>
      <c r="K93" s="2" t="s">
        <v>37</v>
      </c>
      <c r="L93" s="2"/>
      <c r="M93" s="2"/>
      <c r="N93" s="7" t="s">
        <v>37</v>
      </c>
      <c r="O93" s="6">
        <v>1</v>
      </c>
      <c r="P93" s="2" t="s">
        <v>3680</v>
      </c>
      <c r="Q93" s="2" t="str">
        <f>IF(Tabla1[[#This Row],[evaluacion_]]="","",IF(Tabla1[[#This Row],[evaluacion_]]=1,"Habilitado","No Habilitado"))</f>
        <v>Habilitado</v>
      </c>
      <c r="R93" s="2" t="str">
        <f>IF(Tabla1[[#This Row],[fecha]]="","",TEXT(Tabla1[[#This Row],[fecha]],"DMMAAAA")&amp;TEXT(Tabla1[[#This Row],[hora]],"HHmm"))</f>
        <v>180220261500</v>
      </c>
      <c r="S93" s="19" t="str">
        <f>_xlfn.CONCAT(Tabla1[[#This Row],[codigo_]],Tabla1[[#This Row],[correlativo_]])</f>
        <v>180220261500812</v>
      </c>
      <c r="T93" s="2" t="str">
        <f t="shared" si="2"/>
        <v>14 de julio del 2025</v>
      </c>
      <c r="U93" s="2" t="str">
        <f>_xlfn.XLOOKUP(Tabla1[[#This Row],[instructor_2]],diccionario_!$A$1:$A$11,diccionario_!$D$1:$D$11,,0)</f>
        <v>Guillermo Milla M.</v>
      </c>
      <c r="V93" s="2" t="str">
        <f t="shared" si="3"/>
        <v>100%</v>
      </c>
      <c r="W93" s="2" t="s">
        <v>3691</v>
      </c>
    </row>
    <row r="94" spans="1:23" ht="16.5" customHeight="1">
      <c r="A94" s="2">
        <v>209</v>
      </c>
      <c r="B94" s="2" t="s">
        <v>7</v>
      </c>
      <c r="C94" s="2" t="s">
        <v>8</v>
      </c>
      <c r="D94" s="2" t="s">
        <v>9</v>
      </c>
      <c r="E94" s="11">
        <v>45853</v>
      </c>
      <c r="F94" s="14">
        <v>0.41666666666666702</v>
      </c>
      <c r="G94" s="2" t="s">
        <v>3050</v>
      </c>
      <c r="H94" s="2" t="s">
        <v>3051</v>
      </c>
      <c r="I94" s="2" t="s">
        <v>17</v>
      </c>
      <c r="J94" s="2" t="s">
        <v>3679</v>
      </c>
      <c r="K94" s="2" t="s">
        <v>49</v>
      </c>
      <c r="L94" s="2"/>
      <c r="M94" s="2"/>
      <c r="N94" s="7" t="s">
        <v>49</v>
      </c>
      <c r="O94" s="6">
        <v>1</v>
      </c>
      <c r="P94" s="2" t="s">
        <v>3680</v>
      </c>
      <c r="Q94" s="2" t="str">
        <f>IF(Tabla1[[#This Row],[evaluacion_]]="","",IF(Tabla1[[#This Row],[evaluacion_]]=1,"Habilitado","No Habilitado"))</f>
        <v>Habilitado</v>
      </c>
      <c r="R94" s="2" t="str">
        <f>IF(Tabla1[[#This Row],[fecha]]="","",TEXT(Tabla1[[#This Row],[fecha]],"DMMAAAA")&amp;TEXT(Tabla1[[#This Row],[hora]],"HHmm"))</f>
        <v>180220261500</v>
      </c>
      <c r="S94" s="19" t="str">
        <f>_xlfn.CONCAT(Tabla1[[#This Row],[codigo_]],Tabla1[[#This Row],[correlativo_]])</f>
        <v>180220261500813</v>
      </c>
      <c r="T94" s="2" t="str">
        <f t="shared" si="2"/>
        <v>15 de julio del 2025</v>
      </c>
      <c r="U94" s="2" t="str">
        <f>_xlfn.XLOOKUP(Tabla1[[#This Row],[instructor_2]],diccionario_!$A$1:$A$11,diccionario_!$D$1:$D$11,,0)</f>
        <v>Guillermo Milla M.</v>
      </c>
      <c r="V94" s="2" t="str">
        <f t="shared" si="3"/>
        <v>100%</v>
      </c>
      <c r="W94" s="2" t="s">
        <v>3691</v>
      </c>
    </row>
    <row r="95" spans="1:23" ht="16.5" customHeight="1">
      <c r="A95" s="2">
        <v>210</v>
      </c>
      <c r="B95" s="2" t="s">
        <v>7</v>
      </c>
      <c r="C95" s="2" t="s">
        <v>8</v>
      </c>
      <c r="D95" s="2" t="s">
        <v>9</v>
      </c>
      <c r="E95" s="11">
        <v>45853</v>
      </c>
      <c r="F95" s="14">
        <v>0.41666666666666702</v>
      </c>
      <c r="G95" s="2" t="s">
        <v>3449</v>
      </c>
      <c r="H95" s="2" t="s">
        <v>3450</v>
      </c>
      <c r="I95" s="2" t="s">
        <v>17</v>
      </c>
      <c r="J95" s="2" t="s">
        <v>3679</v>
      </c>
      <c r="K95" s="2" t="s">
        <v>49</v>
      </c>
      <c r="L95" s="2"/>
      <c r="M95" s="2"/>
      <c r="N95" s="7" t="s">
        <v>49</v>
      </c>
      <c r="O95" s="6">
        <v>1</v>
      </c>
      <c r="P95" s="2" t="s">
        <v>3680</v>
      </c>
      <c r="Q95" s="2" t="str">
        <f>IF(Tabla1[[#This Row],[evaluacion_]]="","",IF(Tabla1[[#This Row],[evaluacion_]]=1,"Habilitado","No Habilitado"))</f>
        <v>Habilitado</v>
      </c>
      <c r="R95" s="2" t="str">
        <f>IF(Tabla1[[#This Row],[fecha]]="","",TEXT(Tabla1[[#This Row],[fecha]],"DMMAAAA")&amp;TEXT(Tabla1[[#This Row],[hora]],"HHmm"))</f>
        <v>180220261500</v>
      </c>
      <c r="S95" s="19" t="str">
        <f>_xlfn.CONCAT(Tabla1[[#This Row],[codigo_]],Tabla1[[#This Row],[correlativo_]])</f>
        <v>180220261500814</v>
      </c>
      <c r="T95" s="2" t="str">
        <f t="shared" si="2"/>
        <v>15 de julio del 2025</v>
      </c>
      <c r="U95" s="2" t="str">
        <f>_xlfn.XLOOKUP(Tabla1[[#This Row],[instructor_2]],diccionario_!$A$1:$A$11,diccionario_!$D$1:$D$11,,0)</f>
        <v>Guillermo Milla M.</v>
      </c>
      <c r="V95" s="2" t="str">
        <f t="shared" si="3"/>
        <v>100%</v>
      </c>
      <c r="W95" s="2" t="s">
        <v>3691</v>
      </c>
    </row>
    <row r="96" spans="1:23" ht="16.5" customHeight="1">
      <c r="A96" s="2">
        <v>211</v>
      </c>
      <c r="B96" s="2" t="s">
        <v>7</v>
      </c>
      <c r="C96" s="2" t="s">
        <v>8</v>
      </c>
      <c r="D96" s="2" t="s">
        <v>9</v>
      </c>
      <c r="E96" s="11">
        <v>45853</v>
      </c>
      <c r="F96" s="14">
        <v>0.41666666666666702</v>
      </c>
      <c r="G96" s="2" t="s">
        <v>1886</v>
      </c>
      <c r="H96" s="2" t="s">
        <v>1887</v>
      </c>
      <c r="I96" s="2" t="s">
        <v>17</v>
      </c>
      <c r="J96" s="2" t="s">
        <v>3679</v>
      </c>
      <c r="K96" s="2" t="s">
        <v>49</v>
      </c>
      <c r="L96" s="2"/>
      <c r="M96" s="2"/>
      <c r="N96" s="7" t="s">
        <v>49</v>
      </c>
      <c r="O96" s="6">
        <v>1</v>
      </c>
      <c r="P96" s="2" t="s">
        <v>3680</v>
      </c>
      <c r="Q96" s="2" t="str">
        <f>IF(Tabla1[[#This Row],[evaluacion_]]="","",IF(Tabla1[[#This Row],[evaluacion_]]=1,"Habilitado","No Habilitado"))</f>
        <v>Habilitado</v>
      </c>
      <c r="R96" s="2" t="str">
        <f>IF(Tabla1[[#This Row],[fecha]]="","",TEXT(Tabla1[[#This Row],[fecha]],"DMMAAAA")&amp;TEXT(Tabla1[[#This Row],[hora]],"HHmm"))</f>
        <v>190220261200</v>
      </c>
      <c r="S96" s="19" t="str">
        <f>_xlfn.CONCAT(Tabla1[[#This Row],[codigo_]],Tabla1[[#This Row],[correlativo_]])</f>
        <v>190220261200815</v>
      </c>
      <c r="T96" s="2" t="str">
        <f t="shared" si="2"/>
        <v>15 de julio del 2025</v>
      </c>
      <c r="U96" s="2" t="str">
        <f>_xlfn.XLOOKUP(Tabla1[[#This Row],[instructor_2]],diccionario_!$A$1:$A$11,diccionario_!$D$1:$D$11,,0)</f>
        <v>Marcelo Barrera A.</v>
      </c>
      <c r="V96" s="2" t="str">
        <f t="shared" si="3"/>
        <v>100%</v>
      </c>
      <c r="W96" s="2" t="s">
        <v>3691</v>
      </c>
    </row>
    <row r="97" spans="1:23" ht="16.5" customHeight="1">
      <c r="A97" s="2">
        <v>212</v>
      </c>
      <c r="B97" s="2" t="s">
        <v>7</v>
      </c>
      <c r="C97" s="2" t="s">
        <v>8</v>
      </c>
      <c r="D97" s="2" t="s">
        <v>9</v>
      </c>
      <c r="E97" s="11">
        <v>45853</v>
      </c>
      <c r="F97" s="14">
        <v>0.41666666666666702</v>
      </c>
      <c r="G97" s="2" t="s">
        <v>2631</v>
      </c>
      <c r="H97" s="2" t="s">
        <v>2632</v>
      </c>
      <c r="I97" s="2" t="s">
        <v>17</v>
      </c>
      <c r="J97" s="2" t="s">
        <v>3679</v>
      </c>
      <c r="K97" s="2" t="s">
        <v>49</v>
      </c>
      <c r="L97" s="2"/>
      <c r="M97" s="2"/>
      <c r="N97" s="7" t="s">
        <v>49</v>
      </c>
      <c r="O97" s="6">
        <v>1</v>
      </c>
      <c r="P97" s="2" t="s">
        <v>3680</v>
      </c>
      <c r="Q97" s="2" t="str">
        <f>IF(Tabla1[[#This Row],[evaluacion_]]="","",IF(Tabla1[[#This Row],[evaluacion_]]=1,"Habilitado","No Habilitado"))</f>
        <v>Habilitado</v>
      </c>
      <c r="R97" s="2" t="str">
        <f>IF(Tabla1[[#This Row],[fecha]]="","",TEXT(Tabla1[[#This Row],[fecha]],"DMMAAAA")&amp;TEXT(Tabla1[[#This Row],[hora]],"HHmm"))</f>
        <v>190220261400</v>
      </c>
      <c r="S97" s="19" t="str">
        <f>_xlfn.CONCAT(Tabla1[[#This Row],[codigo_]],Tabla1[[#This Row],[correlativo_]])</f>
        <v>190220261400816</v>
      </c>
      <c r="T97" s="2" t="str">
        <f t="shared" si="2"/>
        <v>15 de julio del 2025</v>
      </c>
      <c r="U97" s="2" t="str">
        <f>_xlfn.XLOOKUP(Tabla1[[#This Row],[instructor_2]],diccionario_!$A$1:$A$11,diccionario_!$D$1:$D$11,,0)</f>
        <v>Marcelo Barrera A.</v>
      </c>
      <c r="V97" s="2" t="str">
        <f t="shared" si="3"/>
        <v>100%</v>
      </c>
      <c r="W97" s="2" t="s">
        <v>3691</v>
      </c>
    </row>
    <row r="98" spans="1:23" ht="16.5" customHeight="1">
      <c r="A98" s="2">
        <v>213</v>
      </c>
      <c r="B98" s="2" t="s">
        <v>7</v>
      </c>
      <c r="C98" s="2" t="s">
        <v>8</v>
      </c>
      <c r="D98" s="2" t="s">
        <v>9</v>
      </c>
      <c r="E98" s="11">
        <v>45853</v>
      </c>
      <c r="F98" s="14">
        <v>0.41666666666666702</v>
      </c>
      <c r="G98" s="2" t="s">
        <v>944</v>
      </c>
      <c r="H98" s="2" t="s">
        <v>945</v>
      </c>
      <c r="I98" s="2" t="s">
        <v>17</v>
      </c>
      <c r="J98" s="2" t="s">
        <v>3679</v>
      </c>
      <c r="K98" s="2" t="s">
        <v>49</v>
      </c>
      <c r="L98" s="2"/>
      <c r="M98" s="2"/>
      <c r="N98" s="7" t="s">
        <v>49</v>
      </c>
      <c r="O98" s="6">
        <v>1</v>
      </c>
      <c r="P98" s="2" t="s">
        <v>3680</v>
      </c>
      <c r="Q98" s="2" t="str">
        <f>IF(Tabla1[[#This Row],[evaluacion_]]="","",IF(Tabla1[[#This Row],[evaluacion_]]=1,"Habilitado","No Habilitado"))</f>
        <v>Habilitado</v>
      </c>
      <c r="R98" s="2" t="str">
        <f>IF(Tabla1[[#This Row],[fecha]]="","",TEXT(Tabla1[[#This Row],[fecha]],"DMMAAAA")&amp;TEXT(Tabla1[[#This Row],[hora]],"HHmm"))</f>
        <v>190220261300</v>
      </c>
      <c r="S98" s="19" t="str">
        <f>_xlfn.CONCAT(Tabla1[[#This Row],[codigo_]],Tabla1[[#This Row],[correlativo_]])</f>
        <v>190220261300817</v>
      </c>
      <c r="T98" s="2" t="str">
        <f t="shared" si="2"/>
        <v>15 de julio del 2025</v>
      </c>
      <c r="U98" s="2" t="str">
        <f>_xlfn.XLOOKUP(Tabla1[[#This Row],[instructor_2]],diccionario_!$A$1:$A$11,diccionario_!$D$1:$D$11,,0)</f>
        <v>Marcelo Barrera A.</v>
      </c>
      <c r="V98" s="2" t="str">
        <f t="shared" si="3"/>
        <v>100%</v>
      </c>
      <c r="W98" s="2" t="s">
        <v>3691</v>
      </c>
    </row>
    <row r="99" spans="1:23" ht="16.5" customHeight="1">
      <c r="A99" s="2">
        <v>214</v>
      </c>
      <c r="B99" s="2" t="s">
        <v>7</v>
      </c>
      <c r="C99" s="2" t="s">
        <v>8</v>
      </c>
      <c r="D99" s="2" t="s">
        <v>9</v>
      </c>
      <c r="E99" s="11">
        <v>45853</v>
      </c>
      <c r="F99" s="14">
        <v>0.41666666666666702</v>
      </c>
      <c r="G99" s="2" t="s">
        <v>950</v>
      </c>
      <c r="H99" s="2" t="s">
        <v>951</v>
      </c>
      <c r="I99" s="2" t="s">
        <v>17</v>
      </c>
      <c r="J99" s="2" t="s">
        <v>3679</v>
      </c>
      <c r="K99" s="2" t="s">
        <v>49</v>
      </c>
      <c r="L99" s="2"/>
      <c r="M99" s="2"/>
      <c r="N99" s="7" t="s">
        <v>49</v>
      </c>
      <c r="O99" s="6">
        <v>1</v>
      </c>
      <c r="P99" s="2" t="s">
        <v>3680</v>
      </c>
      <c r="Q99" s="2" t="str">
        <f>IF(Tabla1[[#This Row],[evaluacion_]]="","",IF(Tabla1[[#This Row],[evaluacion_]]=1,"Habilitado","No Habilitado"))</f>
        <v>Habilitado</v>
      </c>
      <c r="R99" s="2" t="str">
        <f>IF(Tabla1[[#This Row],[fecha]]="","",TEXT(Tabla1[[#This Row],[fecha]],"DMMAAAA")&amp;TEXT(Tabla1[[#This Row],[hora]],"HHmm"))</f>
        <v>190220261330</v>
      </c>
      <c r="S99" s="19" t="str">
        <f>_xlfn.CONCAT(Tabla1[[#This Row],[codigo_]],Tabla1[[#This Row],[correlativo_]])</f>
        <v>190220261330818</v>
      </c>
      <c r="T99" s="2" t="str">
        <f t="shared" si="2"/>
        <v>15 de julio del 2025</v>
      </c>
      <c r="U99" s="2" t="str">
        <f>_xlfn.XLOOKUP(Tabla1[[#This Row],[instructor_2]],diccionario_!$A$1:$A$11,diccionario_!$D$1:$D$11,,0)</f>
        <v>Marcelo Barrera A.</v>
      </c>
      <c r="V99" s="2" t="str">
        <f t="shared" si="3"/>
        <v>100%</v>
      </c>
      <c r="W99" s="2" t="s">
        <v>3691</v>
      </c>
    </row>
    <row r="100" spans="1:23" ht="16.5" customHeight="1">
      <c r="A100" s="2">
        <v>215</v>
      </c>
      <c r="B100" s="2" t="s">
        <v>7</v>
      </c>
      <c r="C100" s="2" t="s">
        <v>8</v>
      </c>
      <c r="D100" s="2" t="s">
        <v>9</v>
      </c>
      <c r="E100" s="11">
        <v>45853</v>
      </c>
      <c r="F100" s="14">
        <v>0.41666666666666702</v>
      </c>
      <c r="G100" s="2" t="s">
        <v>3362</v>
      </c>
      <c r="H100" s="2" t="s">
        <v>3363</v>
      </c>
      <c r="I100" s="2" t="s">
        <v>17</v>
      </c>
      <c r="J100" s="2" t="s">
        <v>3679</v>
      </c>
      <c r="K100" s="2" t="s">
        <v>49</v>
      </c>
      <c r="L100" s="2"/>
      <c r="M100" s="2"/>
      <c r="N100" s="7" t="s">
        <v>49</v>
      </c>
      <c r="O100" s="6">
        <v>1</v>
      </c>
      <c r="P100" s="2" t="s">
        <v>3680</v>
      </c>
      <c r="Q100" s="2" t="str">
        <f>IF(Tabla1[[#This Row],[evaluacion_]]="","",IF(Tabla1[[#This Row],[evaluacion_]]=1,"Habilitado","No Habilitado"))</f>
        <v>Habilitado</v>
      </c>
      <c r="R100" s="2" t="str">
        <f>IF(Tabla1[[#This Row],[fecha]]="","",TEXT(Tabla1[[#This Row],[fecha]],"DMMAAAA")&amp;TEXT(Tabla1[[#This Row],[hora]],"HHmm"))</f>
        <v>190220261415</v>
      </c>
      <c r="S100" s="19" t="str">
        <f>_xlfn.CONCAT(Tabla1[[#This Row],[codigo_]],Tabla1[[#This Row],[correlativo_]])</f>
        <v>190220261415819</v>
      </c>
      <c r="T100" s="2" t="str">
        <f t="shared" si="2"/>
        <v>15 de julio del 2025</v>
      </c>
      <c r="U100" s="2" t="str">
        <f>_xlfn.XLOOKUP(Tabla1[[#This Row],[instructor_2]],diccionario_!$A$1:$A$11,diccionario_!$D$1:$D$11,,0)</f>
        <v>Marcelo Barrera A.</v>
      </c>
      <c r="V100" s="2" t="str">
        <f t="shared" si="3"/>
        <v>100%</v>
      </c>
      <c r="W100" s="2" t="s">
        <v>3691</v>
      </c>
    </row>
    <row r="101" spans="1:23" ht="16.5" customHeight="1">
      <c r="A101" s="2">
        <v>216</v>
      </c>
      <c r="B101" s="2" t="s">
        <v>7</v>
      </c>
      <c r="C101" s="2" t="s">
        <v>8</v>
      </c>
      <c r="D101" s="2" t="s">
        <v>9</v>
      </c>
      <c r="E101" s="11">
        <v>45853</v>
      </c>
      <c r="F101" s="14">
        <v>0.41666666666666702</v>
      </c>
      <c r="G101" s="2" t="s">
        <v>1039</v>
      </c>
      <c r="H101" s="2" t="s">
        <v>1040</v>
      </c>
      <c r="I101" s="2" t="s">
        <v>17</v>
      </c>
      <c r="J101" s="2" t="s">
        <v>3679</v>
      </c>
      <c r="K101" s="2" t="s">
        <v>49</v>
      </c>
      <c r="L101" s="2"/>
      <c r="M101" s="2"/>
      <c r="N101" s="7" t="s">
        <v>49</v>
      </c>
      <c r="O101" s="6">
        <v>1</v>
      </c>
      <c r="P101" s="2" t="s">
        <v>3680</v>
      </c>
      <c r="Q101" s="2" t="str">
        <f>IF(Tabla1[[#This Row],[evaluacion_]]="","",IF(Tabla1[[#This Row],[evaluacion_]]=1,"Habilitado","No Habilitado"))</f>
        <v>Habilitado</v>
      </c>
      <c r="R101" s="2" t="str">
        <f>IF(Tabla1[[#This Row],[fecha]]="","",TEXT(Tabla1[[#This Row],[fecha]],"DMMAAAA")&amp;TEXT(Tabla1[[#This Row],[hora]],"HHmm"))</f>
        <v>260220261000</v>
      </c>
      <c r="S101" s="19" t="str">
        <f>_xlfn.CONCAT(Tabla1[[#This Row],[codigo_]],Tabla1[[#This Row],[correlativo_]])</f>
        <v>260220261000820</v>
      </c>
      <c r="T101" s="2" t="str">
        <f t="shared" si="2"/>
        <v>15 de julio del 2025</v>
      </c>
      <c r="U101" s="2" t="str">
        <f>_xlfn.XLOOKUP(Tabla1[[#This Row],[instructor_2]],diccionario_!$A$1:$A$11,diccionario_!$D$1:$D$11,,0)</f>
        <v>Marcelo Barrera A.</v>
      </c>
      <c r="V101" s="2" t="str">
        <f t="shared" si="3"/>
        <v>100%</v>
      </c>
      <c r="W101" s="2" t="s">
        <v>3691</v>
      </c>
    </row>
    <row r="102" spans="1:23" ht="16.5" customHeight="1">
      <c r="A102" s="2">
        <v>217</v>
      </c>
      <c r="B102" s="2" t="s">
        <v>7</v>
      </c>
      <c r="C102" s="2" t="s">
        <v>8</v>
      </c>
      <c r="D102" s="2" t="s">
        <v>9</v>
      </c>
      <c r="E102" s="11">
        <v>45853</v>
      </c>
      <c r="F102" s="14">
        <v>0.41666666666666702</v>
      </c>
      <c r="G102" s="2" t="s">
        <v>2471</v>
      </c>
      <c r="H102" s="2" t="s">
        <v>2472</v>
      </c>
      <c r="I102" s="2" t="s">
        <v>17</v>
      </c>
      <c r="J102" s="2" t="s">
        <v>3679</v>
      </c>
      <c r="K102" s="2" t="s">
        <v>49</v>
      </c>
      <c r="L102" s="2"/>
      <c r="M102" s="2"/>
      <c r="N102" s="7" t="s">
        <v>49</v>
      </c>
      <c r="O102" s="6">
        <v>1</v>
      </c>
      <c r="P102" s="2" t="s">
        <v>3680</v>
      </c>
      <c r="Q102" s="2" t="str">
        <f>IF(Tabla1[[#This Row],[evaluacion_]]="","",IF(Tabla1[[#This Row],[evaluacion_]]=1,"Habilitado","No Habilitado"))</f>
        <v>Habilitado</v>
      </c>
      <c r="R102" s="2" t="str">
        <f>IF(Tabla1[[#This Row],[fecha]]="","",TEXT(Tabla1[[#This Row],[fecha]],"DMMAAAA")&amp;TEXT(Tabla1[[#This Row],[hora]],"HHmm"))</f>
        <v>260220261000</v>
      </c>
      <c r="S102" s="19" t="str">
        <f>_xlfn.CONCAT(Tabla1[[#This Row],[codigo_]],Tabla1[[#This Row],[correlativo_]])</f>
        <v>260220261000821</v>
      </c>
      <c r="T102" s="2" t="str">
        <f t="shared" si="2"/>
        <v>15 de julio del 2025</v>
      </c>
      <c r="U102" s="2" t="str">
        <f>_xlfn.XLOOKUP(Tabla1[[#This Row],[instructor_2]],diccionario_!$A$1:$A$11,diccionario_!$D$1:$D$11,,0)</f>
        <v>Marcelo Barrera A.</v>
      </c>
      <c r="V102" s="2" t="str">
        <f t="shared" si="3"/>
        <v>100%</v>
      </c>
      <c r="W102" s="2" t="s">
        <v>3691</v>
      </c>
    </row>
    <row r="103" spans="1:23" ht="16.5" customHeight="1">
      <c r="A103" s="2">
        <v>218</v>
      </c>
      <c r="B103" s="2" t="s">
        <v>7</v>
      </c>
      <c r="C103" s="2" t="s">
        <v>8</v>
      </c>
      <c r="D103" s="2" t="s">
        <v>9</v>
      </c>
      <c r="E103" s="11">
        <v>45853</v>
      </c>
      <c r="F103" s="14">
        <v>0.41666666666666702</v>
      </c>
      <c r="G103" s="2" t="s">
        <v>240</v>
      </c>
      <c r="H103" s="2" t="s">
        <v>241</v>
      </c>
      <c r="I103" s="2" t="s">
        <v>17</v>
      </c>
      <c r="J103" s="2" t="s">
        <v>3679</v>
      </c>
      <c r="K103" s="2" t="s">
        <v>49</v>
      </c>
      <c r="L103" s="2"/>
      <c r="M103" s="2"/>
      <c r="N103" s="7" t="s">
        <v>49</v>
      </c>
      <c r="O103" s="6">
        <v>1</v>
      </c>
      <c r="P103" s="2" t="s">
        <v>3680</v>
      </c>
      <c r="Q103" s="2" t="str">
        <f>IF(Tabla1[[#This Row],[evaluacion_]]="","",IF(Tabla1[[#This Row],[evaluacion_]]=1,"Habilitado","No Habilitado"))</f>
        <v>Habilitado</v>
      </c>
      <c r="R103" s="2" t="str">
        <f>IF(Tabla1[[#This Row],[fecha]]="","",TEXT(Tabla1[[#This Row],[fecha]],"DMMAAAA")&amp;TEXT(Tabla1[[#This Row],[hora]],"HHmm"))</f>
        <v>190220261800</v>
      </c>
      <c r="S103" s="19" t="str">
        <f>_xlfn.CONCAT(Tabla1[[#This Row],[codigo_]],Tabla1[[#This Row],[correlativo_]])</f>
        <v>190220261800822</v>
      </c>
      <c r="T103" s="2" t="str">
        <f t="shared" si="2"/>
        <v>15 de julio del 2025</v>
      </c>
      <c r="U103" s="2" t="str">
        <f>_xlfn.XLOOKUP(Tabla1[[#This Row],[instructor_2]],diccionario_!$A$1:$A$11,diccionario_!$D$1:$D$11,,0)</f>
        <v>Marcelo Barrera A.</v>
      </c>
      <c r="V103" s="2" t="str">
        <f t="shared" si="3"/>
        <v>100%</v>
      </c>
      <c r="W103" s="2" t="s">
        <v>3691</v>
      </c>
    </row>
    <row r="104" spans="1:23" ht="16.5" customHeight="1">
      <c r="A104" s="2">
        <v>219</v>
      </c>
      <c r="B104" s="2" t="s">
        <v>7</v>
      </c>
      <c r="C104" s="2" t="s">
        <v>8</v>
      </c>
      <c r="D104" s="2" t="s">
        <v>9</v>
      </c>
      <c r="E104" s="11">
        <v>45853</v>
      </c>
      <c r="F104" s="14">
        <v>0.41666666666666702</v>
      </c>
      <c r="G104" s="2" t="s">
        <v>1329</v>
      </c>
      <c r="H104" s="2" t="s">
        <v>1330</v>
      </c>
      <c r="I104" s="2" t="s">
        <v>17</v>
      </c>
      <c r="J104" s="2" t="s">
        <v>3679</v>
      </c>
      <c r="K104" s="2" t="s">
        <v>49</v>
      </c>
      <c r="L104" s="2"/>
      <c r="M104" s="2"/>
      <c r="N104" s="7" t="s">
        <v>49</v>
      </c>
      <c r="O104" s="6">
        <v>1</v>
      </c>
      <c r="P104" s="2" t="s">
        <v>3680</v>
      </c>
      <c r="Q104" s="2" t="str">
        <f>IF(Tabla1[[#This Row],[evaluacion_]]="","",IF(Tabla1[[#This Row],[evaluacion_]]=1,"Habilitado","No Habilitado"))</f>
        <v>Habilitado</v>
      </c>
      <c r="R104" s="2" t="str">
        <f>IF(Tabla1[[#This Row],[fecha]]="","",TEXT(Tabla1[[#This Row],[fecha]],"DMMAAAA")&amp;TEXT(Tabla1[[#This Row],[hora]],"HHmm"))</f>
        <v>190220261800</v>
      </c>
      <c r="S104" s="19" t="str">
        <f>_xlfn.CONCAT(Tabla1[[#This Row],[codigo_]],Tabla1[[#This Row],[correlativo_]])</f>
        <v>190220261800823</v>
      </c>
      <c r="T104" s="2" t="str">
        <f t="shared" si="2"/>
        <v>15 de julio del 2025</v>
      </c>
      <c r="U104" s="2" t="str">
        <f>_xlfn.XLOOKUP(Tabla1[[#This Row],[instructor_2]],diccionario_!$A$1:$A$11,diccionario_!$D$1:$D$11,,0)</f>
        <v>Marcelo Barrera A.</v>
      </c>
      <c r="V104" s="2" t="str">
        <f t="shared" si="3"/>
        <v>100%</v>
      </c>
      <c r="W104" s="2" t="s">
        <v>3691</v>
      </c>
    </row>
    <row r="105" spans="1:23" ht="16.5" customHeight="1">
      <c r="A105" s="2">
        <v>220</v>
      </c>
      <c r="B105" s="2" t="s">
        <v>7</v>
      </c>
      <c r="C105" s="2" t="s">
        <v>8</v>
      </c>
      <c r="D105" s="2" t="s">
        <v>9</v>
      </c>
      <c r="E105" s="11">
        <v>45853</v>
      </c>
      <c r="F105" s="14">
        <v>0.41666666666666702</v>
      </c>
      <c r="G105" s="2" t="s">
        <v>1007</v>
      </c>
      <c r="H105" s="2" t="s">
        <v>1008</v>
      </c>
      <c r="I105" s="2" t="s">
        <v>17</v>
      </c>
      <c r="J105" s="2" t="s">
        <v>3679</v>
      </c>
      <c r="K105" s="2" t="s">
        <v>49</v>
      </c>
      <c r="L105" s="2"/>
      <c r="M105" s="2"/>
      <c r="N105" s="7" t="s">
        <v>49</v>
      </c>
      <c r="O105" s="6">
        <v>1</v>
      </c>
      <c r="P105" s="2" t="s">
        <v>3680</v>
      </c>
      <c r="Q105" s="2" t="str">
        <f>IF(Tabla1[[#This Row],[evaluacion_]]="","",IF(Tabla1[[#This Row],[evaluacion_]]=1,"Habilitado","No Habilitado"))</f>
        <v>Habilitado</v>
      </c>
      <c r="R105" s="2" t="str">
        <f>IF(Tabla1[[#This Row],[fecha]]="","",TEXT(Tabla1[[#This Row],[fecha]],"DMMAAAA")&amp;TEXT(Tabla1[[#This Row],[hora]],"HHmm"))</f>
        <v>260220261300</v>
      </c>
      <c r="S105" s="19" t="str">
        <f>_xlfn.CONCAT(Tabla1[[#This Row],[codigo_]],Tabla1[[#This Row],[correlativo_]])</f>
        <v>260220261300824</v>
      </c>
      <c r="T105" s="2" t="str">
        <f t="shared" si="2"/>
        <v>15 de julio del 2025</v>
      </c>
      <c r="U105" s="2" t="str">
        <f>_xlfn.XLOOKUP(Tabla1[[#This Row],[instructor_2]],diccionario_!$A$1:$A$11,diccionario_!$D$1:$D$11,,0)</f>
        <v>Marcelo Barrera A.</v>
      </c>
      <c r="V105" s="2" t="str">
        <f t="shared" si="3"/>
        <v>100%</v>
      </c>
      <c r="W105" s="2" t="s">
        <v>3691</v>
      </c>
    </row>
    <row r="106" spans="1:23" ht="16.5" customHeight="1">
      <c r="A106" s="2">
        <v>221</v>
      </c>
      <c r="B106" s="2" t="s">
        <v>7</v>
      </c>
      <c r="C106" s="2" t="s">
        <v>8</v>
      </c>
      <c r="D106" s="2" t="s">
        <v>9</v>
      </c>
      <c r="E106" s="11">
        <v>45853</v>
      </c>
      <c r="F106" s="14">
        <v>0.41666666666666702</v>
      </c>
      <c r="G106" s="2" t="s">
        <v>1329</v>
      </c>
      <c r="H106" s="2" t="s">
        <v>1330</v>
      </c>
      <c r="I106" s="2" t="s">
        <v>17</v>
      </c>
      <c r="J106" s="2" t="s">
        <v>3679</v>
      </c>
      <c r="K106" s="2" t="s">
        <v>49</v>
      </c>
      <c r="L106" s="2"/>
      <c r="M106" s="2"/>
      <c r="N106" s="7" t="s">
        <v>49</v>
      </c>
      <c r="O106" s="6">
        <v>1</v>
      </c>
      <c r="P106" s="2" t="s">
        <v>3680</v>
      </c>
      <c r="Q106" s="2" t="str">
        <f>IF(Tabla1[[#This Row],[evaluacion_]]="","",IF(Tabla1[[#This Row],[evaluacion_]]=1,"Habilitado","No Habilitado"))</f>
        <v>Habilitado</v>
      </c>
      <c r="R106" s="2" t="str">
        <f>IF(Tabla1[[#This Row],[fecha]]="","",TEXT(Tabla1[[#This Row],[fecha]],"DMMAAAA")&amp;TEXT(Tabla1[[#This Row],[hora]],"HHmm"))</f>
        <v>260220261305</v>
      </c>
      <c r="S106" s="19" t="str">
        <f>_xlfn.CONCAT(Tabla1[[#This Row],[codigo_]],Tabla1[[#This Row],[correlativo_]])</f>
        <v>260220261305825</v>
      </c>
      <c r="T106" s="2" t="str">
        <f t="shared" si="2"/>
        <v>15 de julio del 2025</v>
      </c>
      <c r="U106" s="2" t="str">
        <f>_xlfn.XLOOKUP(Tabla1[[#This Row],[instructor_2]],diccionario_!$A$1:$A$11,diccionario_!$D$1:$D$11,,0)</f>
        <v>Marcelo Barrera A.</v>
      </c>
      <c r="V106" s="2" t="str">
        <f t="shared" si="3"/>
        <v>100%</v>
      </c>
      <c r="W106" s="2" t="s">
        <v>3691</v>
      </c>
    </row>
    <row r="107" spans="1:23" ht="16.5" customHeight="1">
      <c r="A107" s="2">
        <v>222</v>
      </c>
      <c r="B107" s="2" t="s">
        <v>7</v>
      </c>
      <c r="C107" s="2" t="s">
        <v>8</v>
      </c>
      <c r="D107" s="2" t="s">
        <v>9</v>
      </c>
      <c r="E107" s="11">
        <v>45853</v>
      </c>
      <c r="F107" s="14">
        <v>0.41666666666666702</v>
      </c>
      <c r="G107" s="2" t="s">
        <v>1861</v>
      </c>
      <c r="H107" s="2" t="s">
        <v>1862</v>
      </c>
      <c r="I107" s="2" t="s">
        <v>17</v>
      </c>
      <c r="J107" s="2" t="s">
        <v>3679</v>
      </c>
      <c r="K107" s="2" t="s">
        <v>49</v>
      </c>
      <c r="L107" s="2"/>
      <c r="M107" s="2"/>
      <c r="N107" s="7" t="s">
        <v>49</v>
      </c>
      <c r="O107" s="6">
        <v>1</v>
      </c>
      <c r="P107" s="2" t="s">
        <v>3680</v>
      </c>
      <c r="Q107" s="2" t="str">
        <f>IF(Tabla1[[#This Row],[evaluacion_]]="","",IF(Tabla1[[#This Row],[evaluacion_]]=1,"Habilitado","No Habilitado"))</f>
        <v>Habilitado</v>
      </c>
      <c r="R107" s="2" t="str">
        <f>IF(Tabla1[[#This Row],[fecha]]="","",TEXT(Tabla1[[#This Row],[fecha]],"DMMAAAA")&amp;TEXT(Tabla1[[#This Row],[hora]],"HHmm"))</f>
        <v>260220261200</v>
      </c>
      <c r="S107" s="19" t="str">
        <f>_xlfn.CONCAT(Tabla1[[#This Row],[codigo_]],Tabla1[[#This Row],[correlativo_]])</f>
        <v>260220261200826</v>
      </c>
      <c r="T107" s="2" t="str">
        <f t="shared" si="2"/>
        <v>15 de julio del 2025</v>
      </c>
      <c r="U107" s="2" t="str">
        <f>_xlfn.XLOOKUP(Tabla1[[#This Row],[instructor_2]],diccionario_!$A$1:$A$11,diccionario_!$D$1:$D$11,,0)</f>
        <v>Marcelo Barrera A.</v>
      </c>
      <c r="V107" s="2" t="str">
        <f t="shared" si="3"/>
        <v>100%</v>
      </c>
      <c r="W107" s="2" t="s">
        <v>3691</v>
      </c>
    </row>
    <row r="108" spans="1:23" ht="16.5" customHeight="1">
      <c r="A108" s="2">
        <v>223</v>
      </c>
      <c r="B108" s="2" t="s">
        <v>7</v>
      </c>
      <c r="C108" s="2" t="s">
        <v>8</v>
      </c>
      <c r="D108" s="2" t="s">
        <v>9</v>
      </c>
      <c r="E108" s="11">
        <v>45853</v>
      </c>
      <c r="F108" s="14">
        <v>0.41666666666666702</v>
      </c>
      <c r="G108" s="2" t="s">
        <v>1230</v>
      </c>
      <c r="H108" s="2" t="s">
        <v>1231</v>
      </c>
      <c r="I108" s="2" t="s">
        <v>17</v>
      </c>
      <c r="J108" s="2" t="s">
        <v>3679</v>
      </c>
      <c r="K108" s="2" t="s">
        <v>49</v>
      </c>
      <c r="L108" s="2"/>
      <c r="M108" s="2"/>
      <c r="N108" s="7" t="s">
        <v>49</v>
      </c>
      <c r="O108" s="6">
        <v>1</v>
      </c>
      <c r="P108" s="2" t="s">
        <v>3680</v>
      </c>
      <c r="Q108" s="2" t="str">
        <f>IF(Tabla1[[#This Row],[evaluacion_]]="","",IF(Tabla1[[#This Row],[evaluacion_]]=1,"Habilitado","No Habilitado"))</f>
        <v>Habilitado</v>
      </c>
      <c r="R108" s="2" t="str">
        <f>IF(Tabla1[[#This Row],[fecha]]="","",TEXT(Tabla1[[#This Row],[fecha]],"DMMAAAA")&amp;TEXT(Tabla1[[#This Row],[hora]],"HHmm"))</f>
        <v>260220261400</v>
      </c>
      <c r="S108" s="19" t="str">
        <f>_xlfn.CONCAT(Tabla1[[#This Row],[codigo_]],Tabla1[[#This Row],[correlativo_]])</f>
        <v>260220261400827</v>
      </c>
      <c r="T108" s="2" t="str">
        <f t="shared" si="2"/>
        <v>15 de julio del 2025</v>
      </c>
      <c r="U108" s="2" t="str">
        <f>_xlfn.XLOOKUP(Tabla1[[#This Row],[instructor_2]],diccionario_!$A$1:$A$11,diccionario_!$D$1:$D$11,,0)</f>
        <v>Marcelo Barrera A.</v>
      </c>
      <c r="V108" s="2" t="str">
        <f t="shared" si="3"/>
        <v>100%</v>
      </c>
      <c r="W108" s="2" t="s">
        <v>3691</v>
      </c>
    </row>
    <row r="109" spans="1:23" ht="16.5" customHeight="1">
      <c r="A109" s="2">
        <v>224</v>
      </c>
      <c r="B109" s="2" t="s">
        <v>7</v>
      </c>
      <c r="C109" s="2" t="s">
        <v>8</v>
      </c>
      <c r="D109" s="2" t="s">
        <v>9</v>
      </c>
      <c r="E109" s="11">
        <v>45853</v>
      </c>
      <c r="F109" s="14">
        <v>0.41666666666666702</v>
      </c>
      <c r="G109" s="2" t="s">
        <v>407</v>
      </c>
      <c r="H109" s="2" t="s">
        <v>408</v>
      </c>
      <c r="I109" s="2" t="s">
        <v>17</v>
      </c>
      <c r="J109" s="2" t="s">
        <v>3679</v>
      </c>
      <c r="K109" s="2" t="s">
        <v>49</v>
      </c>
      <c r="L109" s="2"/>
      <c r="M109" s="2"/>
      <c r="N109" s="7" t="s">
        <v>49</v>
      </c>
      <c r="O109" s="6">
        <v>1</v>
      </c>
      <c r="P109" s="2" t="s">
        <v>3680</v>
      </c>
      <c r="Q109" s="2" t="str">
        <f>IF(Tabla1[[#This Row],[evaluacion_]]="","",IF(Tabla1[[#This Row],[evaluacion_]]=1,"Habilitado","No Habilitado"))</f>
        <v>Habilitado</v>
      </c>
      <c r="R109" s="2" t="str">
        <f>IF(Tabla1[[#This Row],[fecha]]="","",TEXT(Tabla1[[#This Row],[fecha]],"DMMAAAA")&amp;TEXT(Tabla1[[#This Row],[hora]],"HHmm"))</f>
        <v>101020251753</v>
      </c>
      <c r="S109" s="19" t="str">
        <f>_xlfn.CONCAT(Tabla1[[#This Row],[codigo_]],Tabla1[[#This Row],[correlativo_]])</f>
        <v>101020251753828</v>
      </c>
      <c r="T109" s="2" t="str">
        <f t="shared" si="2"/>
        <v>15 de julio del 2025</v>
      </c>
      <c r="U109" s="2" t="str">
        <f>_xlfn.XLOOKUP(Tabla1[[#This Row],[instructor_2]],diccionario_!$A$1:$A$11,diccionario_!$D$1:$D$11,,0)</f>
        <v>Daniel Carvajal B.</v>
      </c>
      <c r="V109" s="2" t="str">
        <f t="shared" si="3"/>
        <v>100%</v>
      </c>
      <c r="W109" s="2" t="s">
        <v>3691</v>
      </c>
    </row>
    <row r="110" spans="1:23" ht="16.5" customHeight="1">
      <c r="A110" s="2">
        <v>225</v>
      </c>
      <c r="B110" s="2" t="s">
        <v>7</v>
      </c>
      <c r="C110" s="2" t="s">
        <v>8</v>
      </c>
      <c r="D110" s="2" t="s">
        <v>9</v>
      </c>
      <c r="E110" s="11">
        <v>45853</v>
      </c>
      <c r="F110" s="14">
        <v>0.41666666666666702</v>
      </c>
      <c r="G110" s="2" t="s">
        <v>1817</v>
      </c>
      <c r="H110" s="2" t="s">
        <v>1818</v>
      </c>
      <c r="I110" s="2" t="s">
        <v>17</v>
      </c>
      <c r="J110" s="2" t="s">
        <v>3679</v>
      </c>
      <c r="K110" s="2" t="s">
        <v>49</v>
      </c>
      <c r="L110" s="2"/>
      <c r="M110" s="2"/>
      <c r="N110" s="7" t="s">
        <v>49</v>
      </c>
      <c r="O110" s="6">
        <v>1</v>
      </c>
      <c r="P110" s="2" t="s">
        <v>3680</v>
      </c>
      <c r="Q110" s="2" t="str">
        <f>IF(Tabla1[[#This Row],[evaluacion_]]="","",IF(Tabla1[[#This Row],[evaluacion_]]=1,"Habilitado","No Habilitado"))</f>
        <v>Habilitado</v>
      </c>
      <c r="R110" s="2" t="str">
        <f>IF(Tabla1[[#This Row],[fecha]]="","",TEXT(Tabla1[[#This Row],[fecha]],"DMMAAAA")&amp;TEXT(Tabla1[[#This Row],[hora]],"HHmm"))</f>
        <v>101020251754</v>
      </c>
      <c r="S110" s="19" t="str">
        <f>_xlfn.CONCAT(Tabla1[[#This Row],[codigo_]],Tabla1[[#This Row],[correlativo_]])</f>
        <v>101020251754829</v>
      </c>
      <c r="T110" s="2" t="str">
        <f t="shared" si="2"/>
        <v>15 de julio del 2025</v>
      </c>
      <c r="U110" s="2" t="str">
        <f>_xlfn.XLOOKUP(Tabla1[[#This Row],[instructor_2]],diccionario_!$A$1:$A$11,diccionario_!$D$1:$D$11,,0)</f>
        <v>Daniel Carvajal B.</v>
      </c>
      <c r="V110" s="2" t="str">
        <f t="shared" si="3"/>
        <v>100%</v>
      </c>
      <c r="W110" s="2" t="s">
        <v>3691</v>
      </c>
    </row>
    <row r="111" spans="1:23" ht="16.5" customHeight="1">
      <c r="A111" s="2">
        <v>226</v>
      </c>
      <c r="B111" s="2" t="s">
        <v>7</v>
      </c>
      <c r="C111" s="2" t="s">
        <v>8</v>
      </c>
      <c r="D111" s="2" t="s">
        <v>9</v>
      </c>
      <c r="E111" s="11">
        <v>45853</v>
      </c>
      <c r="F111" s="14">
        <v>0.41666666666666702</v>
      </c>
      <c r="G111" s="2" t="s">
        <v>1788</v>
      </c>
      <c r="H111" s="2" t="s">
        <v>1789</v>
      </c>
      <c r="I111" s="2" t="s">
        <v>17</v>
      </c>
      <c r="J111" s="2" t="s">
        <v>3679</v>
      </c>
      <c r="K111" s="2" t="s">
        <v>49</v>
      </c>
      <c r="L111" s="2"/>
      <c r="M111" s="2"/>
      <c r="N111" s="7" t="s">
        <v>49</v>
      </c>
      <c r="O111" s="6">
        <v>1</v>
      </c>
      <c r="P111" s="2" t="s">
        <v>3680</v>
      </c>
      <c r="Q111" s="2" t="str">
        <f>IF(Tabla1[[#This Row],[evaluacion_]]="","",IF(Tabla1[[#This Row],[evaluacion_]]=1,"Habilitado","No Habilitado"))</f>
        <v>Habilitado</v>
      </c>
      <c r="R111" s="2" t="str">
        <f>IF(Tabla1[[#This Row],[fecha]]="","",TEXT(Tabla1[[#This Row],[fecha]],"DMMAAAA")&amp;TEXT(Tabla1[[#This Row],[hora]],"HHmm"))</f>
        <v>251020251251</v>
      </c>
      <c r="S111" s="19" t="str">
        <f>_xlfn.CONCAT(Tabla1[[#This Row],[codigo_]],Tabla1[[#This Row],[correlativo_]])</f>
        <v>251020251251830</v>
      </c>
      <c r="T111" s="2" t="str">
        <f t="shared" si="2"/>
        <v>15 de julio del 2025</v>
      </c>
      <c r="U111" s="2" t="str">
        <f>_xlfn.XLOOKUP(Tabla1[[#This Row],[instructor_2]],diccionario_!$A$1:$A$11,diccionario_!$D$1:$D$11,,0)</f>
        <v>Daniel Carvajal B.</v>
      </c>
      <c r="V111" s="2" t="str">
        <f t="shared" si="3"/>
        <v>100%</v>
      </c>
      <c r="W111" s="2" t="s">
        <v>3691</v>
      </c>
    </row>
    <row r="112" spans="1:23" ht="16.5" customHeight="1">
      <c r="A112" s="2">
        <v>227</v>
      </c>
      <c r="B112" s="2" t="s">
        <v>7</v>
      </c>
      <c r="C112" s="2" t="s">
        <v>8</v>
      </c>
      <c r="D112" s="2" t="s">
        <v>9</v>
      </c>
      <c r="E112" s="11">
        <v>45853</v>
      </c>
      <c r="F112" s="14">
        <v>0.41666666666666702</v>
      </c>
      <c r="G112" s="2" t="s">
        <v>716</v>
      </c>
      <c r="H112" s="2" t="s">
        <v>717</v>
      </c>
      <c r="I112" s="2" t="s">
        <v>17</v>
      </c>
      <c r="J112" s="2" t="s">
        <v>3679</v>
      </c>
      <c r="K112" s="2" t="s">
        <v>49</v>
      </c>
      <c r="L112" s="2"/>
      <c r="M112" s="2"/>
      <c r="N112" s="7" t="s">
        <v>49</v>
      </c>
      <c r="O112" s="6">
        <v>1</v>
      </c>
      <c r="P112" s="2" t="s">
        <v>3680</v>
      </c>
      <c r="Q112" s="2" t="str">
        <f>IF(Tabla1[[#This Row],[evaluacion_]]="","",IF(Tabla1[[#This Row],[evaluacion_]]=1,"Habilitado","No Habilitado"))</f>
        <v>Habilitado</v>
      </c>
      <c r="R112" s="2" t="str">
        <f>IF(Tabla1[[#This Row],[fecha]]="","",TEXT(Tabla1[[#This Row],[fecha]],"DMMAAAA")&amp;TEXT(Tabla1[[#This Row],[hora]],"HHmm"))</f>
        <v>251020251253</v>
      </c>
      <c r="S112" s="19" t="str">
        <f>_xlfn.CONCAT(Tabla1[[#This Row],[codigo_]],Tabla1[[#This Row],[correlativo_]])</f>
        <v>251020251253831</v>
      </c>
      <c r="T112" s="2" t="str">
        <f t="shared" si="2"/>
        <v>15 de julio del 2025</v>
      </c>
      <c r="U112" s="2" t="str">
        <f>_xlfn.XLOOKUP(Tabla1[[#This Row],[instructor_2]],diccionario_!$A$1:$A$11,diccionario_!$D$1:$D$11,,0)</f>
        <v>Daniel Carvajal B.</v>
      </c>
      <c r="V112" s="2" t="str">
        <f t="shared" si="3"/>
        <v>100%</v>
      </c>
      <c r="W112" s="2" t="s">
        <v>3691</v>
      </c>
    </row>
    <row r="113" spans="1:23" ht="16.5" customHeight="1">
      <c r="A113" s="2">
        <v>228</v>
      </c>
      <c r="B113" s="2" t="s">
        <v>7</v>
      </c>
      <c r="C113" s="2" t="s">
        <v>8</v>
      </c>
      <c r="D113" s="2" t="s">
        <v>9</v>
      </c>
      <c r="E113" s="11">
        <v>45853</v>
      </c>
      <c r="F113" s="14">
        <v>0.41666666666666702</v>
      </c>
      <c r="G113" s="2" t="s">
        <v>2952</v>
      </c>
      <c r="H113" s="2" t="s">
        <v>2953</v>
      </c>
      <c r="I113" s="2" t="s">
        <v>17</v>
      </c>
      <c r="J113" s="2" t="s">
        <v>3679</v>
      </c>
      <c r="K113" s="2" t="s">
        <v>49</v>
      </c>
      <c r="L113" s="2"/>
      <c r="M113" s="2"/>
      <c r="N113" s="7" t="s">
        <v>49</v>
      </c>
      <c r="O113" s="6">
        <v>1</v>
      </c>
      <c r="P113" s="2" t="s">
        <v>3680</v>
      </c>
      <c r="Q113" s="2" t="str">
        <f>IF(Tabla1[[#This Row],[evaluacion_]]="","",IF(Tabla1[[#This Row],[evaluacion_]]=1,"Habilitado","No Habilitado"))</f>
        <v>Habilitado</v>
      </c>
      <c r="R113" s="2" t="str">
        <f>IF(Tabla1[[#This Row],[fecha]]="","",TEXT(Tabla1[[#This Row],[fecha]],"DMMAAAA")&amp;TEXT(Tabla1[[#This Row],[hora]],"HHmm"))</f>
        <v>30320261500</v>
      </c>
      <c r="S113" s="19" t="str">
        <f>_xlfn.CONCAT(Tabla1[[#This Row],[codigo_]],Tabla1[[#This Row],[correlativo_]])</f>
        <v>30320261500832</v>
      </c>
      <c r="T113" s="2" t="str">
        <f t="shared" si="2"/>
        <v>15 de julio del 2025</v>
      </c>
      <c r="U113" s="2" t="str">
        <f>_xlfn.XLOOKUP(Tabla1[[#This Row],[instructor_2]],diccionario_!$A$1:$A$11,diccionario_!$D$1:$D$11,,0)</f>
        <v>Marcelo Barrera A.</v>
      </c>
      <c r="V113" s="2" t="str">
        <f t="shared" si="3"/>
        <v>100%</v>
      </c>
      <c r="W113" s="2" t="s">
        <v>3691</v>
      </c>
    </row>
    <row r="114" spans="1:23" ht="16.5" customHeight="1">
      <c r="A114" s="2">
        <v>229</v>
      </c>
      <c r="B114" s="2" t="s">
        <v>7</v>
      </c>
      <c r="C114" s="2" t="s">
        <v>8</v>
      </c>
      <c r="D114" s="2" t="s">
        <v>9</v>
      </c>
      <c r="E114" s="11">
        <v>45853</v>
      </c>
      <c r="F114" s="14">
        <v>0.41666666666666702</v>
      </c>
      <c r="G114" s="2" t="s">
        <v>3333</v>
      </c>
      <c r="H114" s="2" t="s">
        <v>3334</v>
      </c>
      <c r="I114" s="2" t="s">
        <v>17</v>
      </c>
      <c r="J114" s="2" t="s">
        <v>3679</v>
      </c>
      <c r="K114" s="2" t="s">
        <v>49</v>
      </c>
      <c r="L114" s="2"/>
      <c r="M114" s="2"/>
      <c r="N114" s="7" t="s">
        <v>49</v>
      </c>
      <c r="O114" s="6">
        <v>1</v>
      </c>
      <c r="P114" s="2" t="s">
        <v>3680</v>
      </c>
      <c r="Q114" s="2" t="str">
        <f>IF(Tabla1[[#This Row],[evaluacion_]]="","",IF(Tabla1[[#This Row],[evaluacion_]]=1,"Habilitado","No Habilitado"))</f>
        <v>Habilitado</v>
      </c>
      <c r="R114" s="2" t="str">
        <f>IF(Tabla1[[#This Row],[fecha]]="","",TEXT(Tabla1[[#This Row],[fecha]],"DMMAAAA")&amp;TEXT(Tabla1[[#This Row],[hora]],"HHmm"))</f>
        <v>30320261600</v>
      </c>
      <c r="S114" s="19" t="str">
        <f>_xlfn.CONCAT(Tabla1[[#This Row],[codigo_]],Tabla1[[#This Row],[correlativo_]])</f>
        <v>30320261600833</v>
      </c>
      <c r="T114" s="2" t="str">
        <f t="shared" si="2"/>
        <v>15 de julio del 2025</v>
      </c>
      <c r="U114" s="2" t="str">
        <f>_xlfn.XLOOKUP(Tabla1[[#This Row],[instructor_2]],diccionario_!$A$1:$A$11,diccionario_!$D$1:$D$11,,0)</f>
        <v>Marcelo Barrera A.</v>
      </c>
      <c r="V114" s="2" t="str">
        <f t="shared" si="3"/>
        <v>100%</v>
      </c>
      <c r="W114" s="2" t="s">
        <v>3691</v>
      </c>
    </row>
    <row r="115" spans="1:23" ht="16.5" customHeight="1">
      <c r="A115" s="2">
        <v>230</v>
      </c>
      <c r="B115" s="2" t="s">
        <v>7</v>
      </c>
      <c r="C115" s="2" t="s">
        <v>8</v>
      </c>
      <c r="D115" s="2" t="s">
        <v>9</v>
      </c>
      <c r="E115" s="11">
        <v>45853</v>
      </c>
      <c r="F115" s="14">
        <v>0.41666666666666702</v>
      </c>
      <c r="G115" s="2" t="s">
        <v>2079</v>
      </c>
      <c r="H115" s="2" t="s">
        <v>2080</v>
      </c>
      <c r="I115" s="2" t="s">
        <v>17</v>
      </c>
      <c r="J115" s="2" t="s">
        <v>3679</v>
      </c>
      <c r="K115" s="2" t="s">
        <v>49</v>
      </c>
      <c r="L115" s="2"/>
      <c r="M115" s="2"/>
      <c r="N115" s="7" t="s">
        <v>49</v>
      </c>
      <c r="O115" s="6">
        <v>1</v>
      </c>
      <c r="P115" s="2" t="s">
        <v>3680</v>
      </c>
      <c r="Q115" s="2" t="str">
        <f>IF(Tabla1[[#This Row],[evaluacion_]]="","",IF(Tabla1[[#This Row],[evaluacion_]]=1,"Habilitado","No Habilitado"))</f>
        <v>Habilitado</v>
      </c>
      <c r="R115" s="2" t="str">
        <f>IF(Tabla1[[#This Row],[fecha]]="","",TEXT(Tabla1[[#This Row],[fecha]],"DMMAAAA")&amp;TEXT(Tabla1[[#This Row],[hora]],"HHmm"))</f>
        <v>30320261600</v>
      </c>
      <c r="S115" s="19" t="str">
        <f>_xlfn.CONCAT(Tabla1[[#This Row],[codigo_]],Tabla1[[#This Row],[correlativo_]])</f>
        <v>30320261600834</v>
      </c>
      <c r="T115" s="2" t="str">
        <f t="shared" si="2"/>
        <v>15 de julio del 2025</v>
      </c>
      <c r="U115" s="2" t="str">
        <f>_xlfn.XLOOKUP(Tabla1[[#This Row],[instructor_2]],diccionario_!$A$1:$A$11,diccionario_!$D$1:$D$11,,0)</f>
        <v>Marcelo Barrera A.</v>
      </c>
      <c r="V115" s="2" t="str">
        <f t="shared" si="3"/>
        <v>100%</v>
      </c>
      <c r="W115" s="2" t="s">
        <v>3691</v>
      </c>
    </row>
    <row r="116" spans="1:23" ht="16.5" customHeight="1">
      <c r="A116" s="2">
        <v>231</v>
      </c>
      <c r="B116" s="2" t="s">
        <v>7</v>
      </c>
      <c r="C116" s="2" t="s">
        <v>8</v>
      </c>
      <c r="D116" s="2" t="s">
        <v>9</v>
      </c>
      <c r="E116" s="11">
        <v>45853</v>
      </c>
      <c r="F116" s="14">
        <v>0.41666666666666702</v>
      </c>
      <c r="G116" s="2" t="s">
        <v>1625</v>
      </c>
      <c r="H116" s="2" t="s">
        <v>1626</v>
      </c>
      <c r="I116" s="2" t="s">
        <v>17</v>
      </c>
      <c r="J116" s="2" t="s">
        <v>3679</v>
      </c>
      <c r="K116" s="2" t="s">
        <v>49</v>
      </c>
      <c r="L116" s="2"/>
      <c r="M116" s="2"/>
      <c r="N116" s="7" t="s">
        <v>49</v>
      </c>
      <c r="O116" s="6">
        <v>1</v>
      </c>
      <c r="P116" s="2" t="s">
        <v>3680</v>
      </c>
      <c r="Q116" s="2" t="str">
        <f>IF(Tabla1[[#This Row],[evaluacion_]]="","",IF(Tabla1[[#This Row],[evaluacion_]]=1,"Habilitado","No Habilitado"))</f>
        <v>Habilitado</v>
      </c>
      <c r="R116" s="2" t="str">
        <f>IF(Tabla1[[#This Row],[fecha]]="","",TEXT(Tabla1[[#This Row],[fecha]],"DMMAAAA")&amp;TEXT(Tabla1[[#This Row],[hora]],"HHmm"))</f>
        <v>30320261500</v>
      </c>
      <c r="S116" s="19" t="str">
        <f>_xlfn.CONCAT(Tabla1[[#This Row],[codigo_]],Tabla1[[#This Row],[correlativo_]])</f>
        <v>30320261500835</v>
      </c>
      <c r="T116" s="2" t="str">
        <f t="shared" si="2"/>
        <v>15 de julio del 2025</v>
      </c>
      <c r="U116" s="2" t="str">
        <f>_xlfn.XLOOKUP(Tabla1[[#This Row],[instructor_2]],diccionario_!$A$1:$A$11,diccionario_!$D$1:$D$11,,0)</f>
        <v>Marcelo Barrera A.</v>
      </c>
      <c r="V116" s="2" t="str">
        <f t="shared" si="3"/>
        <v>100%</v>
      </c>
      <c r="W116" s="2" t="s">
        <v>3691</v>
      </c>
    </row>
    <row r="117" spans="1:23" ht="16.5" customHeight="1">
      <c r="A117" s="2">
        <v>232</v>
      </c>
      <c r="B117" s="2" t="s">
        <v>7</v>
      </c>
      <c r="C117" s="2" t="s">
        <v>8</v>
      </c>
      <c r="D117" s="2" t="s">
        <v>9</v>
      </c>
      <c r="E117" s="11">
        <v>45853</v>
      </c>
      <c r="F117" s="14">
        <v>0.41666666666666702</v>
      </c>
      <c r="G117" s="2" t="s">
        <v>1969</v>
      </c>
      <c r="H117" s="2" t="s">
        <v>1970</v>
      </c>
      <c r="I117" s="2" t="s">
        <v>17</v>
      </c>
      <c r="J117" s="2" t="s">
        <v>3679</v>
      </c>
      <c r="K117" s="2" t="s">
        <v>49</v>
      </c>
      <c r="L117" s="2"/>
      <c r="M117" s="2"/>
      <c r="N117" s="7" t="s">
        <v>49</v>
      </c>
      <c r="O117" s="6">
        <v>1</v>
      </c>
      <c r="P117" s="2" t="s">
        <v>3680</v>
      </c>
      <c r="Q117" s="2" t="str">
        <f>IF(Tabla1[[#This Row],[evaluacion_]]="","",IF(Tabla1[[#This Row],[evaluacion_]]=1,"Habilitado","No Habilitado"))</f>
        <v>Habilitado</v>
      </c>
      <c r="R117" s="2" t="str">
        <f>IF(Tabla1[[#This Row],[fecha]]="","",TEXT(Tabla1[[#This Row],[fecha]],"DMMAAAA")&amp;TEXT(Tabla1[[#This Row],[hora]],"HHmm"))</f>
        <v>30320261530</v>
      </c>
      <c r="S117" s="19" t="str">
        <f>_xlfn.CONCAT(Tabla1[[#This Row],[codigo_]],Tabla1[[#This Row],[correlativo_]])</f>
        <v>30320261530836</v>
      </c>
      <c r="T117" s="2" t="str">
        <f t="shared" si="2"/>
        <v>15 de julio del 2025</v>
      </c>
      <c r="U117" s="2" t="str">
        <f>_xlfn.XLOOKUP(Tabla1[[#This Row],[instructor_2]],diccionario_!$A$1:$A$11,diccionario_!$D$1:$D$11,,0)</f>
        <v>Marcelo Barrera A.</v>
      </c>
      <c r="V117" s="2" t="str">
        <f t="shared" si="3"/>
        <v>100%</v>
      </c>
      <c r="W117" s="2" t="s">
        <v>3691</v>
      </c>
    </row>
    <row r="118" spans="1:23" ht="16.5" customHeight="1">
      <c r="A118" s="2">
        <v>233</v>
      </c>
      <c r="B118" s="2" t="s">
        <v>14</v>
      </c>
      <c r="C118" s="2" t="s">
        <v>15</v>
      </c>
      <c r="D118" s="2" t="s">
        <v>9</v>
      </c>
      <c r="E118" s="11">
        <v>45844</v>
      </c>
      <c r="F118" s="14">
        <v>0.39583333333333298</v>
      </c>
      <c r="G118" s="2" t="s">
        <v>1437</v>
      </c>
      <c r="H118" s="2" t="s">
        <v>1438</v>
      </c>
      <c r="I118" s="2" t="s">
        <v>17</v>
      </c>
      <c r="J118" s="2" t="s">
        <v>3679</v>
      </c>
      <c r="K118" s="2" t="s">
        <v>49</v>
      </c>
      <c r="L118" s="2"/>
      <c r="M118" s="2"/>
      <c r="N118" s="7" t="s">
        <v>49</v>
      </c>
      <c r="O118" s="6">
        <v>1</v>
      </c>
      <c r="P118" s="2" t="s">
        <v>3680</v>
      </c>
      <c r="Q118" s="2" t="str">
        <f>IF(Tabla1[[#This Row],[evaluacion_]]="","",IF(Tabla1[[#This Row],[evaluacion_]]=1,"Habilitado","No Habilitado"))</f>
        <v>Habilitado</v>
      </c>
      <c r="R118" s="2" t="str">
        <f>IF(Tabla1[[#This Row],[fecha]]="","",TEXT(Tabla1[[#This Row],[fecha]],"DMMAAAA")&amp;TEXT(Tabla1[[#This Row],[hora]],"HHmm"))</f>
        <v>30320261800</v>
      </c>
      <c r="S118" s="19" t="str">
        <f>_xlfn.CONCAT(Tabla1[[#This Row],[codigo_]],Tabla1[[#This Row],[correlativo_]])</f>
        <v>30320261800837</v>
      </c>
      <c r="T118" s="2" t="str">
        <f t="shared" si="2"/>
        <v>6 de julio del 2025</v>
      </c>
      <c r="U118" s="2" t="str">
        <f>_xlfn.XLOOKUP(Tabla1[[#This Row],[instructor_2]],diccionario_!$A$1:$A$11,diccionario_!$D$1:$D$11,,0)</f>
        <v>Marcelo Barrera A.</v>
      </c>
      <c r="V118" s="2" t="str">
        <f t="shared" si="3"/>
        <v>100%</v>
      </c>
      <c r="W118" s="2" t="s">
        <v>3698</v>
      </c>
    </row>
    <row r="119" spans="1:23" ht="16.5" customHeight="1">
      <c r="A119" s="2">
        <v>234</v>
      </c>
      <c r="B119" s="2" t="s">
        <v>14</v>
      </c>
      <c r="C119" s="2" t="s">
        <v>15</v>
      </c>
      <c r="D119" s="2" t="s">
        <v>9</v>
      </c>
      <c r="E119" s="11">
        <v>45844</v>
      </c>
      <c r="F119" s="14">
        <v>0.39583333333333298</v>
      </c>
      <c r="G119" s="2" t="s">
        <v>3689</v>
      </c>
      <c r="H119" s="2" t="s">
        <v>3690</v>
      </c>
      <c r="I119" s="2" t="s">
        <v>17</v>
      </c>
      <c r="J119" s="2" t="s">
        <v>3679</v>
      </c>
      <c r="K119" s="2" t="s">
        <v>49</v>
      </c>
      <c r="L119" s="2"/>
      <c r="M119" s="2"/>
      <c r="N119" s="7" t="s">
        <v>49</v>
      </c>
      <c r="O119" s="6">
        <v>1</v>
      </c>
      <c r="P119" s="2" t="s">
        <v>3680</v>
      </c>
      <c r="Q119" s="2" t="str">
        <f>IF(Tabla1[[#This Row],[evaluacion_]]="","",IF(Tabla1[[#This Row],[evaluacion_]]=1,"Habilitado","No Habilitado"))</f>
        <v>Habilitado</v>
      </c>
      <c r="R119" s="2" t="str">
        <f>IF(Tabla1[[#This Row],[fecha]]="","",TEXT(Tabla1[[#This Row],[fecha]],"DMMAAAA")&amp;TEXT(Tabla1[[#This Row],[hora]],"HHmm"))</f>
        <v>30320261800</v>
      </c>
      <c r="S119" s="19" t="str">
        <f>_xlfn.CONCAT(Tabla1[[#This Row],[codigo_]],Tabla1[[#This Row],[correlativo_]])</f>
        <v>30320261800838</v>
      </c>
      <c r="T119" s="2" t="str">
        <f t="shared" si="2"/>
        <v>6 de julio del 2025</v>
      </c>
      <c r="U119" s="2" t="str">
        <f>_xlfn.XLOOKUP(Tabla1[[#This Row],[instructor_2]],diccionario_!$A$1:$A$11,diccionario_!$D$1:$D$11,,0)</f>
        <v>Marcelo Barrera A.</v>
      </c>
      <c r="V119" s="2" t="str">
        <f t="shared" si="3"/>
        <v>100%</v>
      </c>
      <c r="W119" s="2" t="s">
        <v>3698</v>
      </c>
    </row>
    <row r="120" spans="1:23" ht="16.5" customHeight="1">
      <c r="A120" s="2">
        <v>235</v>
      </c>
      <c r="B120" s="2" t="s">
        <v>14</v>
      </c>
      <c r="C120" s="2" t="s">
        <v>15</v>
      </c>
      <c r="D120" s="2" t="s">
        <v>9</v>
      </c>
      <c r="E120" s="11">
        <v>45844</v>
      </c>
      <c r="F120" s="14">
        <v>0.39583333333333298</v>
      </c>
      <c r="G120" s="2" t="s">
        <v>1473</v>
      </c>
      <c r="H120" s="2" t="s">
        <v>1474</v>
      </c>
      <c r="I120" s="2" t="s">
        <v>17</v>
      </c>
      <c r="J120" s="2" t="s">
        <v>3679</v>
      </c>
      <c r="K120" s="2" t="s">
        <v>49</v>
      </c>
      <c r="L120" s="2"/>
      <c r="M120" s="2"/>
      <c r="N120" s="7" t="s">
        <v>49</v>
      </c>
      <c r="O120" s="6">
        <v>1</v>
      </c>
      <c r="P120" s="2" t="s">
        <v>3680</v>
      </c>
      <c r="Q120" s="2" t="str">
        <f>IF(Tabla1[[#This Row],[evaluacion_]]="","",IF(Tabla1[[#This Row],[evaluacion_]]=1,"Habilitado","No Habilitado"))</f>
        <v>Habilitado</v>
      </c>
      <c r="R120" s="2" t="str">
        <f>IF(Tabla1[[#This Row],[fecha]]="","",TEXT(Tabla1[[#This Row],[fecha]],"DMMAAAA")&amp;TEXT(Tabla1[[#This Row],[hora]],"HHmm"))</f>
        <v>30320261600</v>
      </c>
      <c r="S120" s="19" t="str">
        <f>_xlfn.CONCAT(Tabla1[[#This Row],[codigo_]],Tabla1[[#This Row],[correlativo_]])</f>
        <v>30320261600839</v>
      </c>
      <c r="T120" s="2" t="str">
        <f t="shared" si="2"/>
        <v>6 de julio del 2025</v>
      </c>
      <c r="U120" s="2" t="str">
        <f>_xlfn.XLOOKUP(Tabla1[[#This Row],[instructor_2]],diccionario_!$A$1:$A$11,diccionario_!$D$1:$D$11,,0)</f>
        <v>Marcelo Barrera A.</v>
      </c>
      <c r="V120" s="2" t="str">
        <f t="shared" si="3"/>
        <v>100%</v>
      </c>
      <c r="W120" s="2" t="s">
        <v>3698</v>
      </c>
    </row>
    <row r="121" spans="1:23" ht="16.5" customHeight="1">
      <c r="A121" s="2">
        <v>236</v>
      </c>
      <c r="B121" s="2" t="s">
        <v>14</v>
      </c>
      <c r="C121" s="2" t="s">
        <v>15</v>
      </c>
      <c r="D121" s="2" t="s">
        <v>9</v>
      </c>
      <c r="E121" s="11">
        <v>45844</v>
      </c>
      <c r="F121" s="14">
        <v>0.39583333333333298</v>
      </c>
      <c r="G121" s="2" t="s">
        <v>2766</v>
      </c>
      <c r="H121" s="2" t="s">
        <v>2767</v>
      </c>
      <c r="I121" s="2" t="s">
        <v>17</v>
      </c>
      <c r="J121" s="2" t="s">
        <v>3679</v>
      </c>
      <c r="K121" s="2" t="s">
        <v>49</v>
      </c>
      <c r="L121" s="2"/>
      <c r="M121" s="2"/>
      <c r="N121" s="7" t="s">
        <v>49</v>
      </c>
      <c r="O121" s="6">
        <v>1</v>
      </c>
      <c r="P121" s="2" t="s">
        <v>3680</v>
      </c>
      <c r="Q121" s="2" t="str">
        <f>IF(Tabla1[[#This Row],[evaluacion_]]="","",IF(Tabla1[[#This Row],[evaluacion_]]=1,"Habilitado","No Habilitado"))</f>
        <v>Habilitado</v>
      </c>
      <c r="R121" s="2" t="str">
        <f>IF(Tabla1[[#This Row],[fecha]]="","",TEXT(Tabla1[[#This Row],[fecha]],"DMMAAAA")&amp;TEXT(Tabla1[[#This Row],[hora]],"HHmm"))</f>
        <v>30320261600</v>
      </c>
      <c r="S121" s="19" t="str">
        <f>_xlfn.CONCAT(Tabla1[[#This Row],[codigo_]],Tabla1[[#This Row],[correlativo_]])</f>
        <v>30320261600840</v>
      </c>
      <c r="T121" s="2" t="str">
        <f t="shared" si="2"/>
        <v>6 de julio del 2025</v>
      </c>
      <c r="U121" s="2" t="str">
        <f>_xlfn.XLOOKUP(Tabla1[[#This Row],[instructor_2]],diccionario_!$A$1:$A$11,diccionario_!$D$1:$D$11,,0)</f>
        <v>Marcelo Barrera A.</v>
      </c>
      <c r="V121" s="2" t="str">
        <f t="shared" si="3"/>
        <v>100%</v>
      </c>
      <c r="W121" s="2" t="s">
        <v>3698</v>
      </c>
    </row>
    <row r="122" spans="1:23" ht="16.5" customHeight="1">
      <c r="A122" s="2">
        <v>237</v>
      </c>
      <c r="B122" s="2" t="s">
        <v>14</v>
      </c>
      <c r="C122" s="2" t="s">
        <v>15</v>
      </c>
      <c r="D122" s="2" t="s">
        <v>9</v>
      </c>
      <c r="E122" s="11">
        <v>45844</v>
      </c>
      <c r="F122" s="14">
        <v>0.39583333333333298</v>
      </c>
      <c r="G122" s="2" t="s">
        <v>3073</v>
      </c>
      <c r="H122" s="2" t="s">
        <v>3074</v>
      </c>
      <c r="I122" s="2" t="s">
        <v>17</v>
      </c>
      <c r="J122" s="2" t="s">
        <v>3679</v>
      </c>
      <c r="K122" s="2" t="s">
        <v>49</v>
      </c>
      <c r="L122" s="2"/>
      <c r="M122" s="2"/>
      <c r="N122" s="7" t="s">
        <v>49</v>
      </c>
      <c r="O122" s="6">
        <v>1</v>
      </c>
      <c r="P122" s="2" t="s">
        <v>3680</v>
      </c>
      <c r="Q122" s="2" t="str">
        <f>IF(Tabla1[[#This Row],[evaluacion_]]="","",IF(Tabla1[[#This Row],[evaluacion_]]=1,"Habilitado","No Habilitado"))</f>
        <v>Habilitado</v>
      </c>
      <c r="R122" s="2" t="str">
        <f>IF(Tabla1[[#This Row],[fecha]]="","",TEXT(Tabla1[[#This Row],[fecha]],"DMMAAAA")&amp;TEXT(Tabla1[[#This Row],[hora]],"HHmm"))</f>
        <v>40320261700</v>
      </c>
      <c r="S122" s="19" t="str">
        <f>_xlfn.CONCAT(Tabla1[[#This Row],[codigo_]],Tabla1[[#This Row],[correlativo_]])</f>
        <v>40320261700841</v>
      </c>
      <c r="T122" s="2" t="str">
        <f t="shared" si="2"/>
        <v>6 de julio del 2025</v>
      </c>
      <c r="U122" s="2" t="str">
        <f>_xlfn.XLOOKUP(Tabla1[[#This Row],[instructor_2]],diccionario_!$A$1:$A$11,diccionario_!$D$1:$D$11,,0)</f>
        <v>Marcelo Barrera A.</v>
      </c>
      <c r="V122" s="2" t="str">
        <f t="shared" si="3"/>
        <v>100%</v>
      </c>
      <c r="W122" s="2" t="s">
        <v>3698</v>
      </c>
    </row>
    <row r="123" spans="1:23" ht="16.5" customHeight="1">
      <c r="A123" s="2">
        <v>238</v>
      </c>
      <c r="B123" s="2" t="s">
        <v>14</v>
      </c>
      <c r="C123" s="2" t="s">
        <v>15</v>
      </c>
      <c r="D123" s="2" t="s">
        <v>9</v>
      </c>
      <c r="E123" s="11">
        <v>45844</v>
      </c>
      <c r="F123" s="14">
        <v>0.39583333333333298</v>
      </c>
      <c r="G123" s="2" t="s">
        <v>2046</v>
      </c>
      <c r="H123" s="2" t="s">
        <v>2047</v>
      </c>
      <c r="I123" s="2" t="s">
        <v>17</v>
      </c>
      <c r="J123" s="2" t="s">
        <v>3679</v>
      </c>
      <c r="K123" s="2" t="s">
        <v>49</v>
      </c>
      <c r="L123" s="2"/>
      <c r="M123" s="2"/>
      <c r="N123" s="7" t="s">
        <v>49</v>
      </c>
      <c r="O123" s="6">
        <v>1</v>
      </c>
      <c r="P123" s="2" t="s">
        <v>3680</v>
      </c>
      <c r="Q123" s="2" t="str">
        <f>IF(Tabla1[[#This Row],[evaluacion_]]="","",IF(Tabla1[[#This Row],[evaluacion_]]=1,"Habilitado","No Habilitado"))</f>
        <v>Habilitado</v>
      </c>
      <c r="R123" s="2" t="str">
        <f>IF(Tabla1[[#This Row],[fecha]]="","",TEXT(Tabla1[[#This Row],[fecha]],"DMMAAAA")&amp;TEXT(Tabla1[[#This Row],[hora]],"HHmm"))</f>
        <v>40320261700</v>
      </c>
      <c r="S123" s="19" t="str">
        <f>_xlfn.CONCAT(Tabla1[[#This Row],[codigo_]],Tabla1[[#This Row],[correlativo_]])</f>
        <v>40320261700842</v>
      </c>
      <c r="T123" s="2" t="str">
        <f t="shared" si="2"/>
        <v>6 de julio del 2025</v>
      </c>
      <c r="U123" s="2" t="str">
        <f>_xlfn.XLOOKUP(Tabla1[[#This Row],[instructor_2]],diccionario_!$A$1:$A$11,diccionario_!$D$1:$D$11,,0)</f>
        <v>Marcelo Barrera A.</v>
      </c>
      <c r="V123" s="2" t="str">
        <f t="shared" si="3"/>
        <v>100%</v>
      </c>
      <c r="W123" s="2" t="s">
        <v>3698</v>
      </c>
    </row>
    <row r="124" spans="1:23" ht="16.5" customHeight="1">
      <c r="A124" s="2">
        <v>239</v>
      </c>
      <c r="B124" s="2" t="s">
        <v>14</v>
      </c>
      <c r="C124" s="2" t="s">
        <v>15</v>
      </c>
      <c r="D124" s="2" t="s">
        <v>9</v>
      </c>
      <c r="E124" s="11">
        <v>45844</v>
      </c>
      <c r="F124" s="14">
        <v>0.39583333333333298</v>
      </c>
      <c r="G124" s="2" t="s">
        <v>1400</v>
      </c>
      <c r="H124" s="2" t="s">
        <v>1401</v>
      </c>
      <c r="I124" s="2" t="s">
        <v>17</v>
      </c>
      <c r="J124" s="2" t="s">
        <v>3679</v>
      </c>
      <c r="K124" s="2" t="s">
        <v>49</v>
      </c>
      <c r="L124" s="2"/>
      <c r="M124" s="2"/>
      <c r="N124" s="7" t="s">
        <v>49</v>
      </c>
      <c r="O124" s="6">
        <v>1</v>
      </c>
      <c r="P124" s="2" t="s">
        <v>3680</v>
      </c>
      <c r="Q124" s="2" t="str">
        <f>IF(Tabla1[[#This Row],[evaluacion_]]="","",IF(Tabla1[[#This Row],[evaluacion_]]=1,"Habilitado","No Habilitado"))</f>
        <v>Habilitado</v>
      </c>
      <c r="R124" s="2" t="str">
        <f>IF(Tabla1[[#This Row],[fecha]]="","",TEXT(Tabla1[[#This Row],[fecha]],"DMMAAAA")&amp;TEXT(Tabla1[[#This Row],[hora]],"HHmm"))</f>
        <v>40320261600</v>
      </c>
      <c r="S124" s="19" t="str">
        <f>_xlfn.CONCAT(Tabla1[[#This Row],[codigo_]],Tabla1[[#This Row],[correlativo_]])</f>
        <v>40320261600843</v>
      </c>
      <c r="T124" s="2" t="str">
        <f t="shared" si="2"/>
        <v>6 de julio del 2025</v>
      </c>
      <c r="U124" s="2" t="str">
        <f>_xlfn.XLOOKUP(Tabla1[[#This Row],[instructor_2]],diccionario_!$A$1:$A$11,diccionario_!$D$1:$D$11,,0)</f>
        <v>Marcelo Barrera A.</v>
      </c>
      <c r="V124" s="2" t="str">
        <f t="shared" si="3"/>
        <v>100%</v>
      </c>
      <c r="W124" s="2" t="s">
        <v>3698</v>
      </c>
    </row>
    <row r="125" spans="1:23" ht="16.5" customHeight="1">
      <c r="A125" s="2">
        <v>240</v>
      </c>
      <c r="B125" s="2" t="s">
        <v>14</v>
      </c>
      <c r="C125" s="2" t="s">
        <v>15</v>
      </c>
      <c r="D125" s="2" t="s">
        <v>9</v>
      </c>
      <c r="E125" s="11">
        <v>45844</v>
      </c>
      <c r="F125" s="14">
        <v>0.39583333333333298</v>
      </c>
      <c r="G125" s="2" t="s">
        <v>2033</v>
      </c>
      <c r="H125" s="2" t="s">
        <v>2034</v>
      </c>
      <c r="I125" s="2" t="s">
        <v>17</v>
      </c>
      <c r="J125" s="2" t="s">
        <v>3679</v>
      </c>
      <c r="K125" s="2" t="s">
        <v>49</v>
      </c>
      <c r="L125" s="2"/>
      <c r="M125" s="2"/>
      <c r="N125" s="7" t="s">
        <v>49</v>
      </c>
      <c r="O125" s="6">
        <v>1</v>
      </c>
      <c r="P125" s="2" t="s">
        <v>3680</v>
      </c>
      <c r="Q125" s="2" t="str">
        <f>IF(Tabla1[[#This Row],[evaluacion_]]="","",IF(Tabla1[[#This Row],[evaluacion_]]=1,"Habilitado","No Habilitado"))</f>
        <v>Habilitado</v>
      </c>
      <c r="R125" s="2" t="str">
        <f>IF(Tabla1[[#This Row],[fecha]]="","",TEXT(Tabla1[[#This Row],[fecha]],"DMMAAAA")&amp;TEXT(Tabla1[[#This Row],[hora]],"HHmm"))</f>
        <v>40320261700</v>
      </c>
      <c r="S125" s="19" t="str">
        <f>_xlfn.CONCAT(Tabla1[[#This Row],[codigo_]],Tabla1[[#This Row],[correlativo_]])</f>
        <v>40320261700844</v>
      </c>
      <c r="T125" s="2" t="str">
        <f t="shared" si="2"/>
        <v>6 de julio del 2025</v>
      </c>
      <c r="U125" s="2" t="str">
        <f>_xlfn.XLOOKUP(Tabla1[[#This Row],[instructor_2]],diccionario_!$A$1:$A$11,diccionario_!$D$1:$D$11,,0)</f>
        <v>Marcelo Barrera A.</v>
      </c>
      <c r="V125" s="2" t="str">
        <f t="shared" si="3"/>
        <v>100%</v>
      </c>
      <c r="W125" s="2" t="s">
        <v>3698</v>
      </c>
    </row>
    <row r="126" spans="1:23" ht="16.5" customHeight="1">
      <c r="A126" s="2">
        <v>241</v>
      </c>
      <c r="B126" s="2" t="s">
        <v>14</v>
      </c>
      <c r="C126" s="2" t="s">
        <v>15</v>
      </c>
      <c r="D126" s="2" t="s">
        <v>9</v>
      </c>
      <c r="E126" s="11">
        <v>45844</v>
      </c>
      <c r="F126" s="14">
        <v>0.39583333333333298</v>
      </c>
      <c r="G126" s="2" t="s">
        <v>753</v>
      </c>
      <c r="H126" s="2" t="s">
        <v>754</v>
      </c>
      <c r="I126" s="2" t="s">
        <v>17</v>
      </c>
      <c r="J126" s="2" t="s">
        <v>3679</v>
      </c>
      <c r="K126" s="2" t="s">
        <v>49</v>
      </c>
      <c r="L126" s="2"/>
      <c r="M126" s="2"/>
      <c r="N126" s="7" t="s">
        <v>49</v>
      </c>
      <c r="O126" s="6">
        <v>1</v>
      </c>
      <c r="P126" s="2" t="s">
        <v>3680</v>
      </c>
      <c r="Q126" s="2" t="str">
        <f>IF(Tabla1[[#This Row],[evaluacion_]]="","",IF(Tabla1[[#This Row],[evaluacion_]]=1,"Habilitado","No Habilitado"))</f>
        <v>Habilitado</v>
      </c>
      <c r="R126" s="2" t="str">
        <f>IF(Tabla1[[#This Row],[fecha]]="","",TEXT(Tabla1[[#This Row],[fecha]],"DMMAAAA")&amp;TEXT(Tabla1[[#This Row],[hora]],"HHmm"))</f>
        <v>40320261700</v>
      </c>
      <c r="S126" s="19" t="str">
        <f>_xlfn.CONCAT(Tabla1[[#This Row],[codigo_]],Tabla1[[#This Row],[correlativo_]])</f>
        <v>40320261700845</v>
      </c>
      <c r="T126" s="2" t="str">
        <f t="shared" si="2"/>
        <v>6 de julio del 2025</v>
      </c>
      <c r="U126" s="2" t="str">
        <f>_xlfn.XLOOKUP(Tabla1[[#This Row],[instructor_2]],diccionario_!$A$1:$A$11,diccionario_!$D$1:$D$11,,0)</f>
        <v>Marcelo Barrera A.</v>
      </c>
      <c r="V126" s="2" t="str">
        <f t="shared" si="3"/>
        <v>100%</v>
      </c>
      <c r="W126" s="2" t="s">
        <v>3698</v>
      </c>
    </row>
    <row r="127" spans="1:23" ht="16.5" customHeight="1">
      <c r="A127" s="2">
        <v>242</v>
      </c>
      <c r="B127" s="2" t="s">
        <v>14</v>
      </c>
      <c r="C127" s="2" t="s">
        <v>15</v>
      </c>
      <c r="D127" s="2" t="s">
        <v>9</v>
      </c>
      <c r="E127" s="11">
        <v>45844</v>
      </c>
      <c r="F127" s="14">
        <v>0.39583333333333298</v>
      </c>
      <c r="G127" s="2" t="s">
        <v>1134</v>
      </c>
      <c r="H127" s="2" t="s">
        <v>1135</v>
      </c>
      <c r="I127" s="2" t="s">
        <v>17</v>
      </c>
      <c r="J127" s="2" t="s">
        <v>3679</v>
      </c>
      <c r="K127" s="2" t="s">
        <v>49</v>
      </c>
      <c r="L127" s="2"/>
      <c r="M127" s="2"/>
      <c r="N127" s="7" t="s">
        <v>49</v>
      </c>
      <c r="O127" s="6">
        <v>1</v>
      </c>
      <c r="P127" s="2" t="s">
        <v>3680</v>
      </c>
      <c r="Q127" s="2" t="str">
        <f>IF(Tabla1[[#This Row],[evaluacion_]]="","",IF(Tabla1[[#This Row],[evaluacion_]]=1,"Habilitado","No Habilitado"))</f>
        <v>Habilitado</v>
      </c>
      <c r="R127" s="2" t="str">
        <f>IF(Tabla1[[#This Row],[fecha]]="","",TEXT(Tabla1[[#This Row],[fecha]],"DMMAAAA")&amp;TEXT(Tabla1[[#This Row],[hora]],"HHmm"))</f>
        <v>40320261200</v>
      </c>
      <c r="S127" s="19" t="str">
        <f>_xlfn.CONCAT(Tabla1[[#This Row],[codigo_]],Tabla1[[#This Row],[correlativo_]])</f>
        <v>40320261200846</v>
      </c>
      <c r="T127" s="2" t="str">
        <f t="shared" si="2"/>
        <v>6 de julio del 2025</v>
      </c>
      <c r="U127" s="2" t="str">
        <f>_xlfn.XLOOKUP(Tabla1[[#This Row],[instructor_2]],diccionario_!$A$1:$A$11,diccionario_!$D$1:$D$11,,0)</f>
        <v>Marcelo Barrera A.</v>
      </c>
      <c r="V127" s="2" t="str">
        <f t="shared" si="3"/>
        <v>100%</v>
      </c>
      <c r="W127" s="2" t="s">
        <v>3698</v>
      </c>
    </row>
    <row r="128" spans="1:23" ht="16.5" customHeight="1">
      <c r="A128" s="2">
        <v>243</v>
      </c>
      <c r="B128" s="2" t="s">
        <v>14</v>
      </c>
      <c r="C128" s="2" t="s">
        <v>15</v>
      </c>
      <c r="D128" s="2" t="s">
        <v>9</v>
      </c>
      <c r="E128" s="11">
        <v>45844</v>
      </c>
      <c r="F128" s="14">
        <v>0.39583333333333298</v>
      </c>
      <c r="G128" s="2" t="s">
        <v>3699</v>
      </c>
      <c r="H128" s="2" t="s">
        <v>3700</v>
      </c>
      <c r="I128" s="2" t="s">
        <v>17</v>
      </c>
      <c r="J128" s="2" t="s">
        <v>3679</v>
      </c>
      <c r="K128" s="2" t="s">
        <v>49</v>
      </c>
      <c r="L128" s="2"/>
      <c r="M128" s="2"/>
      <c r="N128" s="7" t="s">
        <v>49</v>
      </c>
      <c r="O128" s="6">
        <v>1</v>
      </c>
      <c r="P128" s="2" t="s">
        <v>3680</v>
      </c>
      <c r="Q128" s="2" t="str">
        <f>IF(Tabla1[[#This Row],[evaluacion_]]="","",IF(Tabla1[[#This Row],[evaluacion_]]=1,"Habilitado","No Habilitado"))</f>
        <v>Habilitado</v>
      </c>
      <c r="R128" s="2" t="str">
        <f>IF(Tabla1[[#This Row],[fecha]]="","",TEXT(Tabla1[[#This Row],[fecha]],"DMMAAAA")&amp;TEXT(Tabla1[[#This Row],[hora]],"HHmm"))</f>
        <v>40320261300</v>
      </c>
      <c r="S128" s="19" t="str">
        <f>_xlfn.CONCAT(Tabla1[[#This Row],[codigo_]],Tabla1[[#This Row],[correlativo_]])</f>
        <v>40320261300847</v>
      </c>
      <c r="T128" s="2" t="str">
        <f t="shared" si="2"/>
        <v>6 de julio del 2025</v>
      </c>
      <c r="U128" s="2" t="str">
        <f>_xlfn.XLOOKUP(Tabla1[[#This Row],[instructor_2]],diccionario_!$A$1:$A$11,diccionario_!$D$1:$D$11,,0)</f>
        <v>Marcelo Barrera A.</v>
      </c>
      <c r="V128" s="2" t="str">
        <f t="shared" si="3"/>
        <v>100%</v>
      </c>
      <c r="W128" s="2" t="s">
        <v>3698</v>
      </c>
    </row>
    <row r="129" spans="1:23" ht="16.5" customHeight="1">
      <c r="A129" s="2">
        <v>244</v>
      </c>
      <c r="B129" s="2" t="s">
        <v>14</v>
      </c>
      <c r="C129" s="2" t="s">
        <v>15</v>
      </c>
      <c r="D129" s="2" t="s">
        <v>9</v>
      </c>
      <c r="E129" s="11">
        <v>45844</v>
      </c>
      <c r="F129" s="14">
        <v>0.39583333333333298</v>
      </c>
      <c r="G129" s="2" t="s">
        <v>3393</v>
      </c>
      <c r="H129" s="2" t="s">
        <v>3394</v>
      </c>
      <c r="I129" s="2" t="s">
        <v>17</v>
      </c>
      <c r="J129" s="2" t="s">
        <v>3679</v>
      </c>
      <c r="K129" s="2" t="s">
        <v>49</v>
      </c>
      <c r="L129" s="2"/>
      <c r="M129" s="2"/>
      <c r="N129" s="7" t="s">
        <v>49</v>
      </c>
      <c r="O129" s="6">
        <v>1</v>
      </c>
      <c r="P129" s="2" t="s">
        <v>3680</v>
      </c>
      <c r="Q129" s="2" t="str">
        <f>IF(Tabla1[[#This Row],[evaluacion_]]="","",IF(Tabla1[[#This Row],[evaluacion_]]=1,"Habilitado","No Habilitado"))</f>
        <v>Habilitado</v>
      </c>
      <c r="R129" s="2" t="str">
        <f>IF(Tabla1[[#This Row],[fecha]]="","",TEXT(Tabla1[[#This Row],[fecha]],"DMMAAAA")&amp;TEXT(Tabla1[[#This Row],[hora]],"HHmm"))</f>
        <v>40320261500</v>
      </c>
      <c r="S129" s="19" t="str">
        <f>_xlfn.CONCAT(Tabla1[[#This Row],[codigo_]],Tabla1[[#This Row],[correlativo_]])</f>
        <v>40320261500848</v>
      </c>
      <c r="T129" s="2" t="str">
        <f t="shared" si="2"/>
        <v>6 de julio del 2025</v>
      </c>
      <c r="U129" s="2" t="str">
        <f>_xlfn.XLOOKUP(Tabla1[[#This Row],[instructor_2]],diccionario_!$A$1:$A$11,diccionario_!$D$1:$D$11,,0)</f>
        <v>Marcelo Barrera A.</v>
      </c>
      <c r="V129" s="2" t="str">
        <f t="shared" si="3"/>
        <v>100%</v>
      </c>
      <c r="W129" s="2" t="s">
        <v>3698</v>
      </c>
    </row>
    <row r="130" spans="1:23" ht="16.5" customHeight="1">
      <c r="A130" s="2">
        <v>245</v>
      </c>
      <c r="B130" s="2" t="s">
        <v>14</v>
      </c>
      <c r="C130" s="2" t="s">
        <v>15</v>
      </c>
      <c r="D130" s="2" t="s">
        <v>9</v>
      </c>
      <c r="E130" s="11">
        <v>45844</v>
      </c>
      <c r="F130" s="14">
        <v>0.39583333333333298</v>
      </c>
      <c r="G130" s="2" t="s">
        <v>3457</v>
      </c>
      <c r="H130" s="2" t="s">
        <v>3458</v>
      </c>
      <c r="I130" s="2" t="s">
        <v>17</v>
      </c>
      <c r="J130" s="2" t="s">
        <v>3679</v>
      </c>
      <c r="K130" s="2" t="s">
        <v>49</v>
      </c>
      <c r="L130" s="2"/>
      <c r="M130" s="2"/>
      <c r="N130" s="7" t="s">
        <v>49</v>
      </c>
      <c r="O130" s="6">
        <v>1</v>
      </c>
      <c r="P130" s="2" t="s">
        <v>3680</v>
      </c>
      <c r="Q130" s="2" t="str">
        <f>IF(Tabla1[[#This Row],[evaluacion_]]="","",IF(Tabla1[[#This Row],[evaluacion_]]=1,"Habilitado","No Habilitado"))</f>
        <v>Habilitado</v>
      </c>
      <c r="R130" s="2" t="str">
        <f>IF(Tabla1[[#This Row],[fecha]]="","",TEXT(Tabla1[[#This Row],[fecha]],"DMMAAAA")&amp;TEXT(Tabla1[[#This Row],[hora]],"HHmm"))</f>
        <v>50320260800</v>
      </c>
      <c r="S130" s="19" t="str">
        <f>_xlfn.CONCAT(Tabla1[[#This Row],[codigo_]],Tabla1[[#This Row],[correlativo_]])</f>
        <v>50320260800849</v>
      </c>
      <c r="T130" s="2" t="str">
        <f t="shared" ref="T130:T193" si="4">DAY(E130) &amp; " de " &amp; TEXT(E130, "mmmm") &amp; " del " &amp; YEAR(E130)</f>
        <v>6 de julio del 2025</v>
      </c>
      <c r="U130" s="2" t="str">
        <f>_xlfn.XLOOKUP(Tabla1[[#This Row],[instructor_2]],diccionario_!$A$1:$A$11,diccionario_!$D$1:$D$11,,0)</f>
        <v>Marcelo Barrera A.</v>
      </c>
      <c r="V130" s="2" t="str">
        <f t="shared" ref="V130:V193" si="5">TEXT(O130,"0%")</f>
        <v>100%</v>
      </c>
      <c r="W130" s="2" t="s">
        <v>3698</v>
      </c>
    </row>
    <row r="131" spans="1:23" ht="16.5" customHeight="1">
      <c r="A131" s="2">
        <v>246</v>
      </c>
      <c r="B131" s="2" t="s">
        <v>14</v>
      </c>
      <c r="C131" s="2" t="s">
        <v>15</v>
      </c>
      <c r="D131" s="2" t="s">
        <v>9</v>
      </c>
      <c r="E131" s="11">
        <v>45844</v>
      </c>
      <c r="F131" s="14">
        <v>0.39583333333333298</v>
      </c>
      <c r="G131" s="2" t="s">
        <v>1811</v>
      </c>
      <c r="H131" s="2" t="s">
        <v>1812</v>
      </c>
      <c r="I131" s="2" t="s">
        <v>17</v>
      </c>
      <c r="J131" s="2" t="s">
        <v>3679</v>
      </c>
      <c r="K131" s="2" t="s">
        <v>49</v>
      </c>
      <c r="L131" s="2"/>
      <c r="M131" s="2"/>
      <c r="N131" s="7" t="s">
        <v>49</v>
      </c>
      <c r="O131" s="6">
        <v>1</v>
      </c>
      <c r="P131" s="2" t="s">
        <v>3680</v>
      </c>
      <c r="Q131" s="2" t="str">
        <f>IF(Tabla1[[#This Row],[evaluacion_]]="","",IF(Tabla1[[#This Row],[evaluacion_]]=1,"Habilitado","No Habilitado"))</f>
        <v>Habilitado</v>
      </c>
      <c r="R131" s="2" t="str">
        <f>IF(Tabla1[[#This Row],[fecha]]="","",TEXT(Tabla1[[#This Row],[fecha]],"DMMAAAA")&amp;TEXT(Tabla1[[#This Row],[hora]],"HHmm"))</f>
        <v>90320261100</v>
      </c>
      <c r="S131" s="19" t="str">
        <f>_xlfn.CONCAT(Tabla1[[#This Row],[codigo_]],Tabla1[[#This Row],[correlativo_]])</f>
        <v>90320261100850</v>
      </c>
      <c r="T131" s="2" t="str">
        <f t="shared" si="4"/>
        <v>6 de julio del 2025</v>
      </c>
      <c r="U131" s="2" t="str">
        <f>_xlfn.XLOOKUP(Tabla1[[#This Row],[instructor_2]],diccionario_!$A$1:$A$11,diccionario_!$D$1:$D$11,,0)</f>
        <v>Guillermo Milla M.</v>
      </c>
      <c r="V131" s="2" t="str">
        <f t="shared" si="5"/>
        <v>100%</v>
      </c>
      <c r="W131" s="2" t="s">
        <v>3698</v>
      </c>
    </row>
    <row r="132" spans="1:23" ht="16.5" customHeight="1">
      <c r="A132" s="2">
        <v>247</v>
      </c>
      <c r="B132" s="2" t="s">
        <v>14</v>
      </c>
      <c r="C132" s="2" t="s">
        <v>15</v>
      </c>
      <c r="D132" s="2" t="s">
        <v>9</v>
      </c>
      <c r="E132" s="11">
        <v>45844</v>
      </c>
      <c r="F132" s="14">
        <v>0.39583333333333298</v>
      </c>
      <c r="G132" s="2" t="s">
        <v>805</v>
      </c>
      <c r="H132" s="2" t="s">
        <v>806</v>
      </c>
      <c r="I132" s="2" t="s">
        <v>17</v>
      </c>
      <c r="J132" s="2" t="s">
        <v>3679</v>
      </c>
      <c r="K132" s="2" t="s">
        <v>49</v>
      </c>
      <c r="L132" s="2"/>
      <c r="M132" s="2"/>
      <c r="N132" s="7" t="s">
        <v>49</v>
      </c>
      <c r="O132" s="6">
        <v>1</v>
      </c>
      <c r="P132" s="2" t="s">
        <v>3680</v>
      </c>
      <c r="Q132" s="2" t="str">
        <f>IF(Tabla1[[#This Row],[evaluacion_]]="","",IF(Tabla1[[#This Row],[evaluacion_]]=1,"Habilitado","No Habilitado"))</f>
        <v>Habilitado</v>
      </c>
      <c r="R132" s="2" t="str">
        <f>IF(Tabla1[[#This Row],[fecha]]="","",TEXT(Tabla1[[#This Row],[fecha]],"DMMAAAA")&amp;TEXT(Tabla1[[#This Row],[hora]],"HHmm"))</f>
        <v>200120261800</v>
      </c>
      <c r="S132" s="19" t="str">
        <f>_xlfn.CONCAT(Tabla1[[#This Row],[codigo_]],Tabla1[[#This Row],[correlativo_]])</f>
        <v>200120261800851</v>
      </c>
      <c r="T132" s="2" t="str">
        <f t="shared" si="4"/>
        <v>6 de julio del 2025</v>
      </c>
      <c r="U132" s="2" t="str">
        <f>_xlfn.XLOOKUP(Tabla1[[#This Row],[instructor_2]],diccionario_!$A$1:$A$11,diccionario_!$D$1:$D$11,,0)</f>
        <v>Guillermo Milla M.</v>
      </c>
      <c r="V132" s="2" t="str">
        <f t="shared" si="5"/>
        <v>100%</v>
      </c>
      <c r="W132" s="2" t="s">
        <v>3698</v>
      </c>
    </row>
    <row r="133" spans="1:23" ht="16.5" customHeight="1">
      <c r="A133" s="2">
        <v>248</v>
      </c>
      <c r="B133" s="2" t="s">
        <v>14</v>
      </c>
      <c r="C133" s="2" t="s">
        <v>15</v>
      </c>
      <c r="D133" s="2" t="s">
        <v>9</v>
      </c>
      <c r="E133" s="11">
        <v>45844</v>
      </c>
      <c r="F133" s="14">
        <v>0.39583333333333298</v>
      </c>
      <c r="G133" s="2" t="s">
        <v>3682</v>
      </c>
      <c r="H133" s="2" t="s">
        <v>3683</v>
      </c>
      <c r="I133" s="2" t="s">
        <v>17</v>
      </c>
      <c r="J133" s="2" t="s">
        <v>3679</v>
      </c>
      <c r="K133" s="2" t="s">
        <v>49</v>
      </c>
      <c r="L133" s="2"/>
      <c r="M133" s="2"/>
      <c r="N133" s="7" t="s">
        <v>49</v>
      </c>
      <c r="O133" s="6">
        <v>1</v>
      </c>
      <c r="P133" s="2" t="s">
        <v>3680</v>
      </c>
      <c r="Q133" s="2" t="str">
        <f>IF(Tabla1[[#This Row],[evaluacion_]]="","",IF(Tabla1[[#This Row],[evaluacion_]]=1,"Habilitado","No Habilitado"))</f>
        <v>Habilitado</v>
      </c>
      <c r="R133" s="2" t="str">
        <f>IF(Tabla1[[#This Row],[fecha]]="","",TEXT(Tabla1[[#This Row],[fecha]],"DMMAAAA")&amp;TEXT(Tabla1[[#This Row],[hora]],"HHmm"))</f>
        <v>200120261800</v>
      </c>
      <c r="S133" s="19" t="str">
        <f>_xlfn.CONCAT(Tabla1[[#This Row],[codigo_]],Tabla1[[#This Row],[correlativo_]])</f>
        <v>200120261800852</v>
      </c>
      <c r="T133" s="2" t="str">
        <f t="shared" si="4"/>
        <v>6 de julio del 2025</v>
      </c>
      <c r="U133" s="2" t="str">
        <f>_xlfn.XLOOKUP(Tabla1[[#This Row],[instructor_2]],diccionario_!$A$1:$A$11,diccionario_!$D$1:$D$11,,0)</f>
        <v>Guillermo Milla M.</v>
      </c>
      <c r="V133" s="2" t="str">
        <f t="shared" si="5"/>
        <v>100%</v>
      </c>
      <c r="W133" s="2" t="s">
        <v>3698</v>
      </c>
    </row>
    <row r="134" spans="1:23" ht="16.5" customHeight="1">
      <c r="A134" s="2">
        <v>249</v>
      </c>
      <c r="B134" s="2" t="s">
        <v>14</v>
      </c>
      <c r="C134" s="2" t="s">
        <v>15</v>
      </c>
      <c r="D134" s="2" t="s">
        <v>9</v>
      </c>
      <c r="E134" s="11">
        <v>45844</v>
      </c>
      <c r="F134" s="14">
        <v>0.39583333333333298</v>
      </c>
      <c r="G134" s="2" t="s">
        <v>897</v>
      </c>
      <c r="H134" s="2" t="s">
        <v>898</v>
      </c>
      <c r="I134" s="2" t="s">
        <v>17</v>
      </c>
      <c r="J134" s="2" t="s">
        <v>3679</v>
      </c>
      <c r="K134" s="2" t="s">
        <v>49</v>
      </c>
      <c r="L134" s="2"/>
      <c r="M134" s="2"/>
      <c r="N134" s="7" t="s">
        <v>49</v>
      </c>
      <c r="O134" s="6">
        <v>1</v>
      </c>
      <c r="P134" s="2" t="s">
        <v>3680</v>
      </c>
      <c r="Q134" s="2" t="str">
        <f>IF(Tabla1[[#This Row],[evaluacion_]]="","",IF(Tabla1[[#This Row],[evaluacion_]]=1,"Habilitado","No Habilitado"))</f>
        <v>Habilitado</v>
      </c>
      <c r="R134" s="2" t="str">
        <f>IF(Tabla1[[#This Row],[fecha]]="","",TEXT(Tabla1[[#This Row],[fecha]],"DMMAAAA")&amp;TEXT(Tabla1[[#This Row],[hora]],"HHmm"))</f>
        <v>150120261800</v>
      </c>
      <c r="S134" s="19" t="str">
        <f>_xlfn.CONCAT(Tabla1[[#This Row],[codigo_]],Tabla1[[#This Row],[correlativo_]])</f>
        <v>150120261800853</v>
      </c>
      <c r="T134" s="2" t="str">
        <f t="shared" si="4"/>
        <v>6 de julio del 2025</v>
      </c>
      <c r="U134" s="2" t="str">
        <f>_xlfn.XLOOKUP(Tabla1[[#This Row],[instructor_2]],diccionario_!$A$1:$A$11,diccionario_!$D$1:$D$11,,0)</f>
        <v>Guillermo Milla M.</v>
      </c>
      <c r="V134" s="2" t="str">
        <f t="shared" si="5"/>
        <v>100%</v>
      </c>
      <c r="W134" s="2" t="s">
        <v>3698</v>
      </c>
    </row>
    <row r="135" spans="1:23" ht="16.5" customHeight="1">
      <c r="A135" s="2">
        <v>250</v>
      </c>
      <c r="B135" s="2" t="s">
        <v>14</v>
      </c>
      <c r="C135" s="2" t="s">
        <v>15</v>
      </c>
      <c r="D135" s="2" t="s">
        <v>9</v>
      </c>
      <c r="E135" s="11">
        <v>45844</v>
      </c>
      <c r="F135" s="14">
        <v>0.39583333333333298</v>
      </c>
      <c r="G135" s="2" t="s">
        <v>3684</v>
      </c>
      <c r="H135" s="2" t="s">
        <v>3685</v>
      </c>
      <c r="I135" s="2" t="s">
        <v>17</v>
      </c>
      <c r="J135" s="2" t="s">
        <v>3679</v>
      </c>
      <c r="K135" s="2" t="s">
        <v>49</v>
      </c>
      <c r="L135" s="2"/>
      <c r="M135" s="2"/>
      <c r="N135" s="7" t="s">
        <v>49</v>
      </c>
      <c r="O135" s="6">
        <v>1</v>
      </c>
      <c r="P135" s="2" t="s">
        <v>3680</v>
      </c>
      <c r="Q135" s="2" t="str">
        <f>IF(Tabla1[[#This Row],[evaluacion_]]="","",IF(Tabla1[[#This Row],[evaluacion_]]=1,"Habilitado","No Habilitado"))</f>
        <v>Habilitado</v>
      </c>
      <c r="R135" s="2" t="str">
        <f>IF(Tabla1[[#This Row],[fecha]]="","",TEXT(Tabla1[[#This Row],[fecha]],"DMMAAAA")&amp;TEXT(Tabla1[[#This Row],[hora]],"HHmm"))</f>
        <v>150120261800</v>
      </c>
      <c r="S135" s="19" t="str">
        <f>_xlfn.CONCAT(Tabla1[[#This Row],[codigo_]],Tabla1[[#This Row],[correlativo_]])</f>
        <v>150120261800854</v>
      </c>
      <c r="T135" s="2" t="str">
        <f t="shared" si="4"/>
        <v>6 de julio del 2025</v>
      </c>
      <c r="U135" s="2" t="str">
        <f>_xlfn.XLOOKUP(Tabla1[[#This Row],[instructor_2]],diccionario_!$A$1:$A$11,diccionario_!$D$1:$D$11,,0)</f>
        <v>Guillermo Milla M.</v>
      </c>
      <c r="V135" s="2" t="str">
        <f t="shared" si="5"/>
        <v>100%</v>
      </c>
      <c r="W135" s="2" t="s">
        <v>3698</v>
      </c>
    </row>
    <row r="136" spans="1:23" ht="16.5" customHeight="1">
      <c r="A136" s="2">
        <v>251</v>
      </c>
      <c r="B136" s="2" t="s">
        <v>14</v>
      </c>
      <c r="C136" s="2" t="s">
        <v>15</v>
      </c>
      <c r="D136" s="2" t="s">
        <v>9</v>
      </c>
      <c r="E136" s="11">
        <v>45844</v>
      </c>
      <c r="F136" s="14">
        <v>0.39583333333333298</v>
      </c>
      <c r="G136" s="2" t="s">
        <v>2677</v>
      </c>
      <c r="H136" s="2" t="s">
        <v>2678</v>
      </c>
      <c r="I136" s="2" t="s">
        <v>17</v>
      </c>
      <c r="J136" s="2" t="s">
        <v>3679</v>
      </c>
      <c r="K136" s="2" t="s">
        <v>49</v>
      </c>
      <c r="L136" s="2"/>
      <c r="M136" s="2"/>
      <c r="N136" s="7" t="s">
        <v>49</v>
      </c>
      <c r="O136" s="6">
        <v>1</v>
      </c>
      <c r="P136" s="2" t="s">
        <v>3680</v>
      </c>
      <c r="Q136" s="2" t="str">
        <f>IF(Tabla1[[#This Row],[evaluacion_]]="","",IF(Tabla1[[#This Row],[evaluacion_]]=1,"Habilitado","No Habilitado"))</f>
        <v>Habilitado</v>
      </c>
      <c r="R136" s="2" t="str">
        <f>IF(Tabla1[[#This Row],[fecha]]="","",TEXT(Tabla1[[#This Row],[fecha]],"DMMAAAA")&amp;TEXT(Tabla1[[#This Row],[hora]],"HHmm"))</f>
        <v>170320261000</v>
      </c>
      <c r="S136" s="19" t="str">
        <f>_xlfn.CONCAT(Tabla1[[#This Row],[codigo_]],Tabla1[[#This Row],[correlativo_]])</f>
        <v>170320261000855</v>
      </c>
      <c r="T136" s="2" t="str">
        <f t="shared" si="4"/>
        <v>6 de julio del 2025</v>
      </c>
      <c r="U136" s="2" t="str">
        <f>_xlfn.XLOOKUP(Tabla1[[#This Row],[instructor_2]],diccionario_!$A$1:$A$11,diccionario_!$D$1:$D$11,,0)</f>
        <v>Marcelo Barrera A.</v>
      </c>
      <c r="V136" s="2" t="str">
        <f t="shared" si="5"/>
        <v>100%</v>
      </c>
      <c r="W136" s="2" t="s">
        <v>3698</v>
      </c>
    </row>
    <row r="137" spans="1:23" ht="16.5" customHeight="1">
      <c r="A137" s="2">
        <v>252</v>
      </c>
      <c r="B137" s="2" t="s">
        <v>14</v>
      </c>
      <c r="C137" s="2" t="s">
        <v>15</v>
      </c>
      <c r="D137" s="2" t="s">
        <v>9</v>
      </c>
      <c r="E137" s="11">
        <v>45844</v>
      </c>
      <c r="F137" s="14">
        <v>0.39583333333333298</v>
      </c>
      <c r="G137" s="2" t="s">
        <v>1863</v>
      </c>
      <c r="H137" s="2" t="s">
        <v>1864</v>
      </c>
      <c r="I137" s="2" t="s">
        <v>17</v>
      </c>
      <c r="J137" s="2" t="s">
        <v>3679</v>
      </c>
      <c r="K137" s="2" t="s">
        <v>49</v>
      </c>
      <c r="L137" s="2"/>
      <c r="M137" s="2"/>
      <c r="N137" s="7" t="s">
        <v>49</v>
      </c>
      <c r="O137" s="6">
        <v>1</v>
      </c>
      <c r="P137" s="2" t="s">
        <v>3680</v>
      </c>
      <c r="Q137" s="2" t="str">
        <f>IF(Tabla1[[#This Row],[evaluacion_]]="","",IF(Tabla1[[#This Row],[evaluacion_]]=1,"Habilitado","No Habilitado"))</f>
        <v>Habilitado</v>
      </c>
      <c r="R137" s="2" t="str">
        <f>IF(Tabla1[[#This Row],[fecha]]="","",TEXT(Tabla1[[#This Row],[fecha]],"DMMAAAA")&amp;TEXT(Tabla1[[#This Row],[hora]],"HHmm"))</f>
        <v>170320261000</v>
      </c>
      <c r="S137" s="19" t="str">
        <f>_xlfn.CONCAT(Tabla1[[#This Row],[codigo_]],Tabla1[[#This Row],[correlativo_]])</f>
        <v>170320261000856</v>
      </c>
      <c r="T137" s="2" t="str">
        <f t="shared" si="4"/>
        <v>6 de julio del 2025</v>
      </c>
      <c r="U137" s="2" t="str">
        <f>_xlfn.XLOOKUP(Tabla1[[#This Row],[instructor_2]],diccionario_!$A$1:$A$11,diccionario_!$D$1:$D$11,,0)</f>
        <v>Marcelo Barrera A.</v>
      </c>
      <c r="V137" s="2" t="str">
        <f t="shared" si="5"/>
        <v>100%</v>
      </c>
      <c r="W137" s="2" t="s">
        <v>3698</v>
      </c>
    </row>
    <row r="138" spans="1:23" ht="16.5" customHeight="1">
      <c r="A138" s="2">
        <v>253</v>
      </c>
      <c r="B138" s="2" t="s">
        <v>14</v>
      </c>
      <c r="C138" s="2" t="s">
        <v>15</v>
      </c>
      <c r="D138" s="2" t="s">
        <v>9</v>
      </c>
      <c r="E138" s="11">
        <v>45844</v>
      </c>
      <c r="F138" s="14">
        <v>0.39583333333333298</v>
      </c>
      <c r="G138" s="2" t="s">
        <v>2865</v>
      </c>
      <c r="H138" s="2" t="s">
        <v>2866</v>
      </c>
      <c r="I138" s="2" t="s">
        <v>17</v>
      </c>
      <c r="J138" s="2" t="s">
        <v>3679</v>
      </c>
      <c r="K138" s="2" t="s">
        <v>49</v>
      </c>
      <c r="L138" s="2"/>
      <c r="M138" s="2"/>
      <c r="N138" s="7" t="s">
        <v>49</v>
      </c>
      <c r="O138" s="6">
        <v>1</v>
      </c>
      <c r="P138" s="2" t="s">
        <v>3680</v>
      </c>
      <c r="Q138" s="2" t="str">
        <f>IF(Tabla1[[#This Row],[evaluacion_]]="","",IF(Tabla1[[#This Row],[evaluacion_]]=1,"Habilitado","No Habilitado"))</f>
        <v>Habilitado</v>
      </c>
      <c r="R138" s="2" t="str">
        <f>IF(Tabla1[[#This Row],[fecha]]="","",TEXT(Tabla1[[#This Row],[fecha]],"DMMAAAA")&amp;TEXT(Tabla1[[#This Row],[hora]],"HHmm"))</f>
        <v>160320261100</v>
      </c>
      <c r="S138" s="19" t="str">
        <f>_xlfn.CONCAT(Tabla1[[#This Row],[codigo_]],Tabla1[[#This Row],[correlativo_]])</f>
        <v>160320261100857</v>
      </c>
      <c r="T138" s="2" t="str">
        <f t="shared" si="4"/>
        <v>6 de julio del 2025</v>
      </c>
      <c r="U138" s="2" t="str">
        <f>_xlfn.XLOOKUP(Tabla1[[#This Row],[instructor_2]],diccionario_!$A$1:$A$11,diccionario_!$D$1:$D$11,,0)</f>
        <v>Marcelo Barrera A.</v>
      </c>
      <c r="V138" s="2" t="str">
        <f t="shared" si="5"/>
        <v>100%</v>
      </c>
      <c r="W138" s="2" t="s">
        <v>3698</v>
      </c>
    </row>
    <row r="139" spans="1:23" ht="16.5" customHeight="1">
      <c r="A139" s="2">
        <v>254</v>
      </c>
      <c r="B139" s="2" t="s">
        <v>14</v>
      </c>
      <c r="C139" s="2" t="s">
        <v>15</v>
      </c>
      <c r="D139" s="2" t="s">
        <v>9</v>
      </c>
      <c r="E139" s="11">
        <v>45844</v>
      </c>
      <c r="F139" s="14">
        <v>0.39583333333333298</v>
      </c>
      <c r="G139" s="2" t="s">
        <v>505</v>
      </c>
      <c r="H139" s="2" t="s">
        <v>506</v>
      </c>
      <c r="I139" s="2" t="s">
        <v>17</v>
      </c>
      <c r="J139" s="2" t="s">
        <v>3679</v>
      </c>
      <c r="K139" s="2" t="s">
        <v>49</v>
      </c>
      <c r="L139" s="2"/>
      <c r="M139" s="2"/>
      <c r="N139" s="7" t="s">
        <v>49</v>
      </c>
      <c r="O139" s="6">
        <v>1</v>
      </c>
      <c r="P139" s="2" t="s">
        <v>3680</v>
      </c>
      <c r="Q139" s="2" t="str">
        <f>IF(Tabla1[[#This Row],[evaluacion_]]="","",IF(Tabla1[[#This Row],[evaluacion_]]=1,"Habilitado","No Habilitado"))</f>
        <v>No Habilitado</v>
      </c>
      <c r="R139" s="2" t="str">
        <f>IF(Tabla1[[#This Row],[fecha]]="","",TEXT(Tabla1[[#This Row],[fecha]],"DMMAAAA")&amp;TEXT(Tabla1[[#This Row],[hora]],"HHmm"))</f>
        <v>170320261500</v>
      </c>
      <c r="S139" s="19" t="str">
        <f>_xlfn.CONCAT(Tabla1[[#This Row],[codigo_]],Tabla1[[#This Row],[correlativo_]])</f>
        <v>170320261500858</v>
      </c>
      <c r="T139" s="2" t="str">
        <f t="shared" si="4"/>
        <v>6 de julio del 2025</v>
      </c>
      <c r="U139" s="2" t="str">
        <f>_xlfn.XLOOKUP(Tabla1[[#This Row],[instructor_2]],diccionario_!$A$1:$A$11,diccionario_!$D$1:$D$11,,0)</f>
        <v>Marcelo Barrera A.</v>
      </c>
      <c r="V139" s="2" t="str">
        <f t="shared" si="5"/>
        <v>100%</v>
      </c>
      <c r="W139" s="2" t="s">
        <v>3698</v>
      </c>
    </row>
    <row r="140" spans="1:23" ht="16.5" customHeight="1">
      <c r="A140" s="2">
        <v>255</v>
      </c>
      <c r="B140" s="2" t="s">
        <v>14</v>
      </c>
      <c r="C140" s="2" t="s">
        <v>15</v>
      </c>
      <c r="D140" s="2" t="s">
        <v>9</v>
      </c>
      <c r="E140" s="11">
        <v>45844</v>
      </c>
      <c r="F140" s="14">
        <v>0.39583333333333298</v>
      </c>
      <c r="G140" s="2" t="s">
        <v>1396</v>
      </c>
      <c r="H140" s="2" t="s">
        <v>1397</v>
      </c>
      <c r="I140" s="2" t="s">
        <v>17</v>
      </c>
      <c r="J140" s="2" t="s">
        <v>3679</v>
      </c>
      <c r="K140" s="2" t="s">
        <v>49</v>
      </c>
      <c r="L140" s="2"/>
      <c r="M140" s="2"/>
      <c r="N140" s="7" t="s">
        <v>49</v>
      </c>
      <c r="O140" s="6">
        <v>1</v>
      </c>
      <c r="P140" s="2" t="s">
        <v>3680</v>
      </c>
      <c r="Q140" s="2" t="str">
        <f>IF(Tabla1[[#This Row],[evaluacion_]]="","",IF(Tabla1[[#This Row],[evaluacion_]]=1,"Habilitado","No Habilitado"))</f>
        <v>Habilitado</v>
      </c>
      <c r="R140" s="2" t="str">
        <f>IF(Tabla1[[#This Row],[fecha]]="","",TEXT(Tabla1[[#This Row],[fecha]],"DMMAAAA")&amp;TEXT(Tabla1[[#This Row],[hora]],"HHmm"))</f>
        <v>170320261500</v>
      </c>
      <c r="S140" s="19" t="str">
        <f>_xlfn.CONCAT(Tabla1[[#This Row],[codigo_]],Tabla1[[#This Row],[correlativo_]])</f>
        <v>170320261500859</v>
      </c>
      <c r="T140" s="2" t="str">
        <f t="shared" si="4"/>
        <v>6 de julio del 2025</v>
      </c>
      <c r="U140" s="2" t="str">
        <f>_xlfn.XLOOKUP(Tabla1[[#This Row],[instructor_2]],diccionario_!$A$1:$A$11,diccionario_!$D$1:$D$11,,0)</f>
        <v>Marcelo Barrera A.</v>
      </c>
      <c r="V140" s="2" t="str">
        <f t="shared" si="5"/>
        <v>100%</v>
      </c>
      <c r="W140" s="2" t="s">
        <v>3698</v>
      </c>
    </row>
    <row r="141" spans="1:23" ht="16.5" customHeight="1">
      <c r="A141" s="2">
        <v>256</v>
      </c>
      <c r="B141" s="2" t="s">
        <v>14</v>
      </c>
      <c r="C141" s="2" t="s">
        <v>15</v>
      </c>
      <c r="D141" s="2" t="s">
        <v>9</v>
      </c>
      <c r="E141" s="11">
        <v>45844</v>
      </c>
      <c r="F141" s="14">
        <v>0.39583333333333298</v>
      </c>
      <c r="G141" s="2" t="s">
        <v>1437</v>
      </c>
      <c r="H141" s="2" t="s">
        <v>1438</v>
      </c>
      <c r="I141" s="2" t="s">
        <v>17</v>
      </c>
      <c r="J141" s="2" t="s">
        <v>3679</v>
      </c>
      <c r="K141" s="2" t="s">
        <v>49</v>
      </c>
      <c r="L141" s="2"/>
      <c r="M141" s="2"/>
      <c r="N141" s="7" t="s">
        <v>49</v>
      </c>
      <c r="O141" s="6">
        <v>1</v>
      </c>
      <c r="P141" s="2" t="s">
        <v>3680</v>
      </c>
      <c r="Q141" s="2" t="str">
        <f>IF(Tabla1[[#This Row],[evaluacion_]]="","",IF(Tabla1[[#This Row],[evaluacion_]]=1,"Habilitado","No Habilitado"))</f>
        <v>Habilitado</v>
      </c>
      <c r="R141" s="2" t="str">
        <f>IF(Tabla1[[#This Row],[fecha]]="","",TEXT(Tabla1[[#This Row],[fecha]],"DMMAAAA")&amp;TEXT(Tabla1[[#This Row],[hora]],"HHmm"))</f>
        <v>190320261500</v>
      </c>
      <c r="S141" s="19" t="str">
        <f>_xlfn.CONCAT(Tabla1[[#This Row],[codigo_]],Tabla1[[#This Row],[correlativo_]])</f>
        <v>190320261500860</v>
      </c>
      <c r="T141" s="2" t="str">
        <f t="shared" si="4"/>
        <v>6 de julio del 2025</v>
      </c>
      <c r="U141" s="2" t="str">
        <f>_xlfn.XLOOKUP(Tabla1[[#This Row],[instructor_2]],diccionario_!$A$1:$A$11,diccionario_!$D$1:$D$11,,0)</f>
        <v>Marcelo Barrera A.</v>
      </c>
      <c r="V141" s="2" t="str">
        <f t="shared" si="5"/>
        <v>100%</v>
      </c>
      <c r="W141" s="2" t="s">
        <v>3701</v>
      </c>
    </row>
    <row r="142" spans="1:23" ht="16.5" customHeight="1">
      <c r="A142" s="2">
        <v>257</v>
      </c>
      <c r="B142" s="2" t="s">
        <v>14</v>
      </c>
      <c r="C142" s="2" t="s">
        <v>15</v>
      </c>
      <c r="D142" s="2" t="s">
        <v>9</v>
      </c>
      <c r="E142" s="11">
        <v>45844</v>
      </c>
      <c r="F142" s="14">
        <v>0.39583333333333298</v>
      </c>
      <c r="G142" s="2" t="s">
        <v>3689</v>
      </c>
      <c r="H142" s="2" t="s">
        <v>3690</v>
      </c>
      <c r="I142" s="2" t="s">
        <v>17</v>
      </c>
      <c r="J142" s="2" t="s">
        <v>3679</v>
      </c>
      <c r="K142" s="2" t="s">
        <v>49</v>
      </c>
      <c r="L142" s="2"/>
      <c r="M142" s="2"/>
      <c r="N142" s="7" t="s">
        <v>49</v>
      </c>
      <c r="O142" s="6">
        <v>1</v>
      </c>
      <c r="P142" s="2" t="s">
        <v>3680</v>
      </c>
      <c r="Q142" s="2" t="str">
        <f>IF(Tabla1[[#This Row],[evaluacion_]]="","",IF(Tabla1[[#This Row],[evaluacion_]]=1,"Habilitado","No Habilitado"))</f>
        <v>Habilitado</v>
      </c>
      <c r="R142" s="2" t="str">
        <f>IF(Tabla1[[#This Row],[fecha]]="","",TEXT(Tabla1[[#This Row],[fecha]],"DMMAAAA")&amp;TEXT(Tabla1[[#This Row],[hora]],"HHmm"))</f>
        <v>100320261000</v>
      </c>
      <c r="S142" s="19" t="str">
        <f>_xlfn.CONCAT(Tabla1[[#This Row],[codigo_]],Tabla1[[#This Row],[correlativo_]])</f>
        <v>100320261000861</v>
      </c>
      <c r="T142" s="2" t="str">
        <f t="shared" si="4"/>
        <v>6 de julio del 2025</v>
      </c>
      <c r="U142" s="2" t="str">
        <f>_xlfn.XLOOKUP(Tabla1[[#This Row],[instructor_2]],diccionario_!$A$1:$A$11,diccionario_!$D$1:$D$11,,0)</f>
        <v>Guillermo Milla M.</v>
      </c>
      <c r="V142" s="2" t="str">
        <f t="shared" si="5"/>
        <v>100%</v>
      </c>
      <c r="W142" s="2" t="s">
        <v>3701</v>
      </c>
    </row>
    <row r="143" spans="1:23" ht="16.5" customHeight="1">
      <c r="A143" s="2">
        <v>258</v>
      </c>
      <c r="B143" s="2" t="s">
        <v>14</v>
      </c>
      <c r="C143" s="2" t="s">
        <v>15</v>
      </c>
      <c r="D143" s="2" t="s">
        <v>9</v>
      </c>
      <c r="E143" s="11">
        <v>45844</v>
      </c>
      <c r="F143" s="14">
        <v>0.39583333333333298</v>
      </c>
      <c r="G143" s="2" t="s">
        <v>1473</v>
      </c>
      <c r="H143" s="2" t="s">
        <v>1474</v>
      </c>
      <c r="I143" s="2" t="s">
        <v>17</v>
      </c>
      <c r="J143" s="2" t="s">
        <v>3679</v>
      </c>
      <c r="K143" s="2" t="s">
        <v>49</v>
      </c>
      <c r="L143" s="2"/>
      <c r="M143" s="2"/>
      <c r="N143" s="7" t="s">
        <v>49</v>
      </c>
      <c r="O143" s="6">
        <v>1</v>
      </c>
      <c r="P143" s="2" t="s">
        <v>3680</v>
      </c>
      <c r="Q143" s="2" t="str">
        <f>IF(Tabla1[[#This Row],[evaluacion_]]="","",IF(Tabla1[[#This Row],[evaluacion_]]=1,"Habilitado","No Habilitado"))</f>
        <v>Habilitado</v>
      </c>
      <c r="R143" s="2" t="str">
        <f>IF(Tabla1[[#This Row],[fecha]]="","",TEXT(Tabla1[[#This Row],[fecha]],"DMMAAAA")&amp;TEXT(Tabla1[[#This Row],[hora]],"HHmm"))</f>
        <v>100320261000</v>
      </c>
      <c r="S143" s="19" t="str">
        <f>_xlfn.CONCAT(Tabla1[[#This Row],[codigo_]],Tabla1[[#This Row],[correlativo_]])</f>
        <v>100320261000862</v>
      </c>
      <c r="T143" s="2" t="str">
        <f t="shared" si="4"/>
        <v>6 de julio del 2025</v>
      </c>
      <c r="U143" s="2" t="str">
        <f>_xlfn.XLOOKUP(Tabla1[[#This Row],[instructor_2]],diccionario_!$A$1:$A$11,diccionario_!$D$1:$D$11,,0)</f>
        <v>Guillermo Milla M.</v>
      </c>
      <c r="V143" s="2" t="str">
        <f t="shared" si="5"/>
        <v>100%</v>
      </c>
      <c r="W143" s="2" t="s">
        <v>3701</v>
      </c>
    </row>
    <row r="144" spans="1:23" ht="16.5" customHeight="1">
      <c r="A144" s="2">
        <v>259</v>
      </c>
      <c r="B144" s="2" t="s">
        <v>14</v>
      </c>
      <c r="C144" s="2" t="s">
        <v>15</v>
      </c>
      <c r="D144" s="2" t="s">
        <v>9</v>
      </c>
      <c r="E144" s="11">
        <v>45844</v>
      </c>
      <c r="F144" s="14">
        <v>0.39583333333333298</v>
      </c>
      <c r="G144" s="2" t="s">
        <v>2766</v>
      </c>
      <c r="H144" s="2" t="s">
        <v>2767</v>
      </c>
      <c r="I144" s="2" t="s">
        <v>17</v>
      </c>
      <c r="J144" s="2" t="s">
        <v>3679</v>
      </c>
      <c r="K144" s="2" t="s">
        <v>49</v>
      </c>
      <c r="L144" s="2"/>
      <c r="M144" s="2"/>
      <c r="N144" s="7" t="s">
        <v>49</v>
      </c>
      <c r="O144" s="6">
        <v>1</v>
      </c>
      <c r="P144" s="2" t="s">
        <v>3680</v>
      </c>
      <c r="Q144" s="2" t="str">
        <f>IF(Tabla1[[#This Row],[evaluacion_]]="","",IF(Tabla1[[#This Row],[evaluacion_]]=1,"Habilitado","No Habilitado"))</f>
        <v>Habilitado</v>
      </c>
      <c r="R144" s="2" t="str">
        <f>IF(Tabla1[[#This Row],[fecha]]="","",TEXT(Tabla1[[#This Row],[fecha]],"DMMAAAA")&amp;TEXT(Tabla1[[#This Row],[hora]],"HHmm"))</f>
        <v>100320261000</v>
      </c>
      <c r="S144" s="19" t="str">
        <f>_xlfn.CONCAT(Tabla1[[#This Row],[codigo_]],Tabla1[[#This Row],[correlativo_]])</f>
        <v>100320261000863</v>
      </c>
      <c r="T144" s="2" t="str">
        <f t="shared" si="4"/>
        <v>6 de julio del 2025</v>
      </c>
      <c r="U144" s="2" t="str">
        <f>_xlfn.XLOOKUP(Tabla1[[#This Row],[instructor_2]],diccionario_!$A$1:$A$11,diccionario_!$D$1:$D$11,,0)</f>
        <v>Guillermo Milla M.</v>
      </c>
      <c r="V144" s="2" t="str">
        <f t="shared" si="5"/>
        <v>100%</v>
      </c>
      <c r="W144" s="2" t="s">
        <v>3701</v>
      </c>
    </row>
    <row r="145" spans="1:23" ht="16.5" customHeight="1">
      <c r="A145" s="2">
        <v>260</v>
      </c>
      <c r="B145" s="2" t="s">
        <v>14</v>
      </c>
      <c r="C145" s="2" t="s">
        <v>15</v>
      </c>
      <c r="D145" s="2" t="s">
        <v>9</v>
      </c>
      <c r="E145" s="11">
        <v>45844</v>
      </c>
      <c r="F145" s="14">
        <v>0.39583333333333298</v>
      </c>
      <c r="G145" s="2" t="s">
        <v>3073</v>
      </c>
      <c r="H145" s="2" t="s">
        <v>3074</v>
      </c>
      <c r="I145" s="2" t="s">
        <v>17</v>
      </c>
      <c r="J145" s="2" t="s">
        <v>3679</v>
      </c>
      <c r="K145" s="2" t="s">
        <v>49</v>
      </c>
      <c r="L145" s="2"/>
      <c r="M145" s="2"/>
      <c r="N145" s="7" t="s">
        <v>49</v>
      </c>
      <c r="O145" s="6">
        <v>1</v>
      </c>
      <c r="P145" s="2" t="s">
        <v>3680</v>
      </c>
      <c r="Q145" s="2" t="str">
        <f>IF(Tabla1[[#This Row],[evaluacion_]]="","",IF(Tabla1[[#This Row],[evaluacion_]]=1,"Habilitado","No Habilitado"))</f>
        <v>Habilitado</v>
      </c>
      <c r="R145" s="2" t="str">
        <f>IF(Tabla1[[#This Row],[fecha]]="","",TEXT(Tabla1[[#This Row],[fecha]],"DMMAAAA")&amp;TEXT(Tabla1[[#This Row],[hora]],"HHmm"))</f>
        <v>200320261000</v>
      </c>
      <c r="S145" s="19" t="str">
        <f>_xlfn.CONCAT(Tabla1[[#This Row],[codigo_]],Tabla1[[#This Row],[correlativo_]])</f>
        <v>200320261000864</v>
      </c>
      <c r="T145" s="2" t="str">
        <f t="shared" si="4"/>
        <v>6 de julio del 2025</v>
      </c>
      <c r="U145" s="2" t="str">
        <f>_xlfn.XLOOKUP(Tabla1[[#This Row],[instructor_2]],diccionario_!$A$1:$A$11,diccionario_!$D$1:$D$11,,0)</f>
        <v>Marcelo Barrera A.</v>
      </c>
      <c r="V145" s="2" t="str">
        <f t="shared" si="5"/>
        <v>100%</v>
      </c>
      <c r="W145" s="2" t="s">
        <v>3701</v>
      </c>
    </row>
    <row r="146" spans="1:23" ht="16.5" customHeight="1">
      <c r="A146" s="2">
        <v>261</v>
      </c>
      <c r="B146" s="2" t="s">
        <v>14</v>
      </c>
      <c r="C146" s="2" t="s">
        <v>15</v>
      </c>
      <c r="D146" s="2" t="s">
        <v>9</v>
      </c>
      <c r="E146" s="11">
        <v>45844</v>
      </c>
      <c r="F146" s="14">
        <v>0.39583333333333298</v>
      </c>
      <c r="G146" s="2" t="s">
        <v>2046</v>
      </c>
      <c r="H146" s="2" t="s">
        <v>2047</v>
      </c>
      <c r="I146" s="2" t="s">
        <v>17</v>
      </c>
      <c r="J146" s="2" t="s">
        <v>3679</v>
      </c>
      <c r="K146" s="2" t="s">
        <v>49</v>
      </c>
      <c r="L146" s="2"/>
      <c r="M146" s="2"/>
      <c r="N146" s="7" t="s">
        <v>49</v>
      </c>
      <c r="O146" s="6">
        <v>1</v>
      </c>
      <c r="P146" s="2" t="s">
        <v>3680</v>
      </c>
      <c r="Q146" s="2" t="str">
        <f>IF(Tabla1[[#This Row],[evaluacion_]]="","",IF(Tabla1[[#This Row],[evaluacion_]]=1,"Habilitado","No Habilitado"))</f>
        <v>Habilitado</v>
      </c>
      <c r="R146" s="2" t="str">
        <f>IF(Tabla1[[#This Row],[fecha]]="","",TEXT(Tabla1[[#This Row],[fecha]],"DMMAAAA")&amp;TEXT(Tabla1[[#This Row],[hora]],"HHmm"))</f>
        <v>200320261100</v>
      </c>
      <c r="S146" s="19" t="str">
        <f>_xlfn.CONCAT(Tabla1[[#This Row],[codigo_]],Tabla1[[#This Row],[correlativo_]])</f>
        <v>200320261100865</v>
      </c>
      <c r="T146" s="2" t="str">
        <f t="shared" si="4"/>
        <v>6 de julio del 2025</v>
      </c>
      <c r="U146" s="2" t="str">
        <f>_xlfn.XLOOKUP(Tabla1[[#This Row],[instructor_2]],diccionario_!$A$1:$A$11,diccionario_!$D$1:$D$11,,0)</f>
        <v>Marcelo Barrera A.</v>
      </c>
      <c r="V146" s="2" t="str">
        <f t="shared" si="5"/>
        <v>100%</v>
      </c>
      <c r="W146" s="2" t="s">
        <v>3701</v>
      </c>
    </row>
    <row r="147" spans="1:23" ht="16.5" customHeight="1">
      <c r="A147" s="2">
        <v>262</v>
      </c>
      <c r="B147" s="2" t="s">
        <v>14</v>
      </c>
      <c r="C147" s="2" t="s">
        <v>15</v>
      </c>
      <c r="D147" s="2" t="s">
        <v>9</v>
      </c>
      <c r="E147" s="11">
        <v>45844</v>
      </c>
      <c r="F147" s="14">
        <v>0.39583333333333298</v>
      </c>
      <c r="G147" s="2" t="s">
        <v>1400</v>
      </c>
      <c r="H147" s="2" t="s">
        <v>1401</v>
      </c>
      <c r="I147" s="2" t="s">
        <v>17</v>
      </c>
      <c r="J147" s="2" t="s">
        <v>3679</v>
      </c>
      <c r="K147" s="2" t="s">
        <v>49</v>
      </c>
      <c r="L147" s="2"/>
      <c r="M147" s="2"/>
      <c r="N147" s="7" t="s">
        <v>49</v>
      </c>
      <c r="O147" s="6">
        <v>1</v>
      </c>
      <c r="P147" s="2" t="s">
        <v>3680</v>
      </c>
      <c r="Q147" s="2" t="str">
        <f>IF(Tabla1[[#This Row],[evaluacion_]]="","",IF(Tabla1[[#This Row],[evaluacion_]]=1,"Habilitado","No Habilitado"))</f>
        <v>Habilitado</v>
      </c>
      <c r="R147" s="2" t="str">
        <f>IF(Tabla1[[#This Row],[fecha]]="","",TEXT(Tabla1[[#This Row],[fecha]],"DMMAAAA")&amp;TEXT(Tabla1[[#This Row],[hora]],"HHmm"))</f>
        <v>110320261800</v>
      </c>
      <c r="S147" s="19" t="str">
        <f>_xlfn.CONCAT(Tabla1[[#This Row],[codigo_]],Tabla1[[#This Row],[correlativo_]])</f>
        <v>110320261800866</v>
      </c>
      <c r="T147" s="2" t="str">
        <f t="shared" si="4"/>
        <v>6 de julio del 2025</v>
      </c>
      <c r="U147" s="2" t="str">
        <f>_xlfn.XLOOKUP(Tabla1[[#This Row],[instructor_2]],diccionario_!$A$1:$A$11,diccionario_!$D$1:$D$11,,0)</f>
        <v>Marcelo Barrera A.</v>
      </c>
      <c r="V147" s="2" t="str">
        <f t="shared" si="5"/>
        <v>100%</v>
      </c>
      <c r="W147" s="2" t="s">
        <v>3701</v>
      </c>
    </row>
    <row r="148" spans="1:23" ht="16.5" customHeight="1">
      <c r="A148" s="2">
        <v>263</v>
      </c>
      <c r="B148" s="2" t="s">
        <v>14</v>
      </c>
      <c r="C148" s="2" t="s">
        <v>15</v>
      </c>
      <c r="D148" s="2" t="s">
        <v>9</v>
      </c>
      <c r="E148" s="11">
        <v>45844</v>
      </c>
      <c r="F148" s="14">
        <v>0.39583333333333298</v>
      </c>
      <c r="G148" s="2" t="s">
        <v>2033</v>
      </c>
      <c r="H148" s="2" t="s">
        <v>2034</v>
      </c>
      <c r="I148" s="2" t="s">
        <v>17</v>
      </c>
      <c r="J148" s="2" t="s">
        <v>3679</v>
      </c>
      <c r="K148" s="2" t="s">
        <v>49</v>
      </c>
      <c r="L148" s="2"/>
      <c r="M148" s="2"/>
      <c r="N148" s="7" t="s">
        <v>49</v>
      </c>
      <c r="O148" s="6">
        <v>1</v>
      </c>
      <c r="P148" s="2" t="s">
        <v>3680</v>
      </c>
      <c r="Q148" s="2" t="str">
        <f>IF(Tabla1[[#This Row],[evaluacion_]]="","",IF(Tabla1[[#This Row],[evaluacion_]]=1,"Habilitado","No Habilitado"))</f>
        <v>Habilitado</v>
      </c>
      <c r="R148" s="2" t="str">
        <f>IF(Tabla1[[#This Row],[fecha]]="","",TEXT(Tabla1[[#This Row],[fecha]],"DMMAAAA")&amp;TEXT(Tabla1[[#This Row],[hora]],"HHmm"))</f>
        <v>110320261800</v>
      </c>
      <c r="S148" s="19" t="str">
        <f>_xlfn.CONCAT(Tabla1[[#This Row],[codigo_]],Tabla1[[#This Row],[correlativo_]])</f>
        <v>110320261800867</v>
      </c>
      <c r="T148" s="2" t="str">
        <f t="shared" si="4"/>
        <v>6 de julio del 2025</v>
      </c>
      <c r="U148" s="2" t="str">
        <f>_xlfn.XLOOKUP(Tabla1[[#This Row],[instructor_2]],diccionario_!$A$1:$A$11,diccionario_!$D$1:$D$11,,0)</f>
        <v>Marcelo Barrera A.</v>
      </c>
      <c r="V148" s="2" t="str">
        <f t="shared" si="5"/>
        <v>100%</v>
      </c>
      <c r="W148" s="2" t="s">
        <v>3701</v>
      </c>
    </row>
    <row r="149" spans="1:23" ht="16.5" customHeight="1">
      <c r="A149" s="2">
        <v>264</v>
      </c>
      <c r="B149" s="2" t="s">
        <v>14</v>
      </c>
      <c r="C149" s="2" t="s">
        <v>15</v>
      </c>
      <c r="D149" s="2" t="s">
        <v>9</v>
      </c>
      <c r="E149" s="11">
        <v>45844</v>
      </c>
      <c r="F149" s="14">
        <v>0.39583333333333298</v>
      </c>
      <c r="G149" s="2" t="s">
        <v>753</v>
      </c>
      <c r="H149" s="2" t="s">
        <v>754</v>
      </c>
      <c r="I149" s="2" t="s">
        <v>17</v>
      </c>
      <c r="J149" s="2" t="s">
        <v>3679</v>
      </c>
      <c r="K149" s="2" t="s">
        <v>49</v>
      </c>
      <c r="L149" s="2"/>
      <c r="M149" s="2"/>
      <c r="N149" s="7" t="s">
        <v>49</v>
      </c>
      <c r="O149" s="6">
        <v>1</v>
      </c>
      <c r="P149" s="2" t="s">
        <v>3680</v>
      </c>
      <c r="Q149" s="2" t="str">
        <f>IF(Tabla1[[#This Row],[evaluacion_]]="","",IF(Tabla1[[#This Row],[evaluacion_]]=1,"Habilitado","No Habilitado"))</f>
        <v>Habilitado</v>
      </c>
      <c r="R149" s="2" t="str">
        <f>IF(Tabla1[[#This Row],[fecha]]="","",TEXT(Tabla1[[#This Row],[fecha]],"DMMAAAA")&amp;TEXT(Tabla1[[#This Row],[hora]],"HHmm"))</f>
        <v>260220261000</v>
      </c>
      <c r="S149" s="19" t="str">
        <f>_xlfn.CONCAT(Tabla1[[#This Row],[codigo_]],Tabla1[[#This Row],[correlativo_]])</f>
        <v>260220261000868</v>
      </c>
      <c r="T149" s="2" t="str">
        <f t="shared" si="4"/>
        <v>6 de julio del 2025</v>
      </c>
      <c r="U149" s="2" t="str">
        <f>_xlfn.XLOOKUP(Tabla1[[#This Row],[instructor_2]],diccionario_!$A$1:$A$11,diccionario_!$D$1:$D$11,,0)</f>
        <v>Marcelo Barrera A.</v>
      </c>
      <c r="V149" s="2" t="str">
        <f t="shared" si="5"/>
        <v>100%</v>
      </c>
      <c r="W149" s="2" t="s">
        <v>3701</v>
      </c>
    </row>
    <row r="150" spans="1:23" ht="16.5" customHeight="1">
      <c r="A150" s="2">
        <v>265</v>
      </c>
      <c r="B150" s="2" t="s">
        <v>14</v>
      </c>
      <c r="C150" s="2" t="s">
        <v>15</v>
      </c>
      <c r="D150" s="2" t="s">
        <v>9</v>
      </c>
      <c r="E150" s="11">
        <v>45844</v>
      </c>
      <c r="F150" s="14">
        <v>0.39583333333333298</v>
      </c>
      <c r="G150" s="2" t="s">
        <v>1134</v>
      </c>
      <c r="H150" s="2" t="s">
        <v>1135</v>
      </c>
      <c r="I150" s="2" t="s">
        <v>17</v>
      </c>
      <c r="J150" s="2" t="s">
        <v>3679</v>
      </c>
      <c r="K150" s="2" t="s">
        <v>49</v>
      </c>
      <c r="L150" s="2"/>
      <c r="M150" s="2"/>
      <c r="N150" s="7" t="s">
        <v>49</v>
      </c>
      <c r="O150" s="6">
        <v>1</v>
      </c>
      <c r="P150" s="2" t="s">
        <v>3680</v>
      </c>
      <c r="Q150" s="2" t="str">
        <f>IF(Tabla1[[#This Row],[evaluacion_]]="","",IF(Tabla1[[#This Row],[evaluacion_]]=1,"Habilitado","No Habilitado"))</f>
        <v>Habilitado</v>
      </c>
      <c r="R150" s="2" t="str">
        <f>IF(Tabla1[[#This Row],[fecha]]="","",TEXT(Tabla1[[#This Row],[fecha]],"DMMAAAA")&amp;TEXT(Tabla1[[#This Row],[hora]],"HHmm"))</f>
        <v>270220261100</v>
      </c>
      <c r="S150" s="19" t="str">
        <f>_xlfn.CONCAT(Tabla1[[#This Row],[codigo_]],Tabla1[[#This Row],[correlativo_]])</f>
        <v>270220261100869</v>
      </c>
      <c r="T150" s="2" t="str">
        <f t="shared" si="4"/>
        <v>6 de julio del 2025</v>
      </c>
      <c r="U150" s="2" t="str">
        <f>_xlfn.XLOOKUP(Tabla1[[#This Row],[instructor_2]],diccionario_!$A$1:$A$11,diccionario_!$D$1:$D$11,,0)</f>
        <v>Marcelo Barrera A.</v>
      </c>
      <c r="V150" s="2" t="str">
        <f t="shared" si="5"/>
        <v>100%</v>
      </c>
      <c r="W150" s="2" t="s">
        <v>3701</v>
      </c>
    </row>
    <row r="151" spans="1:23" ht="16.5" customHeight="1">
      <c r="A151" s="2">
        <v>266</v>
      </c>
      <c r="B151" s="2" t="s">
        <v>14</v>
      </c>
      <c r="C151" s="2" t="s">
        <v>15</v>
      </c>
      <c r="D151" s="2" t="s">
        <v>9</v>
      </c>
      <c r="E151" s="11">
        <v>45844</v>
      </c>
      <c r="F151" s="14">
        <v>0.39583333333333298</v>
      </c>
      <c r="G151" s="2" t="s">
        <v>3699</v>
      </c>
      <c r="H151" s="2" t="s">
        <v>3700</v>
      </c>
      <c r="I151" s="2" t="s">
        <v>17</v>
      </c>
      <c r="J151" s="2" t="s">
        <v>3679</v>
      </c>
      <c r="K151" s="2" t="s">
        <v>49</v>
      </c>
      <c r="L151" s="2"/>
      <c r="M151" s="2"/>
      <c r="N151" s="7" t="s">
        <v>49</v>
      </c>
      <c r="O151" s="6">
        <v>1</v>
      </c>
      <c r="P151" s="2" t="s">
        <v>3680</v>
      </c>
      <c r="Q151" s="2" t="str">
        <f>IF(Tabla1[[#This Row],[evaluacion_]]="","",IF(Tabla1[[#This Row],[evaluacion_]]=1,"Habilitado","No Habilitado"))</f>
        <v>Habilitado</v>
      </c>
      <c r="R151" s="2" t="str">
        <f>IF(Tabla1[[#This Row],[fecha]]="","",TEXT(Tabla1[[#This Row],[fecha]],"DMMAAAA")&amp;TEXT(Tabla1[[#This Row],[hora]],"HHmm"))</f>
        <v>280220261200</v>
      </c>
      <c r="S151" s="19" t="str">
        <f>_xlfn.CONCAT(Tabla1[[#This Row],[codigo_]],Tabla1[[#This Row],[correlativo_]])</f>
        <v>280220261200870</v>
      </c>
      <c r="T151" s="2" t="str">
        <f t="shared" si="4"/>
        <v>6 de julio del 2025</v>
      </c>
      <c r="U151" s="2" t="str">
        <f>_xlfn.XLOOKUP(Tabla1[[#This Row],[instructor_2]],diccionario_!$A$1:$A$11,diccionario_!$D$1:$D$11,,0)</f>
        <v>Marcelo Barrera A.</v>
      </c>
      <c r="V151" s="2" t="str">
        <f t="shared" si="5"/>
        <v>100%</v>
      </c>
      <c r="W151" s="2" t="s">
        <v>3701</v>
      </c>
    </row>
    <row r="152" spans="1:23" ht="16.5" customHeight="1">
      <c r="A152" s="2">
        <v>267</v>
      </c>
      <c r="B152" s="2" t="s">
        <v>14</v>
      </c>
      <c r="C152" s="2" t="s">
        <v>15</v>
      </c>
      <c r="D152" s="2" t="s">
        <v>9</v>
      </c>
      <c r="E152" s="11">
        <v>45844</v>
      </c>
      <c r="F152" s="14">
        <v>0.39583333333333298</v>
      </c>
      <c r="G152" s="2" t="s">
        <v>3393</v>
      </c>
      <c r="H152" s="2" t="s">
        <v>3394</v>
      </c>
      <c r="I152" s="2" t="s">
        <v>17</v>
      </c>
      <c r="J152" s="2" t="s">
        <v>3679</v>
      </c>
      <c r="K152" s="2" t="s">
        <v>49</v>
      </c>
      <c r="L152" s="2"/>
      <c r="M152" s="2"/>
      <c r="N152" s="7" t="s">
        <v>49</v>
      </c>
      <c r="O152" s="6">
        <v>1</v>
      </c>
      <c r="P152" s="2" t="s">
        <v>3680</v>
      </c>
      <c r="Q152" s="2" t="str">
        <f>IF(Tabla1[[#This Row],[evaluacion_]]="","",IF(Tabla1[[#This Row],[evaluacion_]]=1,"Habilitado","No Habilitado"))</f>
        <v>Habilitado</v>
      </c>
      <c r="R152" s="2" t="str">
        <f>IF(Tabla1[[#This Row],[fecha]]="","",TEXT(Tabla1[[#This Row],[fecha]],"DMMAAAA")&amp;TEXT(Tabla1[[#This Row],[hora]],"HHmm"))</f>
        <v>260220261800</v>
      </c>
      <c r="S152" s="19" t="str">
        <f>_xlfn.CONCAT(Tabla1[[#This Row],[codigo_]],Tabla1[[#This Row],[correlativo_]])</f>
        <v>260220261800871</v>
      </c>
      <c r="T152" s="2" t="str">
        <f t="shared" si="4"/>
        <v>6 de julio del 2025</v>
      </c>
      <c r="U152" s="2" t="str">
        <f>_xlfn.XLOOKUP(Tabla1[[#This Row],[instructor_2]],diccionario_!$A$1:$A$11,diccionario_!$D$1:$D$11,,0)</f>
        <v>Marcelo Barrera A.</v>
      </c>
      <c r="V152" s="2" t="str">
        <f t="shared" si="5"/>
        <v>100%</v>
      </c>
      <c r="W152" s="2" t="s">
        <v>3701</v>
      </c>
    </row>
    <row r="153" spans="1:23" ht="16.5" customHeight="1">
      <c r="A153" s="2">
        <v>268</v>
      </c>
      <c r="B153" s="2" t="s">
        <v>14</v>
      </c>
      <c r="C153" s="2" t="s">
        <v>15</v>
      </c>
      <c r="D153" s="2" t="s">
        <v>9</v>
      </c>
      <c r="E153" s="11">
        <v>45844</v>
      </c>
      <c r="F153" s="14">
        <v>0.39583333333333298</v>
      </c>
      <c r="G153" s="2" t="s">
        <v>3457</v>
      </c>
      <c r="H153" s="2" t="s">
        <v>3458</v>
      </c>
      <c r="I153" s="2" t="s">
        <v>17</v>
      </c>
      <c r="J153" s="2" t="s">
        <v>3679</v>
      </c>
      <c r="K153" s="2" t="s">
        <v>49</v>
      </c>
      <c r="L153" s="2"/>
      <c r="M153" s="2"/>
      <c r="N153" s="7" t="s">
        <v>49</v>
      </c>
      <c r="O153" s="6">
        <v>1</v>
      </c>
      <c r="P153" s="2" t="s">
        <v>3680</v>
      </c>
      <c r="Q153" s="2" t="str">
        <f>IF(Tabla1[[#This Row],[evaluacion_]]="","",IF(Tabla1[[#This Row],[evaluacion_]]=1,"Habilitado","No Habilitado"))</f>
        <v>Habilitado</v>
      </c>
      <c r="R153" s="2" t="str">
        <f>IF(Tabla1[[#This Row],[fecha]]="","",TEXT(Tabla1[[#This Row],[fecha]],"DMMAAAA")&amp;TEXT(Tabla1[[#This Row],[hora]],"HHmm"))</f>
        <v>260220261800</v>
      </c>
      <c r="S153" s="19" t="str">
        <f>_xlfn.CONCAT(Tabla1[[#This Row],[codigo_]],Tabla1[[#This Row],[correlativo_]])</f>
        <v>260220261800872</v>
      </c>
      <c r="T153" s="2" t="str">
        <f t="shared" si="4"/>
        <v>6 de julio del 2025</v>
      </c>
      <c r="U153" s="2" t="str">
        <f>_xlfn.XLOOKUP(Tabla1[[#This Row],[instructor_2]],diccionario_!$A$1:$A$11,diccionario_!$D$1:$D$11,,0)</f>
        <v>Marcelo Barrera A.</v>
      </c>
      <c r="V153" s="2" t="str">
        <f t="shared" si="5"/>
        <v>100%</v>
      </c>
      <c r="W153" s="2" t="s">
        <v>3701</v>
      </c>
    </row>
    <row r="154" spans="1:23" ht="16.5" customHeight="1">
      <c r="A154" s="2">
        <v>269</v>
      </c>
      <c r="B154" s="2" t="s">
        <v>14</v>
      </c>
      <c r="C154" s="2" t="s">
        <v>15</v>
      </c>
      <c r="D154" s="2" t="s">
        <v>9</v>
      </c>
      <c r="E154" s="11">
        <v>45844</v>
      </c>
      <c r="F154" s="14">
        <v>0.39583333333333298</v>
      </c>
      <c r="G154" s="2" t="s">
        <v>1811</v>
      </c>
      <c r="H154" s="2" t="s">
        <v>1812</v>
      </c>
      <c r="I154" s="2" t="s">
        <v>17</v>
      </c>
      <c r="J154" s="2" t="s">
        <v>3679</v>
      </c>
      <c r="K154" s="2" t="s">
        <v>49</v>
      </c>
      <c r="L154" s="2"/>
      <c r="M154" s="2"/>
      <c r="N154" s="7" t="s">
        <v>49</v>
      </c>
      <c r="O154" s="6">
        <v>1</v>
      </c>
      <c r="P154" s="2" t="s">
        <v>3680</v>
      </c>
      <c r="Q154" s="2" t="str">
        <f>IF(Tabla1[[#This Row],[evaluacion_]]="","",IF(Tabla1[[#This Row],[evaluacion_]]=1,"Habilitado","No Habilitado"))</f>
        <v>Habilitado</v>
      </c>
      <c r="R154" s="2" t="str">
        <f>IF(Tabla1[[#This Row],[fecha]]="","",TEXT(Tabla1[[#This Row],[fecha]],"DMMAAAA")&amp;TEXT(Tabla1[[#This Row],[hora]],"HHmm"))</f>
        <v>260220261830</v>
      </c>
      <c r="S154" s="19" t="str">
        <f>_xlfn.CONCAT(Tabla1[[#This Row],[codigo_]],Tabla1[[#This Row],[correlativo_]])</f>
        <v>260220261830873</v>
      </c>
      <c r="T154" s="2" t="str">
        <f t="shared" si="4"/>
        <v>6 de julio del 2025</v>
      </c>
      <c r="U154" s="2" t="str">
        <f>_xlfn.XLOOKUP(Tabla1[[#This Row],[instructor_2]],diccionario_!$A$1:$A$11,diccionario_!$D$1:$D$11,,0)</f>
        <v>Marcelo Barrera A.</v>
      </c>
      <c r="V154" s="2" t="str">
        <f t="shared" si="5"/>
        <v>100%</v>
      </c>
      <c r="W154" s="2" t="s">
        <v>3701</v>
      </c>
    </row>
    <row r="155" spans="1:23" ht="16.5" customHeight="1">
      <c r="A155" s="2">
        <v>270</v>
      </c>
      <c r="B155" s="2" t="s">
        <v>14</v>
      </c>
      <c r="C155" s="2" t="s">
        <v>15</v>
      </c>
      <c r="D155" s="2" t="s">
        <v>9</v>
      </c>
      <c r="E155" s="11">
        <v>45844</v>
      </c>
      <c r="F155" s="14">
        <v>0.39583333333333298</v>
      </c>
      <c r="G155" s="2" t="s">
        <v>805</v>
      </c>
      <c r="H155" s="2" t="s">
        <v>806</v>
      </c>
      <c r="I155" s="2" t="s">
        <v>17</v>
      </c>
      <c r="J155" s="2" t="s">
        <v>3679</v>
      </c>
      <c r="K155" s="2" t="s">
        <v>49</v>
      </c>
      <c r="L155" s="2"/>
      <c r="M155" s="2"/>
      <c r="N155" s="7" t="s">
        <v>49</v>
      </c>
      <c r="O155" s="6">
        <v>1</v>
      </c>
      <c r="P155" s="2" t="s">
        <v>3680</v>
      </c>
      <c r="Q155" s="2" t="str">
        <f>IF(Tabla1[[#This Row],[evaluacion_]]="","",IF(Tabla1[[#This Row],[evaluacion_]]=1,"Habilitado","No Habilitado"))</f>
        <v>Habilitado</v>
      </c>
      <c r="R155" s="2" t="str">
        <f>IF(Tabla1[[#This Row],[fecha]]="","",TEXT(Tabla1[[#This Row],[fecha]],"DMMAAAA")&amp;TEXT(Tabla1[[#This Row],[hora]],"HHmm"))</f>
        <v>120320261800</v>
      </c>
      <c r="S155" s="19" t="str">
        <f>_xlfn.CONCAT(Tabla1[[#This Row],[codigo_]],Tabla1[[#This Row],[correlativo_]])</f>
        <v>120320261800874</v>
      </c>
      <c r="T155" s="2" t="str">
        <f t="shared" si="4"/>
        <v>6 de julio del 2025</v>
      </c>
      <c r="U155" s="2" t="str">
        <f>_xlfn.XLOOKUP(Tabla1[[#This Row],[instructor_2]],diccionario_!$A$1:$A$11,diccionario_!$D$1:$D$11,,0)</f>
        <v>Marcelo Barrera A.</v>
      </c>
      <c r="V155" s="2" t="str">
        <f t="shared" si="5"/>
        <v>100%</v>
      </c>
      <c r="W155" s="2" t="s">
        <v>3701</v>
      </c>
    </row>
    <row r="156" spans="1:23" ht="16.5" customHeight="1">
      <c r="A156" s="2">
        <v>271</v>
      </c>
      <c r="B156" s="2" t="s">
        <v>14</v>
      </c>
      <c r="C156" s="2" t="s">
        <v>15</v>
      </c>
      <c r="D156" s="2" t="s">
        <v>9</v>
      </c>
      <c r="E156" s="11">
        <v>45844</v>
      </c>
      <c r="F156" s="14">
        <v>0.39583333333333298</v>
      </c>
      <c r="G156" s="2" t="s">
        <v>3682</v>
      </c>
      <c r="H156" s="2" t="s">
        <v>3683</v>
      </c>
      <c r="I156" s="2" t="s">
        <v>17</v>
      </c>
      <c r="J156" s="2" t="s">
        <v>3679</v>
      </c>
      <c r="K156" s="2" t="s">
        <v>49</v>
      </c>
      <c r="L156" s="2"/>
      <c r="M156" s="2"/>
      <c r="N156" s="7" t="s">
        <v>49</v>
      </c>
      <c r="O156" s="6">
        <v>1</v>
      </c>
      <c r="P156" s="2" t="s">
        <v>3680</v>
      </c>
      <c r="Q156" s="2" t="str">
        <f>IF(Tabla1[[#This Row],[evaluacion_]]="","",IF(Tabla1[[#This Row],[evaluacion_]]=1,"Habilitado","No Habilitado"))</f>
        <v>Habilitado</v>
      </c>
      <c r="R156" s="2" t="str">
        <f>IF(Tabla1[[#This Row],[fecha]]="","",TEXT(Tabla1[[#This Row],[fecha]],"DMMAAAA")&amp;TEXT(Tabla1[[#This Row],[hora]],"HHmm"))</f>
        <v>240220261000</v>
      </c>
      <c r="S156" s="19" t="str">
        <f>_xlfn.CONCAT(Tabla1[[#This Row],[codigo_]],Tabla1[[#This Row],[correlativo_]])</f>
        <v>240220261000875</v>
      </c>
      <c r="T156" s="2" t="str">
        <f t="shared" si="4"/>
        <v>6 de julio del 2025</v>
      </c>
      <c r="U156" s="2" t="str">
        <f>_xlfn.XLOOKUP(Tabla1[[#This Row],[instructor_2]],diccionario_!$A$1:$A$11,diccionario_!$D$1:$D$11,,0)</f>
        <v>Marcelo Barrera A.</v>
      </c>
      <c r="V156" s="2" t="str">
        <f t="shared" si="5"/>
        <v>100%</v>
      </c>
      <c r="W156" s="2" t="s">
        <v>3701</v>
      </c>
    </row>
    <row r="157" spans="1:23" ht="16.5" customHeight="1">
      <c r="A157" s="2">
        <v>272</v>
      </c>
      <c r="B157" s="2" t="s">
        <v>14</v>
      </c>
      <c r="C157" s="2" t="s">
        <v>15</v>
      </c>
      <c r="D157" s="2" t="s">
        <v>9</v>
      </c>
      <c r="E157" s="11">
        <v>45844</v>
      </c>
      <c r="F157" s="14">
        <v>0.39583333333333298</v>
      </c>
      <c r="G157" s="2" t="s">
        <v>897</v>
      </c>
      <c r="H157" s="2" t="s">
        <v>898</v>
      </c>
      <c r="I157" s="2" t="s">
        <v>17</v>
      </c>
      <c r="J157" s="2" t="s">
        <v>3679</v>
      </c>
      <c r="K157" s="2" t="s">
        <v>49</v>
      </c>
      <c r="L157" s="2"/>
      <c r="M157" s="2"/>
      <c r="N157" s="7" t="s">
        <v>49</v>
      </c>
      <c r="O157" s="6">
        <v>1</v>
      </c>
      <c r="P157" s="2" t="s">
        <v>3680</v>
      </c>
      <c r="Q157" s="2" t="str">
        <f>IF(Tabla1[[#This Row],[evaluacion_]]="","",IF(Tabla1[[#This Row],[evaluacion_]]=1,"Habilitado","No Habilitado"))</f>
        <v>Habilitado</v>
      </c>
      <c r="R157" s="2" t="str">
        <f>IF(Tabla1[[#This Row],[fecha]]="","",TEXT(Tabla1[[#This Row],[fecha]],"DMMAAAA")&amp;TEXT(Tabla1[[#This Row],[hora]],"HHmm"))</f>
        <v>240220261000</v>
      </c>
      <c r="S157" s="19" t="str">
        <f>_xlfn.CONCAT(Tabla1[[#This Row],[codigo_]],Tabla1[[#This Row],[correlativo_]])</f>
        <v>240220261000876</v>
      </c>
      <c r="T157" s="2" t="str">
        <f t="shared" si="4"/>
        <v>6 de julio del 2025</v>
      </c>
      <c r="U157" s="2" t="str">
        <f>_xlfn.XLOOKUP(Tabla1[[#This Row],[instructor_2]],diccionario_!$A$1:$A$11,diccionario_!$D$1:$D$11,,0)</f>
        <v>Marcelo Barrera A.</v>
      </c>
      <c r="V157" s="2" t="str">
        <f t="shared" si="5"/>
        <v>100%</v>
      </c>
      <c r="W157" s="2" t="s">
        <v>3701</v>
      </c>
    </row>
    <row r="158" spans="1:23" ht="16.5" customHeight="1">
      <c r="A158" s="2">
        <v>273</v>
      </c>
      <c r="B158" s="2" t="s">
        <v>14</v>
      </c>
      <c r="C158" s="2" t="s">
        <v>15</v>
      </c>
      <c r="D158" s="2" t="s">
        <v>9</v>
      </c>
      <c r="E158" s="11">
        <v>45844</v>
      </c>
      <c r="F158" s="14">
        <v>0.39583333333333298</v>
      </c>
      <c r="G158" s="2" t="s">
        <v>3684</v>
      </c>
      <c r="H158" s="2" t="s">
        <v>3685</v>
      </c>
      <c r="I158" s="2" t="s">
        <v>17</v>
      </c>
      <c r="J158" s="2" t="s">
        <v>3679</v>
      </c>
      <c r="K158" s="2" t="s">
        <v>49</v>
      </c>
      <c r="L158" s="2"/>
      <c r="M158" s="2"/>
      <c r="N158" s="7" t="s">
        <v>49</v>
      </c>
      <c r="O158" s="6">
        <v>1</v>
      </c>
      <c r="P158" s="2" t="s">
        <v>3680</v>
      </c>
      <c r="Q158" s="2" t="str">
        <f>IF(Tabla1[[#This Row],[evaluacion_]]="","",IF(Tabla1[[#This Row],[evaluacion_]]=1,"Habilitado","No Habilitado"))</f>
        <v>Habilitado</v>
      </c>
      <c r="R158" s="2" t="str">
        <f>IF(Tabla1[[#This Row],[fecha]]="","",TEXT(Tabla1[[#This Row],[fecha]],"DMMAAAA")&amp;TEXT(Tabla1[[#This Row],[hora]],"HHmm"))</f>
        <v>240220261000</v>
      </c>
      <c r="S158" s="19" t="str">
        <f>_xlfn.CONCAT(Tabla1[[#This Row],[codigo_]],Tabla1[[#This Row],[correlativo_]])</f>
        <v>240220261000877</v>
      </c>
      <c r="T158" s="2" t="str">
        <f t="shared" si="4"/>
        <v>6 de julio del 2025</v>
      </c>
      <c r="U158" s="2" t="str">
        <f>_xlfn.XLOOKUP(Tabla1[[#This Row],[instructor_2]],diccionario_!$A$1:$A$11,diccionario_!$D$1:$D$11,,0)</f>
        <v>Marcelo Barrera A.</v>
      </c>
      <c r="V158" s="2" t="str">
        <f t="shared" si="5"/>
        <v>100%</v>
      </c>
      <c r="W158" s="2" t="s">
        <v>3701</v>
      </c>
    </row>
    <row r="159" spans="1:23" ht="16.5" customHeight="1">
      <c r="A159" s="2">
        <v>274</v>
      </c>
      <c r="B159" s="2" t="s">
        <v>14</v>
      </c>
      <c r="C159" s="2" t="s">
        <v>15</v>
      </c>
      <c r="D159" s="2" t="s">
        <v>9</v>
      </c>
      <c r="E159" s="11">
        <v>45844</v>
      </c>
      <c r="F159" s="14">
        <v>0.39583333333333298</v>
      </c>
      <c r="G159" s="2" t="s">
        <v>2677</v>
      </c>
      <c r="H159" s="2" t="s">
        <v>2678</v>
      </c>
      <c r="I159" s="2" t="s">
        <v>17</v>
      </c>
      <c r="J159" s="2" t="s">
        <v>3679</v>
      </c>
      <c r="K159" s="2" t="s">
        <v>49</v>
      </c>
      <c r="L159" s="2"/>
      <c r="M159" s="2"/>
      <c r="N159" s="7" t="s">
        <v>49</v>
      </c>
      <c r="O159" s="6">
        <v>1</v>
      </c>
      <c r="P159" s="2" t="s">
        <v>3680</v>
      </c>
      <c r="Q159" s="2" t="str">
        <f>IF(Tabla1[[#This Row],[evaluacion_]]="","",IF(Tabla1[[#This Row],[evaluacion_]]=1,"Habilitado","No Habilitado"))</f>
        <v>Habilitado</v>
      </c>
      <c r="R159" s="2" t="str">
        <f>IF(Tabla1[[#This Row],[fecha]]="","",TEXT(Tabla1[[#This Row],[fecha]],"DMMAAAA")&amp;TEXT(Tabla1[[#This Row],[hora]],"HHmm"))</f>
        <v>200220261550</v>
      </c>
      <c r="S159" s="19" t="str">
        <f>_xlfn.CONCAT(Tabla1[[#This Row],[codigo_]],Tabla1[[#This Row],[correlativo_]])</f>
        <v>200220261550878</v>
      </c>
      <c r="T159" s="2" t="str">
        <f t="shared" si="4"/>
        <v>6 de julio del 2025</v>
      </c>
      <c r="U159" s="2" t="str">
        <f>_xlfn.XLOOKUP(Tabla1[[#This Row],[instructor_2]],diccionario_!$A$1:$A$11,diccionario_!$D$1:$D$11,,0)</f>
        <v>Daniel Carvajal B.</v>
      </c>
      <c r="V159" s="2" t="str">
        <f t="shared" si="5"/>
        <v>100%</v>
      </c>
      <c r="W159" s="2" t="s">
        <v>3701</v>
      </c>
    </row>
    <row r="160" spans="1:23" ht="16.5" customHeight="1">
      <c r="A160" s="2">
        <v>275</v>
      </c>
      <c r="B160" s="2" t="s">
        <v>14</v>
      </c>
      <c r="C160" s="2" t="s">
        <v>15</v>
      </c>
      <c r="D160" s="2" t="s">
        <v>9</v>
      </c>
      <c r="E160" s="11">
        <v>45844</v>
      </c>
      <c r="F160" s="14">
        <v>0.39583333333333298</v>
      </c>
      <c r="G160" s="2" t="s">
        <v>1863</v>
      </c>
      <c r="H160" s="2" t="s">
        <v>1864</v>
      </c>
      <c r="I160" s="2" t="s">
        <v>17</v>
      </c>
      <c r="J160" s="2" t="s">
        <v>3679</v>
      </c>
      <c r="K160" s="2" t="s">
        <v>49</v>
      </c>
      <c r="L160" s="2"/>
      <c r="M160" s="2"/>
      <c r="N160" s="7" t="s">
        <v>49</v>
      </c>
      <c r="O160" s="6">
        <v>1</v>
      </c>
      <c r="P160" s="2" t="s">
        <v>3680</v>
      </c>
      <c r="Q160" s="2" t="str">
        <f>IF(Tabla1[[#This Row],[evaluacion_]]="","",IF(Tabla1[[#This Row],[evaluacion_]]=1,"Habilitado","No Habilitado"))</f>
        <v>Habilitado</v>
      </c>
      <c r="R160" s="2" t="str">
        <f>IF(Tabla1[[#This Row],[fecha]]="","",TEXT(Tabla1[[#This Row],[fecha]],"DMMAAAA")&amp;TEXT(Tabla1[[#This Row],[hora]],"HHmm"))</f>
        <v>200220261551</v>
      </c>
      <c r="S160" s="19" t="str">
        <f>_xlfn.CONCAT(Tabla1[[#This Row],[codigo_]],Tabla1[[#This Row],[correlativo_]])</f>
        <v>200220261551879</v>
      </c>
      <c r="T160" s="2" t="str">
        <f t="shared" si="4"/>
        <v>6 de julio del 2025</v>
      </c>
      <c r="U160" s="2" t="str">
        <f>_xlfn.XLOOKUP(Tabla1[[#This Row],[instructor_2]],diccionario_!$A$1:$A$11,diccionario_!$D$1:$D$11,,0)</f>
        <v>Daniel Carvajal B.</v>
      </c>
      <c r="V160" s="2" t="str">
        <f t="shared" si="5"/>
        <v>100%</v>
      </c>
      <c r="W160" s="2" t="s">
        <v>3701</v>
      </c>
    </row>
    <row r="161" spans="1:23" ht="16.5" customHeight="1">
      <c r="A161" s="2">
        <v>276</v>
      </c>
      <c r="B161" s="2" t="s">
        <v>14</v>
      </c>
      <c r="C161" s="2" t="s">
        <v>15</v>
      </c>
      <c r="D161" s="2" t="s">
        <v>9</v>
      </c>
      <c r="E161" s="11">
        <v>45844</v>
      </c>
      <c r="F161" s="14">
        <v>0.39583333333333298</v>
      </c>
      <c r="G161" s="2" t="s">
        <v>2865</v>
      </c>
      <c r="H161" s="2" t="s">
        <v>2866</v>
      </c>
      <c r="I161" s="2" t="s">
        <v>17</v>
      </c>
      <c r="J161" s="2" t="s">
        <v>3679</v>
      </c>
      <c r="K161" s="2" t="s">
        <v>49</v>
      </c>
      <c r="L161" s="2"/>
      <c r="M161" s="2"/>
      <c r="N161" s="7" t="s">
        <v>49</v>
      </c>
      <c r="O161" s="6">
        <v>1</v>
      </c>
      <c r="P161" s="2" t="s">
        <v>3680</v>
      </c>
      <c r="Q161" s="2" t="str">
        <f>IF(Tabla1[[#This Row],[evaluacion_]]="","",IF(Tabla1[[#This Row],[evaluacion_]]=1,"Habilitado","No Habilitado"))</f>
        <v>Habilitado</v>
      </c>
      <c r="R161" s="2" t="str">
        <f>IF(Tabla1[[#This Row],[fecha]]="","",TEXT(Tabla1[[#This Row],[fecha]],"DMMAAAA")&amp;TEXT(Tabla1[[#This Row],[hora]],"HHmm"))</f>
        <v>200220261552</v>
      </c>
      <c r="S161" s="19" t="str">
        <f>_xlfn.CONCAT(Tabla1[[#This Row],[codigo_]],Tabla1[[#This Row],[correlativo_]])</f>
        <v>200220261552880</v>
      </c>
      <c r="T161" s="2" t="str">
        <f t="shared" si="4"/>
        <v>6 de julio del 2025</v>
      </c>
      <c r="U161" s="2" t="str">
        <f>_xlfn.XLOOKUP(Tabla1[[#This Row],[instructor_2]],diccionario_!$A$1:$A$11,diccionario_!$D$1:$D$11,,0)</f>
        <v>Daniel Carvajal B.</v>
      </c>
      <c r="V161" s="2" t="str">
        <f t="shared" si="5"/>
        <v>100%</v>
      </c>
      <c r="W161" s="2" t="s">
        <v>3701</v>
      </c>
    </row>
    <row r="162" spans="1:23" ht="16.5" customHeight="1">
      <c r="A162" s="2">
        <v>277</v>
      </c>
      <c r="B162" s="2" t="s">
        <v>14</v>
      </c>
      <c r="C162" s="2" t="s">
        <v>15</v>
      </c>
      <c r="D162" s="2" t="s">
        <v>9</v>
      </c>
      <c r="E162" s="11">
        <v>45844</v>
      </c>
      <c r="F162" s="14">
        <v>0.39583333333333298</v>
      </c>
      <c r="G162" s="2" t="s">
        <v>505</v>
      </c>
      <c r="H162" s="2" t="s">
        <v>506</v>
      </c>
      <c r="I162" s="2" t="s">
        <v>17</v>
      </c>
      <c r="J162" s="2" t="s">
        <v>3679</v>
      </c>
      <c r="K162" s="2" t="s">
        <v>49</v>
      </c>
      <c r="L162" s="2"/>
      <c r="M162" s="2"/>
      <c r="N162" s="7" t="s">
        <v>49</v>
      </c>
      <c r="O162" s="6">
        <v>1</v>
      </c>
      <c r="P162" s="2" t="s">
        <v>3680</v>
      </c>
      <c r="Q162" s="2" t="str">
        <f>IF(Tabla1[[#This Row],[evaluacion_]]="","",IF(Tabla1[[#This Row],[evaluacion_]]=1,"Habilitado","No Habilitado"))</f>
        <v>Habilitado</v>
      </c>
      <c r="R162" s="2" t="str">
        <f>IF(Tabla1[[#This Row],[fecha]]="","",TEXT(Tabla1[[#This Row],[fecha]],"DMMAAAA")&amp;TEXT(Tabla1[[#This Row],[hora]],"HHmm"))</f>
        <v>270220261613</v>
      </c>
      <c r="S162" s="19" t="str">
        <f>_xlfn.CONCAT(Tabla1[[#This Row],[codigo_]],Tabla1[[#This Row],[correlativo_]])</f>
        <v>270220261613881</v>
      </c>
      <c r="T162" s="2" t="str">
        <f t="shared" si="4"/>
        <v>6 de julio del 2025</v>
      </c>
      <c r="U162" s="2" t="str">
        <f>_xlfn.XLOOKUP(Tabla1[[#This Row],[instructor_2]],diccionario_!$A$1:$A$11,diccionario_!$D$1:$D$11,,0)</f>
        <v>Daniel Carvajal B.</v>
      </c>
      <c r="V162" s="2" t="str">
        <f t="shared" si="5"/>
        <v>100%</v>
      </c>
      <c r="W162" s="2" t="s">
        <v>3701</v>
      </c>
    </row>
    <row r="163" spans="1:23" ht="16.5" customHeight="1">
      <c r="A163" s="2">
        <v>278</v>
      </c>
      <c r="B163" s="2" t="s">
        <v>14</v>
      </c>
      <c r="C163" s="2" t="s">
        <v>15</v>
      </c>
      <c r="D163" s="2" t="s">
        <v>9</v>
      </c>
      <c r="E163" s="11">
        <v>45844</v>
      </c>
      <c r="F163" s="14">
        <v>0.39583333333333298</v>
      </c>
      <c r="G163" s="2" t="s">
        <v>1396</v>
      </c>
      <c r="H163" s="2" t="s">
        <v>1397</v>
      </c>
      <c r="I163" s="2" t="s">
        <v>17</v>
      </c>
      <c r="J163" s="2" t="s">
        <v>3679</v>
      </c>
      <c r="K163" s="2" t="s">
        <v>49</v>
      </c>
      <c r="L163" s="2"/>
      <c r="M163" s="2"/>
      <c r="N163" s="7" t="s">
        <v>49</v>
      </c>
      <c r="O163" s="6">
        <v>1</v>
      </c>
      <c r="P163" s="2" t="s">
        <v>3680</v>
      </c>
      <c r="Q163" s="2" t="str">
        <f>IF(Tabla1[[#This Row],[evaluacion_]]="","",IF(Tabla1[[#This Row],[evaluacion_]]=1,"Habilitado","No Habilitado"))</f>
        <v>Habilitado</v>
      </c>
      <c r="R163" s="2" t="str">
        <f>IF(Tabla1[[#This Row],[fecha]]="","",TEXT(Tabla1[[#This Row],[fecha]],"DMMAAAA")&amp;TEXT(Tabla1[[#This Row],[hora]],"HHmm"))</f>
        <v>270220261615</v>
      </c>
      <c r="S163" s="19" t="str">
        <f>_xlfn.CONCAT(Tabla1[[#This Row],[codigo_]],Tabla1[[#This Row],[correlativo_]])</f>
        <v>270220261615882</v>
      </c>
      <c r="T163" s="2" t="str">
        <f t="shared" si="4"/>
        <v>6 de julio del 2025</v>
      </c>
      <c r="U163" s="2" t="str">
        <f>_xlfn.XLOOKUP(Tabla1[[#This Row],[instructor_2]],diccionario_!$A$1:$A$11,diccionario_!$D$1:$D$11,,0)</f>
        <v>Daniel Carvajal B.</v>
      </c>
      <c r="V163" s="2" t="str">
        <f t="shared" si="5"/>
        <v>100%</v>
      </c>
      <c r="W163" s="2" t="s">
        <v>3701</v>
      </c>
    </row>
    <row r="164" spans="1:23" ht="16.5" customHeight="1">
      <c r="A164" s="2">
        <v>279</v>
      </c>
      <c r="B164" s="2" t="s">
        <v>14</v>
      </c>
      <c r="C164" s="2" t="s">
        <v>15</v>
      </c>
      <c r="D164" s="2" t="s">
        <v>9</v>
      </c>
      <c r="E164" s="11">
        <v>45844</v>
      </c>
      <c r="F164" s="14">
        <v>0.39583333333333298</v>
      </c>
      <c r="G164" s="2" t="s">
        <v>1437</v>
      </c>
      <c r="H164" s="2" t="s">
        <v>1438</v>
      </c>
      <c r="I164" s="2" t="s">
        <v>17</v>
      </c>
      <c r="J164" s="2" t="s">
        <v>3679</v>
      </c>
      <c r="K164" s="2" t="s">
        <v>49</v>
      </c>
      <c r="L164" s="2"/>
      <c r="M164" s="2"/>
      <c r="N164" s="7" t="s">
        <v>49</v>
      </c>
      <c r="O164" s="6">
        <v>1</v>
      </c>
      <c r="P164" s="2" t="s">
        <v>3680</v>
      </c>
      <c r="Q164" s="2" t="str">
        <f>IF(Tabla1[[#This Row],[evaluacion_]]="","",IF(Tabla1[[#This Row],[evaluacion_]]=1,"Habilitado","No Habilitado"))</f>
        <v>Habilitado</v>
      </c>
      <c r="R164" s="2" t="str">
        <f>IF(Tabla1[[#This Row],[fecha]]="","",TEXT(Tabla1[[#This Row],[fecha]],"DMMAAAA")&amp;TEXT(Tabla1[[#This Row],[hora]],"HHmm"))</f>
        <v>270220261617</v>
      </c>
      <c r="S164" s="19" t="str">
        <f>_xlfn.CONCAT(Tabla1[[#This Row],[codigo_]],Tabla1[[#This Row],[correlativo_]])</f>
        <v>270220261617883</v>
      </c>
      <c r="T164" s="2" t="str">
        <f t="shared" si="4"/>
        <v>6 de julio del 2025</v>
      </c>
      <c r="U164" s="2" t="str">
        <f>_xlfn.XLOOKUP(Tabla1[[#This Row],[instructor_2]],diccionario_!$A$1:$A$11,diccionario_!$D$1:$D$11,,0)</f>
        <v>Daniel Carvajal B.</v>
      </c>
      <c r="V164" s="2" t="str">
        <f t="shared" si="5"/>
        <v>100%</v>
      </c>
      <c r="W164" s="2" t="s">
        <v>3702</v>
      </c>
    </row>
    <row r="165" spans="1:23" ht="16.5" customHeight="1">
      <c r="A165" s="2">
        <v>280</v>
      </c>
      <c r="B165" s="2" t="s">
        <v>14</v>
      </c>
      <c r="C165" s="2" t="s">
        <v>15</v>
      </c>
      <c r="D165" s="2" t="s">
        <v>9</v>
      </c>
      <c r="E165" s="11">
        <v>45844</v>
      </c>
      <c r="F165" s="14">
        <v>0.39583333333333298</v>
      </c>
      <c r="G165" s="2" t="s">
        <v>3689</v>
      </c>
      <c r="H165" s="2" t="s">
        <v>3690</v>
      </c>
      <c r="I165" s="2" t="s">
        <v>17</v>
      </c>
      <c r="J165" s="2" t="s">
        <v>3679</v>
      </c>
      <c r="K165" s="2" t="s">
        <v>49</v>
      </c>
      <c r="L165" s="2"/>
      <c r="M165" s="2"/>
      <c r="N165" s="7" t="s">
        <v>49</v>
      </c>
      <c r="O165" s="6">
        <v>1</v>
      </c>
      <c r="P165" s="2" t="s">
        <v>3680</v>
      </c>
      <c r="Q165" s="2" t="str">
        <f>IF(Tabla1[[#This Row],[evaluacion_]]="","",IF(Tabla1[[#This Row],[evaluacion_]]=1,"Habilitado","No Habilitado"))</f>
        <v>Habilitado</v>
      </c>
      <c r="R165" s="2" t="str">
        <f>IF(Tabla1[[#This Row],[fecha]]="","",TEXT(Tabla1[[#This Row],[fecha]],"DMMAAAA")&amp;TEXT(Tabla1[[#This Row],[hora]],"HHmm"))</f>
        <v>50220261701</v>
      </c>
      <c r="S165" s="19" t="str">
        <f>_xlfn.CONCAT(Tabla1[[#This Row],[codigo_]],Tabla1[[#This Row],[correlativo_]])</f>
        <v>50220261701884</v>
      </c>
      <c r="T165" s="2" t="str">
        <f t="shared" si="4"/>
        <v>6 de julio del 2025</v>
      </c>
      <c r="U165" s="2" t="str">
        <f>_xlfn.XLOOKUP(Tabla1[[#This Row],[instructor_2]],diccionario_!$A$1:$A$11,diccionario_!$D$1:$D$11,,0)</f>
        <v>Daniel Carvajal B.</v>
      </c>
      <c r="V165" s="2" t="str">
        <f t="shared" si="5"/>
        <v>100%</v>
      </c>
      <c r="W165" s="2" t="s">
        <v>3702</v>
      </c>
    </row>
    <row r="166" spans="1:23" ht="16.5" customHeight="1">
      <c r="A166" s="2">
        <v>281</v>
      </c>
      <c r="B166" s="2" t="s">
        <v>14</v>
      </c>
      <c r="C166" s="2" t="s">
        <v>15</v>
      </c>
      <c r="D166" s="2" t="s">
        <v>9</v>
      </c>
      <c r="E166" s="11">
        <v>45844</v>
      </c>
      <c r="F166" s="14">
        <v>0.39583333333333298</v>
      </c>
      <c r="G166" s="2" t="s">
        <v>1473</v>
      </c>
      <c r="H166" s="2" t="s">
        <v>1474</v>
      </c>
      <c r="I166" s="2" t="s">
        <v>17</v>
      </c>
      <c r="J166" s="2" t="s">
        <v>3679</v>
      </c>
      <c r="K166" s="2" t="s">
        <v>49</v>
      </c>
      <c r="L166" s="2"/>
      <c r="M166" s="2"/>
      <c r="N166" s="7" t="s">
        <v>49</v>
      </c>
      <c r="O166" s="6">
        <v>1</v>
      </c>
      <c r="P166" s="2" t="s">
        <v>3680</v>
      </c>
      <c r="Q166" s="2" t="str">
        <f>IF(Tabla1[[#This Row],[evaluacion_]]="","",IF(Tabla1[[#This Row],[evaluacion_]]=1,"Habilitado","No Habilitado"))</f>
        <v>Habilitado</v>
      </c>
      <c r="R166" s="2" t="str">
        <f>IF(Tabla1[[#This Row],[fecha]]="","",TEXT(Tabla1[[#This Row],[fecha]],"DMMAAAA")&amp;TEXT(Tabla1[[#This Row],[hora]],"HHmm"))</f>
        <v>50220261702</v>
      </c>
      <c r="S166" s="19" t="str">
        <f>_xlfn.CONCAT(Tabla1[[#This Row],[codigo_]],Tabla1[[#This Row],[correlativo_]])</f>
        <v>50220261702885</v>
      </c>
      <c r="T166" s="2" t="str">
        <f t="shared" si="4"/>
        <v>6 de julio del 2025</v>
      </c>
      <c r="U166" s="2" t="str">
        <f>_xlfn.XLOOKUP(Tabla1[[#This Row],[instructor_2]],diccionario_!$A$1:$A$11,diccionario_!$D$1:$D$11,,0)</f>
        <v>Daniel Carvajal B.</v>
      </c>
      <c r="V166" s="2" t="str">
        <f t="shared" si="5"/>
        <v>100%</v>
      </c>
      <c r="W166" s="2" t="s">
        <v>3702</v>
      </c>
    </row>
    <row r="167" spans="1:23" ht="16.5" customHeight="1">
      <c r="A167" s="2">
        <v>282</v>
      </c>
      <c r="B167" s="2" t="s">
        <v>14</v>
      </c>
      <c r="C167" s="2" t="s">
        <v>15</v>
      </c>
      <c r="D167" s="2" t="s">
        <v>9</v>
      </c>
      <c r="E167" s="11">
        <v>45844</v>
      </c>
      <c r="F167" s="14">
        <v>0.39583333333333298</v>
      </c>
      <c r="G167" s="2" t="s">
        <v>2766</v>
      </c>
      <c r="H167" s="2" t="s">
        <v>2767</v>
      </c>
      <c r="I167" s="2" t="s">
        <v>17</v>
      </c>
      <c r="J167" s="2" t="s">
        <v>3679</v>
      </c>
      <c r="K167" s="2" t="s">
        <v>49</v>
      </c>
      <c r="L167" s="2"/>
      <c r="M167" s="2"/>
      <c r="N167" s="7" t="s">
        <v>49</v>
      </c>
      <c r="O167" s="6">
        <v>1</v>
      </c>
      <c r="P167" s="2" t="s">
        <v>3680</v>
      </c>
      <c r="Q167" s="2" t="str">
        <f>IF(Tabla1[[#This Row],[evaluacion_]]="","",IF(Tabla1[[#This Row],[evaluacion_]]=1,"Habilitado","No Habilitado"))</f>
        <v>Habilitado</v>
      </c>
      <c r="R167" s="2" t="str">
        <f>IF(Tabla1[[#This Row],[fecha]]="","",TEXT(Tabla1[[#This Row],[fecha]],"DMMAAAA")&amp;TEXT(Tabla1[[#This Row],[hora]],"HHmm"))</f>
        <v>50220261703</v>
      </c>
      <c r="S167" s="19" t="str">
        <f>_xlfn.CONCAT(Tabla1[[#This Row],[codigo_]],Tabla1[[#This Row],[correlativo_]])</f>
        <v>50220261703886</v>
      </c>
      <c r="T167" s="2" t="str">
        <f t="shared" si="4"/>
        <v>6 de julio del 2025</v>
      </c>
      <c r="U167" s="2" t="str">
        <f>_xlfn.XLOOKUP(Tabla1[[#This Row],[instructor_2]],diccionario_!$A$1:$A$11,diccionario_!$D$1:$D$11,,0)</f>
        <v>Daniel Carvajal B.</v>
      </c>
      <c r="V167" s="2" t="str">
        <f t="shared" si="5"/>
        <v>100%</v>
      </c>
      <c r="W167" s="2" t="s">
        <v>3702</v>
      </c>
    </row>
    <row r="168" spans="1:23" ht="16.5" customHeight="1">
      <c r="A168" s="2">
        <v>283</v>
      </c>
      <c r="B168" s="2" t="s">
        <v>14</v>
      </c>
      <c r="C168" s="2" t="s">
        <v>15</v>
      </c>
      <c r="D168" s="2" t="s">
        <v>9</v>
      </c>
      <c r="E168" s="11">
        <v>45844</v>
      </c>
      <c r="F168" s="14">
        <v>0.39583333333333298</v>
      </c>
      <c r="G168" s="2" t="s">
        <v>3073</v>
      </c>
      <c r="H168" s="2" t="s">
        <v>3074</v>
      </c>
      <c r="I168" s="2" t="s">
        <v>17</v>
      </c>
      <c r="J168" s="2" t="s">
        <v>3679</v>
      </c>
      <c r="K168" s="2" t="s">
        <v>49</v>
      </c>
      <c r="L168" s="2"/>
      <c r="M168" s="2"/>
      <c r="N168" s="7" t="s">
        <v>49</v>
      </c>
      <c r="O168" s="6">
        <v>1</v>
      </c>
      <c r="P168" s="2" t="s">
        <v>3680</v>
      </c>
      <c r="Q168" s="2" t="str">
        <f>IF(Tabla1[[#This Row],[evaluacion_]]="","",IF(Tabla1[[#This Row],[evaluacion_]]=1,"Habilitado","No Habilitado"))</f>
        <v>Habilitado</v>
      </c>
      <c r="R168" s="2" t="str">
        <f>IF(Tabla1[[#This Row],[fecha]]="","",TEXT(Tabla1[[#This Row],[fecha]],"DMMAAAA")&amp;TEXT(Tabla1[[#This Row],[hora]],"HHmm"))</f>
        <v>50220261650</v>
      </c>
      <c r="S168" s="19" t="str">
        <f>_xlfn.CONCAT(Tabla1[[#This Row],[codigo_]],Tabla1[[#This Row],[correlativo_]])</f>
        <v>50220261650887</v>
      </c>
      <c r="T168" s="2" t="str">
        <f t="shared" si="4"/>
        <v>6 de julio del 2025</v>
      </c>
      <c r="U168" s="2" t="str">
        <f>_xlfn.XLOOKUP(Tabla1[[#This Row],[instructor_2]],diccionario_!$A$1:$A$11,diccionario_!$D$1:$D$11,,0)</f>
        <v>Daniel Carvajal B.</v>
      </c>
      <c r="V168" s="2" t="str">
        <f t="shared" si="5"/>
        <v>100%</v>
      </c>
      <c r="W168" s="2" t="s">
        <v>3702</v>
      </c>
    </row>
    <row r="169" spans="1:23" ht="16.5" customHeight="1">
      <c r="A169" s="2">
        <v>284</v>
      </c>
      <c r="B169" s="2" t="s">
        <v>14</v>
      </c>
      <c r="C169" s="2" t="s">
        <v>15</v>
      </c>
      <c r="D169" s="2" t="s">
        <v>9</v>
      </c>
      <c r="E169" s="11">
        <v>45844</v>
      </c>
      <c r="F169" s="14">
        <v>0.39583333333333298</v>
      </c>
      <c r="G169" s="2" t="s">
        <v>2046</v>
      </c>
      <c r="H169" s="2" t="s">
        <v>2047</v>
      </c>
      <c r="I169" s="2" t="s">
        <v>17</v>
      </c>
      <c r="J169" s="2" t="s">
        <v>3679</v>
      </c>
      <c r="K169" s="2" t="s">
        <v>49</v>
      </c>
      <c r="L169" s="2"/>
      <c r="M169" s="2"/>
      <c r="N169" s="7" t="s">
        <v>49</v>
      </c>
      <c r="O169" s="6">
        <v>1</v>
      </c>
      <c r="P169" s="2" t="s">
        <v>3680</v>
      </c>
      <c r="Q169" s="2" t="str">
        <f>IF(Tabla1[[#This Row],[evaluacion_]]="","",IF(Tabla1[[#This Row],[evaluacion_]]=1,"Habilitado","No Habilitado"))</f>
        <v>Habilitado</v>
      </c>
      <c r="R169" s="2" t="str">
        <f>IF(Tabla1[[#This Row],[fecha]]="","",TEXT(Tabla1[[#This Row],[fecha]],"DMMAAAA")&amp;TEXT(Tabla1[[#This Row],[hora]],"HHmm"))</f>
        <v>50220261651</v>
      </c>
      <c r="S169" s="19" t="str">
        <f>_xlfn.CONCAT(Tabla1[[#This Row],[codigo_]],Tabla1[[#This Row],[correlativo_]])</f>
        <v>50220261651888</v>
      </c>
      <c r="T169" s="2" t="str">
        <f t="shared" si="4"/>
        <v>6 de julio del 2025</v>
      </c>
      <c r="U169" s="2" t="str">
        <f>_xlfn.XLOOKUP(Tabla1[[#This Row],[instructor_2]],diccionario_!$A$1:$A$11,diccionario_!$D$1:$D$11,,0)</f>
        <v>Daniel Carvajal B.</v>
      </c>
      <c r="V169" s="2" t="str">
        <f t="shared" si="5"/>
        <v>100%</v>
      </c>
      <c r="W169" s="2" t="s">
        <v>3702</v>
      </c>
    </row>
    <row r="170" spans="1:23" ht="16.5" customHeight="1">
      <c r="A170" s="2">
        <v>285</v>
      </c>
      <c r="B170" s="2" t="s">
        <v>14</v>
      </c>
      <c r="C170" s="2" t="s">
        <v>15</v>
      </c>
      <c r="D170" s="2" t="s">
        <v>9</v>
      </c>
      <c r="E170" s="11">
        <v>45844</v>
      </c>
      <c r="F170" s="14">
        <v>0.39583333333333298</v>
      </c>
      <c r="G170" s="2" t="s">
        <v>1400</v>
      </c>
      <c r="H170" s="2" t="s">
        <v>1401</v>
      </c>
      <c r="I170" s="2" t="s">
        <v>17</v>
      </c>
      <c r="J170" s="2" t="s">
        <v>3679</v>
      </c>
      <c r="K170" s="2" t="s">
        <v>49</v>
      </c>
      <c r="L170" s="2"/>
      <c r="M170" s="2"/>
      <c r="N170" s="7" t="s">
        <v>49</v>
      </c>
      <c r="O170" s="6">
        <v>1</v>
      </c>
      <c r="P170" s="2" t="s">
        <v>3680</v>
      </c>
      <c r="Q170" s="2" t="str">
        <f>IF(Tabla1[[#This Row],[evaluacion_]]="","",IF(Tabla1[[#This Row],[evaluacion_]]=1,"Habilitado","No Habilitado"))</f>
        <v>Habilitado</v>
      </c>
      <c r="R170" s="2" t="str">
        <f>IF(Tabla1[[#This Row],[fecha]]="","",TEXT(Tabla1[[#This Row],[fecha]],"DMMAAAA")&amp;TEXT(Tabla1[[#This Row],[hora]],"HHmm"))</f>
        <v>50220261652</v>
      </c>
      <c r="S170" s="19" t="str">
        <f>_xlfn.CONCAT(Tabla1[[#This Row],[codigo_]],Tabla1[[#This Row],[correlativo_]])</f>
        <v>50220261652889</v>
      </c>
      <c r="T170" s="2" t="str">
        <f t="shared" si="4"/>
        <v>6 de julio del 2025</v>
      </c>
      <c r="U170" s="2" t="str">
        <f>_xlfn.XLOOKUP(Tabla1[[#This Row],[instructor_2]],diccionario_!$A$1:$A$11,diccionario_!$D$1:$D$11,,0)</f>
        <v>Daniel Carvajal B.</v>
      </c>
      <c r="V170" s="2" t="str">
        <f t="shared" si="5"/>
        <v>100%</v>
      </c>
      <c r="W170" s="2" t="s">
        <v>3702</v>
      </c>
    </row>
    <row r="171" spans="1:23" ht="16.5" customHeight="1">
      <c r="A171" s="2">
        <v>286</v>
      </c>
      <c r="B171" s="2" t="s">
        <v>14</v>
      </c>
      <c r="C171" s="2" t="s">
        <v>15</v>
      </c>
      <c r="D171" s="2" t="s">
        <v>9</v>
      </c>
      <c r="E171" s="11">
        <v>45844</v>
      </c>
      <c r="F171" s="14">
        <v>0.39583333333333298</v>
      </c>
      <c r="G171" s="2" t="s">
        <v>2033</v>
      </c>
      <c r="H171" s="2" t="s">
        <v>2034</v>
      </c>
      <c r="I171" s="2" t="s">
        <v>17</v>
      </c>
      <c r="J171" s="2" t="s">
        <v>3679</v>
      </c>
      <c r="K171" s="2" t="s">
        <v>49</v>
      </c>
      <c r="L171" s="2"/>
      <c r="M171" s="2"/>
      <c r="N171" s="7" t="s">
        <v>49</v>
      </c>
      <c r="O171" s="6">
        <v>1</v>
      </c>
      <c r="P171" s="2" t="s">
        <v>3680</v>
      </c>
      <c r="Q171" s="2" t="str">
        <f>IF(Tabla1[[#This Row],[evaluacion_]]="","",IF(Tabla1[[#This Row],[evaluacion_]]=1,"Habilitado","No Habilitado"))</f>
        <v>No Habilitado</v>
      </c>
      <c r="R171" s="2" t="str">
        <f>IF(Tabla1[[#This Row],[fecha]]="","",TEXT(Tabla1[[#This Row],[fecha]],"DMMAAAA")&amp;TEXT(Tabla1[[#This Row],[hora]],"HHmm"))</f>
        <v>250320260000</v>
      </c>
      <c r="S171" s="19" t="str">
        <f>_xlfn.CONCAT(Tabla1[[#This Row],[codigo_]],Tabla1[[#This Row],[correlativo_]])</f>
        <v>250320260000890</v>
      </c>
      <c r="T171" s="2" t="str">
        <f t="shared" si="4"/>
        <v>6 de julio del 2025</v>
      </c>
      <c r="U171" s="2">
        <f>_xlfn.XLOOKUP(Tabla1[[#This Row],[instructor_2]],diccionario_!$A$1:$A$11,diccionario_!$D$1:$D$11,,0)</f>
        <v>0</v>
      </c>
      <c r="V171" s="2" t="str">
        <f t="shared" si="5"/>
        <v>100%</v>
      </c>
      <c r="W171" s="2" t="s">
        <v>3702</v>
      </c>
    </row>
    <row r="172" spans="1:23" ht="16.5" customHeight="1">
      <c r="A172" s="2">
        <v>287</v>
      </c>
      <c r="B172" s="2" t="s">
        <v>14</v>
      </c>
      <c r="C172" s="2" t="s">
        <v>15</v>
      </c>
      <c r="D172" s="2" t="s">
        <v>9</v>
      </c>
      <c r="E172" s="11">
        <v>45844</v>
      </c>
      <c r="F172" s="14">
        <v>0.39583333333333298</v>
      </c>
      <c r="G172" s="2" t="s">
        <v>753</v>
      </c>
      <c r="H172" s="2" t="s">
        <v>754</v>
      </c>
      <c r="I172" s="2" t="s">
        <v>17</v>
      </c>
      <c r="J172" s="2" t="s">
        <v>3679</v>
      </c>
      <c r="K172" s="2" t="s">
        <v>49</v>
      </c>
      <c r="L172" s="2"/>
      <c r="M172" s="2"/>
      <c r="N172" s="7" t="s">
        <v>49</v>
      </c>
      <c r="O172" s="6">
        <v>1</v>
      </c>
      <c r="P172" s="2" t="s">
        <v>3680</v>
      </c>
      <c r="Q172" s="2" t="str">
        <f>IF(Tabla1[[#This Row],[evaluacion_]]="","",IF(Tabla1[[#This Row],[evaluacion_]]=1,"Habilitado","No Habilitado"))</f>
        <v>Habilitado</v>
      </c>
      <c r="R172" s="2" t="str">
        <f>IF(Tabla1[[#This Row],[fecha]]="","",TEXT(Tabla1[[#This Row],[fecha]],"DMMAAAA")&amp;TEXT(Tabla1[[#This Row],[hora]],"HHmm"))</f>
        <v>250320261000</v>
      </c>
      <c r="S172" s="19" t="str">
        <f>_xlfn.CONCAT(Tabla1[[#This Row],[codigo_]],Tabla1[[#This Row],[correlativo_]])</f>
        <v>250320261000891</v>
      </c>
      <c r="T172" s="2" t="str">
        <f t="shared" si="4"/>
        <v>6 de julio del 2025</v>
      </c>
      <c r="U172" s="2" t="str">
        <f>_xlfn.XLOOKUP(Tabla1[[#This Row],[instructor_2]],diccionario_!$A$1:$A$11,diccionario_!$D$1:$D$11,,0)</f>
        <v>Guillermo Milla M.</v>
      </c>
      <c r="V172" s="2" t="str">
        <f t="shared" si="5"/>
        <v>100%</v>
      </c>
      <c r="W172" s="2" t="s">
        <v>3702</v>
      </c>
    </row>
    <row r="173" spans="1:23" ht="16.5" customHeight="1">
      <c r="A173" s="2">
        <v>288</v>
      </c>
      <c r="B173" s="2" t="s">
        <v>14</v>
      </c>
      <c r="C173" s="2" t="s">
        <v>15</v>
      </c>
      <c r="D173" s="2" t="s">
        <v>9</v>
      </c>
      <c r="E173" s="11">
        <v>45844</v>
      </c>
      <c r="F173" s="14">
        <v>0.39583333333333298</v>
      </c>
      <c r="G173" s="2" t="s">
        <v>1134</v>
      </c>
      <c r="H173" s="2" t="s">
        <v>1135</v>
      </c>
      <c r="I173" s="2" t="s">
        <v>17</v>
      </c>
      <c r="J173" s="2" t="s">
        <v>3679</v>
      </c>
      <c r="K173" s="2" t="s">
        <v>49</v>
      </c>
      <c r="L173" s="2"/>
      <c r="M173" s="2"/>
      <c r="N173" s="7" t="s">
        <v>49</v>
      </c>
      <c r="O173" s="6">
        <v>1</v>
      </c>
      <c r="P173" s="2" t="s">
        <v>3680</v>
      </c>
      <c r="Q173" s="2" t="str">
        <f>IF(Tabla1[[#This Row],[evaluacion_]]="","",IF(Tabla1[[#This Row],[evaluacion_]]=1,"Habilitado","No Habilitado"))</f>
        <v>Habilitado</v>
      </c>
      <c r="R173" s="2" t="str">
        <f>IF(Tabla1[[#This Row],[fecha]]="","",TEXT(Tabla1[[#This Row],[fecha]],"DMMAAAA")&amp;TEXT(Tabla1[[#This Row],[hora]],"HHmm"))</f>
        <v>100320261000</v>
      </c>
      <c r="S173" s="19" t="str">
        <f>_xlfn.CONCAT(Tabla1[[#This Row],[codigo_]],Tabla1[[#This Row],[correlativo_]])</f>
        <v>100320261000892</v>
      </c>
      <c r="T173" s="2" t="str">
        <f t="shared" si="4"/>
        <v>6 de julio del 2025</v>
      </c>
      <c r="U173" s="2" t="str">
        <f>_xlfn.XLOOKUP(Tabla1[[#This Row],[instructor_2]],diccionario_!$A$1:$A$11,diccionario_!$D$1:$D$11,,0)</f>
        <v>Guillermo Milla M.</v>
      </c>
      <c r="V173" s="2" t="str">
        <f t="shared" si="5"/>
        <v>100%</v>
      </c>
      <c r="W173" s="2" t="s">
        <v>3702</v>
      </c>
    </row>
    <row r="174" spans="1:23" ht="16.5" customHeight="1">
      <c r="A174" s="2">
        <v>289</v>
      </c>
      <c r="B174" s="2" t="s">
        <v>14</v>
      </c>
      <c r="C174" s="2" t="s">
        <v>15</v>
      </c>
      <c r="D174" s="2" t="s">
        <v>9</v>
      </c>
      <c r="E174" s="11">
        <v>45844</v>
      </c>
      <c r="F174" s="14">
        <v>0.39583333333333298</v>
      </c>
      <c r="G174" s="2" t="s">
        <v>3699</v>
      </c>
      <c r="H174" s="2" t="s">
        <v>3700</v>
      </c>
      <c r="I174" s="2" t="s">
        <v>17</v>
      </c>
      <c r="J174" s="2" t="s">
        <v>3679</v>
      </c>
      <c r="K174" s="2" t="s">
        <v>49</v>
      </c>
      <c r="L174" s="2"/>
      <c r="M174" s="2"/>
      <c r="N174" s="7" t="s">
        <v>49</v>
      </c>
      <c r="O174" s="6">
        <v>1</v>
      </c>
      <c r="P174" s="2" t="s">
        <v>3680</v>
      </c>
      <c r="Q174" s="2" t="str">
        <f>IF(Tabla1[[#This Row],[evaluacion_]]="","",IF(Tabla1[[#This Row],[evaluacion_]]=1,"Habilitado","No Habilitado"))</f>
        <v>Habilitado</v>
      </c>
      <c r="R174" s="2" t="str">
        <f>IF(Tabla1[[#This Row],[fecha]]="","",TEXT(Tabla1[[#This Row],[fecha]],"DMMAAAA")&amp;TEXT(Tabla1[[#This Row],[hora]],"HHmm"))</f>
        <v>120320261800</v>
      </c>
      <c r="S174" s="19" t="str">
        <f>_xlfn.CONCAT(Tabla1[[#This Row],[codigo_]],Tabla1[[#This Row],[correlativo_]])</f>
        <v>120320261800893</v>
      </c>
      <c r="T174" s="2" t="str">
        <f t="shared" si="4"/>
        <v>6 de julio del 2025</v>
      </c>
      <c r="U174" s="2" t="str">
        <f>_xlfn.XLOOKUP(Tabla1[[#This Row],[instructor_2]],diccionario_!$A$1:$A$11,diccionario_!$D$1:$D$11,,0)</f>
        <v>Marcelo Barrera A.</v>
      </c>
      <c r="V174" s="2" t="str">
        <f t="shared" si="5"/>
        <v>100%</v>
      </c>
      <c r="W174" s="2" t="s">
        <v>3702</v>
      </c>
    </row>
    <row r="175" spans="1:23" ht="16.5" customHeight="1">
      <c r="A175" s="2">
        <v>290</v>
      </c>
      <c r="B175" s="2" t="s">
        <v>14</v>
      </c>
      <c r="C175" s="2" t="s">
        <v>15</v>
      </c>
      <c r="D175" s="2" t="s">
        <v>9</v>
      </c>
      <c r="E175" s="11">
        <v>45844</v>
      </c>
      <c r="F175" s="14">
        <v>0.39583333333333298</v>
      </c>
      <c r="G175" s="2" t="s">
        <v>3393</v>
      </c>
      <c r="H175" s="2" t="s">
        <v>3394</v>
      </c>
      <c r="I175" s="2" t="s">
        <v>17</v>
      </c>
      <c r="J175" s="2" t="s">
        <v>3679</v>
      </c>
      <c r="K175" s="2" t="s">
        <v>49</v>
      </c>
      <c r="L175" s="2"/>
      <c r="M175" s="2"/>
      <c r="N175" s="7" t="s">
        <v>49</v>
      </c>
      <c r="O175" s="6">
        <v>1</v>
      </c>
      <c r="P175" s="2" t="s">
        <v>3680</v>
      </c>
      <c r="Q175" s="2" t="str">
        <f>IF(Tabla1[[#This Row],[evaluacion_]]="","",IF(Tabla1[[#This Row],[evaluacion_]]=1,"Habilitado","No Habilitado"))</f>
        <v>Habilitado</v>
      </c>
      <c r="R175" s="2" t="str">
        <f>IF(Tabla1[[#This Row],[fecha]]="","",TEXT(Tabla1[[#This Row],[fecha]],"DMMAAAA")&amp;TEXT(Tabla1[[#This Row],[hora]],"HHmm"))</f>
        <v>120320261800</v>
      </c>
      <c r="S175" s="19" t="str">
        <f>_xlfn.CONCAT(Tabla1[[#This Row],[codigo_]],Tabla1[[#This Row],[correlativo_]])</f>
        <v>120320261800894</v>
      </c>
      <c r="T175" s="2" t="str">
        <f t="shared" si="4"/>
        <v>6 de julio del 2025</v>
      </c>
      <c r="U175" s="2" t="str">
        <f>_xlfn.XLOOKUP(Tabla1[[#This Row],[instructor_2]],diccionario_!$A$1:$A$11,diccionario_!$D$1:$D$11,,0)</f>
        <v>Marcelo Barrera A.</v>
      </c>
      <c r="V175" s="2" t="str">
        <f t="shared" si="5"/>
        <v>100%</v>
      </c>
      <c r="W175" s="2" t="s">
        <v>3702</v>
      </c>
    </row>
    <row r="176" spans="1:23" ht="16.5" customHeight="1">
      <c r="A176" s="2">
        <v>291</v>
      </c>
      <c r="B176" s="2" t="s">
        <v>14</v>
      </c>
      <c r="C176" s="2" t="s">
        <v>15</v>
      </c>
      <c r="D176" s="2" t="s">
        <v>9</v>
      </c>
      <c r="E176" s="11">
        <v>45844</v>
      </c>
      <c r="F176" s="14">
        <v>0.39583333333333298</v>
      </c>
      <c r="G176" s="2" t="s">
        <v>3457</v>
      </c>
      <c r="H176" s="2" t="s">
        <v>3458</v>
      </c>
      <c r="I176" s="2" t="s">
        <v>17</v>
      </c>
      <c r="J176" s="2" t="s">
        <v>3679</v>
      </c>
      <c r="K176" s="2" t="s">
        <v>49</v>
      </c>
      <c r="L176" s="2"/>
      <c r="M176" s="2"/>
      <c r="N176" s="7" t="s">
        <v>49</v>
      </c>
      <c r="O176" s="6">
        <v>1</v>
      </c>
      <c r="P176" s="2" t="s">
        <v>3680</v>
      </c>
      <c r="Q176" s="2" t="str">
        <f>IF(Tabla1[[#This Row],[evaluacion_]]="","",IF(Tabla1[[#This Row],[evaluacion_]]=1,"Habilitado","No Habilitado"))</f>
        <v>Habilitado</v>
      </c>
      <c r="R176" s="2" t="str">
        <f>IF(Tabla1[[#This Row],[fecha]]="","",TEXT(Tabla1[[#This Row],[fecha]],"DMMAAAA")&amp;TEXT(Tabla1[[#This Row],[hora]],"HHmm"))</f>
        <v>260320261502</v>
      </c>
      <c r="S176" s="19" t="str">
        <f>_xlfn.CONCAT(Tabla1[[#This Row],[codigo_]],Tabla1[[#This Row],[correlativo_]])</f>
        <v>260320261502895</v>
      </c>
      <c r="T176" s="2" t="str">
        <f t="shared" si="4"/>
        <v>6 de julio del 2025</v>
      </c>
      <c r="U176" s="2" t="str">
        <f>_xlfn.XLOOKUP(Tabla1[[#This Row],[instructor_2]],diccionario_!$A$1:$A$11,diccionario_!$D$1:$D$11,,0)</f>
        <v>Daniel Carvajal B.</v>
      </c>
      <c r="V176" s="2" t="str">
        <f t="shared" si="5"/>
        <v>100%</v>
      </c>
      <c r="W176" s="2" t="s">
        <v>3702</v>
      </c>
    </row>
    <row r="177" spans="1:23" ht="16.5" customHeight="1">
      <c r="A177" s="2">
        <v>292</v>
      </c>
      <c r="B177" s="2" t="s">
        <v>14</v>
      </c>
      <c r="C177" s="2" t="s">
        <v>15</v>
      </c>
      <c r="D177" s="2" t="s">
        <v>9</v>
      </c>
      <c r="E177" s="11">
        <v>45844</v>
      </c>
      <c r="F177" s="14">
        <v>0.39583333333333298</v>
      </c>
      <c r="G177" s="2" t="s">
        <v>1811</v>
      </c>
      <c r="H177" s="2" t="s">
        <v>1812</v>
      </c>
      <c r="I177" s="2" t="s">
        <v>17</v>
      </c>
      <c r="J177" s="2" t="s">
        <v>3679</v>
      </c>
      <c r="K177" s="2" t="s">
        <v>49</v>
      </c>
      <c r="L177" s="2"/>
      <c r="M177" s="2"/>
      <c r="N177" s="7" t="s">
        <v>49</v>
      </c>
      <c r="O177" s="6">
        <v>1</v>
      </c>
      <c r="P177" s="2" t="s">
        <v>3680</v>
      </c>
      <c r="Q177" s="2" t="str">
        <f>IF(Tabla1[[#This Row],[evaluacion_]]="","",IF(Tabla1[[#This Row],[evaluacion_]]=1,"Habilitado","No Habilitado"))</f>
        <v>Habilitado</v>
      </c>
      <c r="R177" s="2" t="str">
        <f>IF(Tabla1[[#This Row],[fecha]]="","",TEXT(Tabla1[[#This Row],[fecha]],"DMMAAAA")&amp;TEXT(Tabla1[[#This Row],[hora]],"HHmm"))</f>
        <v>260320261503</v>
      </c>
      <c r="S177" s="19" t="str">
        <f>_xlfn.CONCAT(Tabla1[[#This Row],[codigo_]],Tabla1[[#This Row],[correlativo_]])</f>
        <v>260320261503896</v>
      </c>
      <c r="T177" s="2" t="str">
        <f t="shared" si="4"/>
        <v>6 de julio del 2025</v>
      </c>
      <c r="U177" s="2" t="str">
        <f>_xlfn.XLOOKUP(Tabla1[[#This Row],[instructor_2]],diccionario_!$A$1:$A$11,diccionario_!$D$1:$D$11,,0)</f>
        <v>Daniel Carvajal B.</v>
      </c>
      <c r="V177" s="2" t="str">
        <f t="shared" si="5"/>
        <v>100%</v>
      </c>
      <c r="W177" s="2" t="s">
        <v>3702</v>
      </c>
    </row>
    <row r="178" spans="1:23" ht="16.5" customHeight="1">
      <c r="A178" s="2">
        <v>293</v>
      </c>
      <c r="B178" s="2" t="s">
        <v>14</v>
      </c>
      <c r="C178" s="2" t="s">
        <v>15</v>
      </c>
      <c r="D178" s="2" t="s">
        <v>9</v>
      </c>
      <c r="E178" s="11">
        <v>45844</v>
      </c>
      <c r="F178" s="14">
        <v>0.39583333333333298</v>
      </c>
      <c r="G178" s="2" t="s">
        <v>805</v>
      </c>
      <c r="H178" s="2" t="s">
        <v>806</v>
      </c>
      <c r="I178" s="2" t="s">
        <v>17</v>
      </c>
      <c r="J178" s="2" t="s">
        <v>3679</v>
      </c>
      <c r="K178" s="2" t="s">
        <v>49</v>
      </c>
      <c r="L178" s="2"/>
      <c r="M178" s="2"/>
      <c r="N178" s="7" t="s">
        <v>49</v>
      </c>
      <c r="O178" s="6">
        <v>1</v>
      </c>
      <c r="P178" s="2" t="s">
        <v>3680</v>
      </c>
      <c r="Q178" s="2" t="str">
        <f>IF(Tabla1[[#This Row],[evaluacion_]]="","",IF(Tabla1[[#This Row],[evaluacion_]]=1,"Habilitado","No Habilitado"))</f>
        <v>Habilitado</v>
      </c>
      <c r="R178" s="2" t="str">
        <f>IF(Tabla1[[#This Row],[fecha]]="","",TEXT(Tabla1[[#This Row],[fecha]],"DMMAAAA")&amp;TEXT(Tabla1[[#This Row],[hora]],"HHmm"))</f>
        <v>260320261506</v>
      </c>
      <c r="S178" s="19" t="str">
        <f>_xlfn.CONCAT(Tabla1[[#This Row],[codigo_]],Tabla1[[#This Row],[correlativo_]])</f>
        <v>260320261506897</v>
      </c>
      <c r="T178" s="2" t="str">
        <f t="shared" si="4"/>
        <v>6 de julio del 2025</v>
      </c>
      <c r="U178" s="2" t="str">
        <f>_xlfn.XLOOKUP(Tabla1[[#This Row],[instructor_2]],diccionario_!$A$1:$A$11,diccionario_!$D$1:$D$11,,0)</f>
        <v>Daniel Carvajal B.</v>
      </c>
      <c r="V178" s="2" t="str">
        <f t="shared" si="5"/>
        <v>100%</v>
      </c>
      <c r="W178" s="2" t="s">
        <v>3702</v>
      </c>
    </row>
    <row r="179" spans="1:23" ht="16.5" customHeight="1">
      <c r="A179" s="2">
        <v>294</v>
      </c>
      <c r="B179" s="2" t="s">
        <v>14</v>
      </c>
      <c r="C179" s="2" t="s">
        <v>15</v>
      </c>
      <c r="D179" s="2" t="s">
        <v>9</v>
      </c>
      <c r="E179" s="11">
        <v>45844</v>
      </c>
      <c r="F179" s="14">
        <v>0.39583333333333298</v>
      </c>
      <c r="G179" s="2" t="s">
        <v>3682</v>
      </c>
      <c r="H179" s="2" t="s">
        <v>3683</v>
      </c>
      <c r="I179" s="2" t="s">
        <v>17</v>
      </c>
      <c r="J179" s="2" t="s">
        <v>3679</v>
      </c>
      <c r="K179" s="2" t="s">
        <v>49</v>
      </c>
      <c r="L179" s="2"/>
      <c r="M179" s="2"/>
      <c r="N179" s="7" t="s">
        <v>49</v>
      </c>
      <c r="O179" s="6">
        <v>1</v>
      </c>
      <c r="P179" s="2" t="s">
        <v>3680</v>
      </c>
      <c r="Q179" s="2" t="str">
        <f>IF(Tabla1[[#This Row],[evaluacion_]]="","",IF(Tabla1[[#This Row],[evaluacion_]]=1,"Habilitado","No Habilitado"))</f>
        <v>Habilitado</v>
      </c>
      <c r="R179" s="2" t="str">
        <f>IF(Tabla1[[#This Row],[fecha]]="","",TEXT(Tabla1[[#This Row],[fecha]],"DMMAAAA")&amp;TEXT(Tabla1[[#This Row],[hora]],"HHmm"))</f>
        <v>260320261612</v>
      </c>
      <c r="S179" s="19" t="str">
        <f>_xlfn.CONCAT(Tabla1[[#This Row],[codigo_]],Tabla1[[#This Row],[correlativo_]])</f>
        <v>260320261612898</v>
      </c>
      <c r="T179" s="2" t="str">
        <f t="shared" si="4"/>
        <v>6 de julio del 2025</v>
      </c>
      <c r="U179" s="2" t="str">
        <f>_xlfn.XLOOKUP(Tabla1[[#This Row],[instructor_2]],diccionario_!$A$1:$A$11,diccionario_!$D$1:$D$11,,0)</f>
        <v>Daniel Carvajal B.</v>
      </c>
      <c r="V179" s="2" t="str">
        <f t="shared" si="5"/>
        <v>100%</v>
      </c>
      <c r="W179" s="2" t="s">
        <v>3702</v>
      </c>
    </row>
    <row r="180" spans="1:23" ht="16.5" customHeight="1">
      <c r="A180" s="2">
        <v>295</v>
      </c>
      <c r="B180" s="2" t="s">
        <v>14</v>
      </c>
      <c r="C180" s="2" t="s">
        <v>15</v>
      </c>
      <c r="D180" s="2" t="s">
        <v>9</v>
      </c>
      <c r="E180" s="11">
        <v>45844</v>
      </c>
      <c r="F180" s="14">
        <v>0.39583333333333298</v>
      </c>
      <c r="G180" s="2" t="s">
        <v>897</v>
      </c>
      <c r="H180" s="2" t="s">
        <v>898</v>
      </c>
      <c r="I180" s="2" t="s">
        <v>17</v>
      </c>
      <c r="J180" s="2" t="s">
        <v>3679</v>
      </c>
      <c r="K180" s="2" t="s">
        <v>49</v>
      </c>
      <c r="L180" s="2"/>
      <c r="M180" s="2"/>
      <c r="N180" s="7" t="s">
        <v>49</v>
      </c>
      <c r="O180" s="6">
        <v>1</v>
      </c>
      <c r="P180" s="2" t="s">
        <v>3680</v>
      </c>
      <c r="Q180" s="2" t="str">
        <f>IF(Tabla1[[#This Row],[evaluacion_]]="","",IF(Tabla1[[#This Row],[evaluacion_]]=1,"Habilitado","No Habilitado"))</f>
        <v>Habilitado</v>
      </c>
      <c r="R180" s="2" t="str">
        <f>IF(Tabla1[[#This Row],[fecha]]="","",TEXT(Tabla1[[#This Row],[fecha]],"DMMAAAA")&amp;TEXT(Tabla1[[#This Row],[hora]],"HHmm"))</f>
        <v>260320261614</v>
      </c>
      <c r="S180" s="19" t="str">
        <f>_xlfn.CONCAT(Tabla1[[#This Row],[codigo_]],Tabla1[[#This Row],[correlativo_]])</f>
        <v>260320261614899</v>
      </c>
      <c r="T180" s="2" t="str">
        <f t="shared" si="4"/>
        <v>6 de julio del 2025</v>
      </c>
      <c r="U180" s="2" t="str">
        <f>_xlfn.XLOOKUP(Tabla1[[#This Row],[instructor_2]],diccionario_!$A$1:$A$11,diccionario_!$D$1:$D$11,,0)</f>
        <v>Daniel Carvajal B.</v>
      </c>
      <c r="V180" s="2" t="str">
        <f t="shared" si="5"/>
        <v>100%</v>
      </c>
      <c r="W180" s="2" t="s">
        <v>3702</v>
      </c>
    </row>
    <row r="181" spans="1:23" ht="16.5" customHeight="1">
      <c r="A181" s="2">
        <v>296</v>
      </c>
      <c r="B181" s="2" t="s">
        <v>14</v>
      </c>
      <c r="C181" s="2" t="s">
        <v>15</v>
      </c>
      <c r="D181" s="2" t="s">
        <v>9</v>
      </c>
      <c r="E181" s="11">
        <v>45844</v>
      </c>
      <c r="F181" s="14">
        <v>0.39583333333333298</v>
      </c>
      <c r="G181" s="2" t="s">
        <v>3684</v>
      </c>
      <c r="H181" s="2" t="s">
        <v>3685</v>
      </c>
      <c r="I181" s="2" t="s">
        <v>17</v>
      </c>
      <c r="J181" s="2" t="s">
        <v>3679</v>
      </c>
      <c r="K181" s="2" t="s">
        <v>49</v>
      </c>
      <c r="L181" s="2"/>
      <c r="M181" s="2"/>
      <c r="N181" s="7" t="s">
        <v>49</v>
      </c>
      <c r="O181" s="6">
        <v>1</v>
      </c>
      <c r="P181" s="2" t="s">
        <v>3680</v>
      </c>
      <c r="Q181" s="2" t="str">
        <f>IF(Tabla1[[#This Row],[evaluacion_]]="","",IF(Tabla1[[#This Row],[evaluacion_]]=1,"Habilitado","No Habilitado"))</f>
        <v>Habilitado</v>
      </c>
      <c r="R181" s="2" t="str">
        <f>IF(Tabla1[[#This Row],[fecha]]="","",TEXT(Tabla1[[#This Row],[fecha]],"DMMAAAA")&amp;TEXT(Tabla1[[#This Row],[hora]],"HHmm"))</f>
        <v>260320261616</v>
      </c>
      <c r="S181" s="19" t="str">
        <f>_xlfn.CONCAT(Tabla1[[#This Row],[codigo_]],Tabla1[[#This Row],[correlativo_]])</f>
        <v>260320261616900</v>
      </c>
      <c r="T181" s="2" t="str">
        <f t="shared" si="4"/>
        <v>6 de julio del 2025</v>
      </c>
      <c r="U181" s="2" t="str">
        <f>_xlfn.XLOOKUP(Tabla1[[#This Row],[instructor_2]],diccionario_!$A$1:$A$11,diccionario_!$D$1:$D$11,,0)</f>
        <v>Daniel Carvajal B.</v>
      </c>
      <c r="V181" s="2" t="str">
        <f t="shared" si="5"/>
        <v>100%</v>
      </c>
      <c r="W181" s="2" t="s">
        <v>3702</v>
      </c>
    </row>
    <row r="182" spans="1:23" ht="16.5" customHeight="1">
      <c r="A182" s="2">
        <v>297</v>
      </c>
      <c r="B182" s="2" t="s">
        <v>14</v>
      </c>
      <c r="C182" s="2" t="s">
        <v>15</v>
      </c>
      <c r="D182" s="2" t="s">
        <v>9</v>
      </c>
      <c r="E182" s="11">
        <v>45844</v>
      </c>
      <c r="F182" s="14">
        <v>0.39583333333333298</v>
      </c>
      <c r="G182" s="2" t="s">
        <v>2677</v>
      </c>
      <c r="H182" s="2" t="s">
        <v>2678</v>
      </c>
      <c r="I182" s="2" t="s">
        <v>17</v>
      </c>
      <c r="J182" s="2" t="s">
        <v>3679</v>
      </c>
      <c r="K182" s="2" t="s">
        <v>49</v>
      </c>
      <c r="L182" s="2"/>
      <c r="M182" s="2"/>
      <c r="N182" s="7" t="s">
        <v>49</v>
      </c>
      <c r="O182" s="6">
        <v>1</v>
      </c>
      <c r="P182" s="2" t="s">
        <v>3680</v>
      </c>
      <c r="Q182" s="2" t="str">
        <f>IF(Tabla1[[#This Row],[evaluacion_]]="","",IF(Tabla1[[#This Row],[evaluacion_]]=1,"Habilitado","No Habilitado"))</f>
        <v>Habilitado</v>
      </c>
      <c r="R182" s="2" t="str">
        <f>IF(Tabla1[[#This Row],[fecha]]="","",TEXT(Tabla1[[#This Row],[fecha]],"DMMAAAA")&amp;TEXT(Tabla1[[#This Row],[hora]],"HHmm"))</f>
        <v>250320261000</v>
      </c>
      <c r="S182" s="19" t="str">
        <f>_xlfn.CONCAT(Tabla1[[#This Row],[codigo_]],Tabla1[[#This Row],[correlativo_]])</f>
        <v>250320261000901</v>
      </c>
      <c r="T182" s="2" t="str">
        <f t="shared" si="4"/>
        <v>6 de julio del 2025</v>
      </c>
      <c r="U182" s="2" t="str">
        <f>_xlfn.XLOOKUP(Tabla1[[#This Row],[instructor_2]],diccionario_!$A$1:$A$11,diccionario_!$D$1:$D$11,,0)</f>
        <v>Guillermo Milla M.</v>
      </c>
      <c r="V182" s="2" t="str">
        <f t="shared" si="5"/>
        <v>100%</v>
      </c>
      <c r="W182" s="2" t="s">
        <v>3702</v>
      </c>
    </row>
    <row r="183" spans="1:23" ht="16.5" customHeight="1">
      <c r="A183" s="2">
        <v>298</v>
      </c>
      <c r="B183" s="2" t="s">
        <v>14</v>
      </c>
      <c r="C183" s="2" t="s">
        <v>15</v>
      </c>
      <c r="D183" s="2" t="s">
        <v>9</v>
      </c>
      <c r="E183" s="11">
        <v>45844</v>
      </c>
      <c r="F183" s="14">
        <v>0.39583333333333298</v>
      </c>
      <c r="G183" s="2" t="s">
        <v>1863</v>
      </c>
      <c r="H183" s="2" t="s">
        <v>1864</v>
      </c>
      <c r="I183" s="2" t="s">
        <v>17</v>
      </c>
      <c r="J183" s="2" t="s">
        <v>3679</v>
      </c>
      <c r="K183" s="2" t="s">
        <v>49</v>
      </c>
      <c r="L183" s="2"/>
      <c r="M183" s="2"/>
      <c r="N183" s="7" t="s">
        <v>49</v>
      </c>
      <c r="O183" s="6">
        <v>1</v>
      </c>
      <c r="P183" s="2" t="s">
        <v>3680</v>
      </c>
      <c r="Q183" s="2" t="str">
        <f>IF(Tabla1[[#This Row],[evaluacion_]]="","",IF(Tabla1[[#This Row],[evaluacion_]]=1,"Habilitado","No Habilitado"))</f>
        <v>Habilitado</v>
      </c>
      <c r="R183" s="2" t="str">
        <f>IF(Tabla1[[#This Row],[fecha]]="","",TEXT(Tabla1[[#This Row],[fecha]],"DMMAAAA")&amp;TEXT(Tabla1[[#This Row],[hora]],"HHmm"))</f>
        <v>250320261000</v>
      </c>
      <c r="S183" s="19" t="str">
        <f>_xlfn.CONCAT(Tabla1[[#This Row],[codigo_]],Tabla1[[#This Row],[correlativo_]])</f>
        <v>250320261000902</v>
      </c>
      <c r="T183" s="2" t="str">
        <f t="shared" si="4"/>
        <v>6 de julio del 2025</v>
      </c>
      <c r="U183" s="2" t="str">
        <f>_xlfn.XLOOKUP(Tabla1[[#This Row],[instructor_2]],diccionario_!$A$1:$A$11,diccionario_!$D$1:$D$11,,0)</f>
        <v>Guillermo Milla M.</v>
      </c>
      <c r="V183" s="2" t="str">
        <f t="shared" si="5"/>
        <v>100%</v>
      </c>
      <c r="W183" s="2" t="s">
        <v>3702</v>
      </c>
    </row>
    <row r="184" spans="1:23" ht="16.5" customHeight="1">
      <c r="A184" s="2">
        <v>299</v>
      </c>
      <c r="B184" s="2" t="s">
        <v>14</v>
      </c>
      <c r="C184" s="2" t="s">
        <v>15</v>
      </c>
      <c r="D184" s="2" t="s">
        <v>9</v>
      </c>
      <c r="E184" s="11">
        <v>45844</v>
      </c>
      <c r="F184" s="14">
        <v>0.39583333333333298</v>
      </c>
      <c r="G184" s="2" t="s">
        <v>2865</v>
      </c>
      <c r="H184" s="2" t="s">
        <v>2866</v>
      </c>
      <c r="I184" s="2" t="s">
        <v>17</v>
      </c>
      <c r="J184" s="2" t="s">
        <v>3679</v>
      </c>
      <c r="K184" s="2" t="s">
        <v>49</v>
      </c>
      <c r="L184" s="2"/>
      <c r="M184" s="2"/>
      <c r="N184" s="7" t="s">
        <v>49</v>
      </c>
      <c r="O184" s="6">
        <v>1</v>
      </c>
      <c r="P184" s="2" t="s">
        <v>3680</v>
      </c>
      <c r="Q184" s="2" t="str">
        <f>IF(Tabla1[[#This Row],[evaluacion_]]="","",IF(Tabla1[[#This Row],[evaluacion_]]=1,"Habilitado","No Habilitado"))</f>
        <v>Habilitado</v>
      </c>
      <c r="R184" s="2" t="str">
        <f>IF(Tabla1[[#This Row],[fecha]]="","",TEXT(Tabla1[[#This Row],[fecha]],"DMMAAAA")&amp;TEXT(Tabla1[[#This Row],[hora]],"HHmm"))</f>
        <v>250320261000</v>
      </c>
      <c r="S184" s="19" t="str">
        <f>_xlfn.CONCAT(Tabla1[[#This Row],[codigo_]],Tabla1[[#This Row],[correlativo_]])</f>
        <v>250320261000903</v>
      </c>
      <c r="T184" s="2" t="str">
        <f t="shared" si="4"/>
        <v>6 de julio del 2025</v>
      </c>
      <c r="U184" s="2" t="str">
        <f>_xlfn.XLOOKUP(Tabla1[[#This Row],[instructor_2]],diccionario_!$A$1:$A$11,diccionario_!$D$1:$D$11,,0)</f>
        <v>Guillermo Milla M.</v>
      </c>
      <c r="V184" s="2" t="str">
        <f t="shared" si="5"/>
        <v>100%</v>
      </c>
      <c r="W184" s="2" t="s">
        <v>3702</v>
      </c>
    </row>
    <row r="185" spans="1:23" ht="16.5" customHeight="1">
      <c r="A185" s="2">
        <v>300</v>
      </c>
      <c r="B185" s="2" t="s">
        <v>14</v>
      </c>
      <c r="C185" s="2" t="s">
        <v>15</v>
      </c>
      <c r="D185" s="2" t="s">
        <v>9</v>
      </c>
      <c r="E185" s="11">
        <v>45844</v>
      </c>
      <c r="F185" s="14">
        <v>0.39583333333333298</v>
      </c>
      <c r="G185" s="2" t="s">
        <v>505</v>
      </c>
      <c r="H185" s="2" t="s">
        <v>506</v>
      </c>
      <c r="I185" s="2" t="s">
        <v>17</v>
      </c>
      <c r="J185" s="2" t="s">
        <v>3679</v>
      </c>
      <c r="K185" s="2" t="s">
        <v>49</v>
      </c>
      <c r="L185" s="2"/>
      <c r="M185" s="2"/>
      <c r="N185" s="7" t="s">
        <v>49</v>
      </c>
      <c r="O185" s="6">
        <v>1</v>
      </c>
      <c r="P185" s="2" t="s">
        <v>3680</v>
      </c>
      <c r="Q185" s="2" t="str">
        <f>IF(Tabla1[[#This Row],[evaluacion_]]="","",IF(Tabla1[[#This Row],[evaluacion_]]=1,"Habilitado","No Habilitado"))</f>
        <v>Habilitado</v>
      </c>
      <c r="R185" s="2" t="str">
        <f>IF(Tabla1[[#This Row],[fecha]]="","",TEXT(Tabla1[[#This Row],[fecha]],"DMMAAAA")&amp;TEXT(Tabla1[[#This Row],[hora]],"HHmm"))</f>
        <v>250320261000</v>
      </c>
      <c r="S185" s="19" t="str">
        <f>_xlfn.CONCAT(Tabla1[[#This Row],[codigo_]],Tabla1[[#This Row],[correlativo_]])</f>
        <v>250320261000904</v>
      </c>
      <c r="T185" s="2" t="str">
        <f t="shared" si="4"/>
        <v>6 de julio del 2025</v>
      </c>
      <c r="U185" s="2" t="str">
        <f>_xlfn.XLOOKUP(Tabla1[[#This Row],[instructor_2]],diccionario_!$A$1:$A$11,diccionario_!$D$1:$D$11,,0)</f>
        <v>Guillermo Milla M.</v>
      </c>
      <c r="V185" s="2" t="str">
        <f t="shared" si="5"/>
        <v>100%</v>
      </c>
      <c r="W185" s="2" t="s">
        <v>3702</v>
      </c>
    </row>
    <row r="186" spans="1:23" ht="16.5" customHeight="1">
      <c r="A186" s="2">
        <v>301</v>
      </c>
      <c r="B186" s="2" t="s">
        <v>14</v>
      </c>
      <c r="C186" s="2" t="s">
        <v>15</v>
      </c>
      <c r="D186" s="2" t="s">
        <v>9</v>
      </c>
      <c r="E186" s="11">
        <v>45844</v>
      </c>
      <c r="F186" s="14">
        <v>0.39583333333333298</v>
      </c>
      <c r="G186" s="2" t="s">
        <v>1396</v>
      </c>
      <c r="H186" s="2" t="s">
        <v>1397</v>
      </c>
      <c r="I186" s="2" t="s">
        <v>17</v>
      </c>
      <c r="J186" s="2" t="s">
        <v>3679</v>
      </c>
      <c r="K186" s="2" t="s">
        <v>49</v>
      </c>
      <c r="L186" s="2"/>
      <c r="M186" s="2"/>
      <c r="N186" s="7" t="s">
        <v>49</v>
      </c>
      <c r="O186" s="6">
        <v>1</v>
      </c>
      <c r="P186" s="2" t="s">
        <v>3680</v>
      </c>
      <c r="Q186" s="2" t="str">
        <f>IF(Tabla1[[#This Row],[evaluacion_]]="","",IF(Tabla1[[#This Row],[evaluacion_]]=1,"Habilitado","No Habilitado"))</f>
        <v>Habilitado</v>
      </c>
      <c r="R186" s="2" t="str">
        <f>IF(Tabla1[[#This Row],[fecha]]="","",TEXT(Tabla1[[#This Row],[fecha]],"DMMAAAA")&amp;TEXT(Tabla1[[#This Row],[hora]],"HHmm"))</f>
        <v>250320261000</v>
      </c>
      <c r="S186" s="19" t="str">
        <f>_xlfn.CONCAT(Tabla1[[#This Row],[codigo_]],Tabla1[[#This Row],[correlativo_]])</f>
        <v>250320261000905</v>
      </c>
      <c r="T186" s="2" t="str">
        <f t="shared" si="4"/>
        <v>6 de julio del 2025</v>
      </c>
      <c r="U186" s="2" t="str">
        <f>_xlfn.XLOOKUP(Tabla1[[#This Row],[instructor_2]],diccionario_!$A$1:$A$11,diccionario_!$D$1:$D$11,,0)</f>
        <v>Guillermo Milla M.</v>
      </c>
      <c r="V186" s="2" t="str">
        <f t="shared" si="5"/>
        <v>100%</v>
      </c>
      <c r="W186" s="2" t="s">
        <v>3702</v>
      </c>
    </row>
    <row r="187" spans="1:23" ht="16.5" customHeight="1">
      <c r="A187" s="2">
        <v>302</v>
      </c>
      <c r="B187" s="2" t="s">
        <v>14</v>
      </c>
      <c r="C187" s="2" t="s">
        <v>15</v>
      </c>
      <c r="D187" s="2" t="s">
        <v>9</v>
      </c>
      <c r="E187" s="11">
        <v>45844</v>
      </c>
      <c r="F187" s="14">
        <v>0.39583333333333298</v>
      </c>
      <c r="G187" s="2" t="s">
        <v>1437</v>
      </c>
      <c r="H187" s="2" t="s">
        <v>1438</v>
      </c>
      <c r="I187" s="2" t="s">
        <v>17</v>
      </c>
      <c r="J187" s="2" t="s">
        <v>3679</v>
      </c>
      <c r="K187" s="2" t="s">
        <v>49</v>
      </c>
      <c r="L187" s="2"/>
      <c r="M187" s="2"/>
      <c r="N187" s="7" t="s">
        <v>49</v>
      </c>
      <c r="O187" s="6">
        <v>1</v>
      </c>
      <c r="P187" s="2" t="s">
        <v>3680</v>
      </c>
      <c r="Q187" s="2" t="str">
        <f>IF(Tabla1[[#This Row],[evaluacion_]]="","",IF(Tabla1[[#This Row],[evaluacion_]]=1,"Habilitado","No Habilitado"))</f>
        <v>Habilitado</v>
      </c>
      <c r="R187" s="2" t="str">
        <f>IF(Tabla1[[#This Row],[fecha]]="","",TEXT(Tabla1[[#This Row],[fecha]],"DMMAAAA")&amp;TEXT(Tabla1[[#This Row],[hora]],"HHmm"))</f>
        <v>250320261000</v>
      </c>
      <c r="S187" s="19" t="str">
        <f>_xlfn.CONCAT(Tabla1[[#This Row],[codigo_]],Tabla1[[#This Row],[correlativo_]])</f>
        <v>250320261000906</v>
      </c>
      <c r="T187" s="2" t="str">
        <f t="shared" si="4"/>
        <v>6 de julio del 2025</v>
      </c>
      <c r="U187" s="2" t="str">
        <f>_xlfn.XLOOKUP(Tabla1[[#This Row],[instructor_2]],diccionario_!$A$1:$A$11,diccionario_!$D$1:$D$11,,0)</f>
        <v>Guillermo Milla M.</v>
      </c>
      <c r="V187" s="2" t="str">
        <f t="shared" si="5"/>
        <v>100%</v>
      </c>
      <c r="W187" s="2" t="s">
        <v>3703</v>
      </c>
    </row>
    <row r="188" spans="1:23" ht="16.5" customHeight="1">
      <c r="A188" s="2">
        <v>303</v>
      </c>
      <c r="B188" s="2" t="s">
        <v>14</v>
      </c>
      <c r="C188" s="2" t="s">
        <v>15</v>
      </c>
      <c r="D188" s="2" t="s">
        <v>9</v>
      </c>
      <c r="E188" s="11">
        <v>45844</v>
      </c>
      <c r="F188" s="14">
        <v>0.39583333333333298</v>
      </c>
      <c r="G188" s="2" t="s">
        <v>3689</v>
      </c>
      <c r="H188" s="2" t="s">
        <v>3690</v>
      </c>
      <c r="I188" s="2" t="s">
        <v>17</v>
      </c>
      <c r="J188" s="2" t="s">
        <v>3679</v>
      </c>
      <c r="K188" s="2" t="s">
        <v>49</v>
      </c>
      <c r="L188" s="2"/>
      <c r="M188" s="2"/>
      <c r="N188" s="7" t="s">
        <v>49</v>
      </c>
      <c r="O188" s="6">
        <v>1</v>
      </c>
      <c r="P188" s="2" t="s">
        <v>3680</v>
      </c>
      <c r="Q188" s="2" t="str">
        <f>IF(Tabla1[[#This Row],[evaluacion_]]="","",IF(Tabla1[[#This Row],[evaluacion_]]=1,"Habilitado","No Habilitado"))</f>
        <v>Habilitado</v>
      </c>
      <c r="R188" s="2" t="str">
        <f>IF(Tabla1[[#This Row],[fecha]]="","",TEXT(Tabla1[[#This Row],[fecha]],"DMMAAAA")&amp;TEXT(Tabla1[[#This Row],[hora]],"HHmm"))</f>
        <v>250320261000</v>
      </c>
      <c r="S188" s="19" t="str">
        <f>_xlfn.CONCAT(Tabla1[[#This Row],[codigo_]],Tabla1[[#This Row],[correlativo_]])</f>
        <v>250320261000907</v>
      </c>
      <c r="T188" s="2" t="str">
        <f t="shared" si="4"/>
        <v>6 de julio del 2025</v>
      </c>
      <c r="U188" s="2" t="str">
        <f>_xlfn.XLOOKUP(Tabla1[[#This Row],[instructor_2]],diccionario_!$A$1:$A$11,diccionario_!$D$1:$D$11,,0)</f>
        <v>Guillermo Milla M.</v>
      </c>
      <c r="V188" s="2" t="str">
        <f t="shared" si="5"/>
        <v>100%</v>
      </c>
      <c r="W188" s="2" t="s">
        <v>3703</v>
      </c>
    </row>
    <row r="189" spans="1:23" ht="16.5" customHeight="1">
      <c r="A189" s="2">
        <v>304</v>
      </c>
      <c r="B189" s="2" t="s">
        <v>14</v>
      </c>
      <c r="C189" s="2" t="s">
        <v>15</v>
      </c>
      <c r="D189" s="2" t="s">
        <v>9</v>
      </c>
      <c r="E189" s="11">
        <v>45844</v>
      </c>
      <c r="F189" s="14">
        <v>0.39583333333333298</v>
      </c>
      <c r="G189" s="2" t="s">
        <v>1473</v>
      </c>
      <c r="H189" s="2" t="s">
        <v>1474</v>
      </c>
      <c r="I189" s="2" t="s">
        <v>17</v>
      </c>
      <c r="J189" s="2" t="s">
        <v>3679</v>
      </c>
      <c r="K189" s="2" t="s">
        <v>49</v>
      </c>
      <c r="L189" s="2"/>
      <c r="M189" s="2"/>
      <c r="N189" s="7" t="s">
        <v>49</v>
      </c>
      <c r="O189" s="6">
        <v>1</v>
      </c>
      <c r="P189" s="2" t="s">
        <v>3680</v>
      </c>
      <c r="Q189" s="2" t="str">
        <f>IF(Tabla1[[#This Row],[evaluacion_]]="","",IF(Tabla1[[#This Row],[evaluacion_]]=1,"Habilitado","No Habilitado"))</f>
        <v>Habilitado</v>
      </c>
      <c r="R189" s="2" t="str">
        <f>IF(Tabla1[[#This Row],[fecha]]="","",TEXT(Tabla1[[#This Row],[fecha]],"DMMAAAA")&amp;TEXT(Tabla1[[#This Row],[hora]],"HHmm"))</f>
        <v>250320261000</v>
      </c>
      <c r="S189" s="19" t="str">
        <f>_xlfn.CONCAT(Tabla1[[#This Row],[codigo_]],Tabla1[[#This Row],[correlativo_]])</f>
        <v>250320261000908</v>
      </c>
      <c r="T189" s="2" t="str">
        <f t="shared" si="4"/>
        <v>6 de julio del 2025</v>
      </c>
      <c r="U189" s="2" t="str">
        <f>_xlfn.XLOOKUP(Tabla1[[#This Row],[instructor_2]],diccionario_!$A$1:$A$11,diccionario_!$D$1:$D$11,,0)</f>
        <v>Guillermo Milla M.</v>
      </c>
      <c r="V189" s="2" t="str">
        <f t="shared" si="5"/>
        <v>100%</v>
      </c>
      <c r="W189" s="2" t="s">
        <v>3703</v>
      </c>
    </row>
    <row r="190" spans="1:23" ht="16.5" customHeight="1">
      <c r="A190" s="2">
        <v>305</v>
      </c>
      <c r="B190" s="2" t="s">
        <v>14</v>
      </c>
      <c r="C190" s="2" t="s">
        <v>15</v>
      </c>
      <c r="D190" s="2" t="s">
        <v>9</v>
      </c>
      <c r="E190" s="11">
        <v>45844</v>
      </c>
      <c r="F190" s="14">
        <v>0.39583333333333298</v>
      </c>
      <c r="G190" s="2" t="s">
        <v>2766</v>
      </c>
      <c r="H190" s="2" t="s">
        <v>2767</v>
      </c>
      <c r="I190" s="2" t="s">
        <v>17</v>
      </c>
      <c r="J190" s="2" t="s">
        <v>3679</v>
      </c>
      <c r="K190" s="2" t="s">
        <v>49</v>
      </c>
      <c r="L190" s="2"/>
      <c r="M190" s="2"/>
      <c r="N190" s="7" t="s">
        <v>49</v>
      </c>
      <c r="O190" s="6">
        <v>1</v>
      </c>
      <c r="P190" s="2" t="s">
        <v>3680</v>
      </c>
      <c r="Q190" s="2" t="str">
        <f>IF(Tabla1[[#This Row],[evaluacion_]]="","",IF(Tabla1[[#This Row],[evaluacion_]]=1,"Habilitado","No Habilitado"))</f>
        <v>Habilitado</v>
      </c>
      <c r="R190" s="2" t="str">
        <f>IF(Tabla1[[#This Row],[fecha]]="","",TEXT(Tabla1[[#This Row],[fecha]],"DMMAAAA")&amp;TEXT(Tabla1[[#This Row],[hora]],"HHmm"))</f>
        <v>250320261000</v>
      </c>
      <c r="S190" s="19" t="str">
        <f>_xlfn.CONCAT(Tabla1[[#This Row],[codigo_]],Tabla1[[#This Row],[correlativo_]])</f>
        <v>250320261000909</v>
      </c>
      <c r="T190" s="2" t="str">
        <f t="shared" si="4"/>
        <v>6 de julio del 2025</v>
      </c>
      <c r="U190" s="2" t="str">
        <f>_xlfn.XLOOKUP(Tabla1[[#This Row],[instructor_2]],diccionario_!$A$1:$A$11,diccionario_!$D$1:$D$11,,0)</f>
        <v>Guillermo Milla M.</v>
      </c>
      <c r="V190" s="2" t="str">
        <f t="shared" si="5"/>
        <v>100%</v>
      </c>
      <c r="W190" s="2" t="s">
        <v>3703</v>
      </c>
    </row>
    <row r="191" spans="1:23" ht="16.5" customHeight="1">
      <c r="A191" s="2">
        <v>306</v>
      </c>
      <c r="B191" s="2" t="s">
        <v>14</v>
      </c>
      <c r="C191" s="2" t="s">
        <v>15</v>
      </c>
      <c r="D191" s="2" t="s">
        <v>9</v>
      </c>
      <c r="E191" s="11">
        <v>45844</v>
      </c>
      <c r="F191" s="14">
        <v>0.39583333333333298</v>
      </c>
      <c r="G191" s="2" t="s">
        <v>3073</v>
      </c>
      <c r="H191" s="2" t="s">
        <v>3074</v>
      </c>
      <c r="I191" s="2" t="s">
        <v>17</v>
      </c>
      <c r="J191" s="2" t="s">
        <v>3679</v>
      </c>
      <c r="K191" s="2" t="s">
        <v>49</v>
      </c>
      <c r="L191" s="2"/>
      <c r="M191" s="2"/>
      <c r="N191" s="7" t="s">
        <v>49</v>
      </c>
      <c r="O191" s="6">
        <v>1</v>
      </c>
      <c r="P191" s="2" t="s">
        <v>3680</v>
      </c>
      <c r="Q191" s="2" t="str">
        <f>IF(Tabla1[[#This Row],[evaluacion_]]="","",IF(Tabla1[[#This Row],[evaluacion_]]=1,"Habilitado","No Habilitado"))</f>
        <v>Habilitado</v>
      </c>
      <c r="R191" s="2" t="str">
        <f>IF(Tabla1[[#This Row],[fecha]]="","",TEXT(Tabla1[[#This Row],[fecha]],"DMMAAAA")&amp;TEXT(Tabla1[[#This Row],[hora]],"HHmm"))</f>
        <v>250320261000</v>
      </c>
      <c r="S191" s="19" t="str">
        <f>_xlfn.CONCAT(Tabla1[[#This Row],[codigo_]],Tabla1[[#This Row],[correlativo_]])</f>
        <v>250320261000910</v>
      </c>
      <c r="T191" s="2" t="str">
        <f t="shared" si="4"/>
        <v>6 de julio del 2025</v>
      </c>
      <c r="U191" s="2" t="str">
        <f>_xlfn.XLOOKUP(Tabla1[[#This Row],[instructor_2]],diccionario_!$A$1:$A$11,diccionario_!$D$1:$D$11,,0)</f>
        <v>Guillermo Milla M.</v>
      </c>
      <c r="V191" s="2" t="str">
        <f t="shared" si="5"/>
        <v>100%</v>
      </c>
      <c r="W191" s="2" t="s">
        <v>3703</v>
      </c>
    </row>
    <row r="192" spans="1:23" ht="16.5" customHeight="1">
      <c r="A192" s="2">
        <v>307</v>
      </c>
      <c r="B192" s="2" t="s">
        <v>14</v>
      </c>
      <c r="C192" s="2" t="s">
        <v>15</v>
      </c>
      <c r="D192" s="2" t="s">
        <v>9</v>
      </c>
      <c r="E192" s="11">
        <v>45844</v>
      </c>
      <c r="F192" s="14">
        <v>0.39583333333333298</v>
      </c>
      <c r="G192" s="2" t="s">
        <v>2046</v>
      </c>
      <c r="H192" s="2" t="s">
        <v>2047</v>
      </c>
      <c r="I192" s="2" t="s">
        <v>17</v>
      </c>
      <c r="J192" s="2" t="s">
        <v>3679</v>
      </c>
      <c r="K192" s="2" t="s">
        <v>49</v>
      </c>
      <c r="L192" s="2"/>
      <c r="M192" s="2"/>
      <c r="N192" s="7" t="s">
        <v>49</v>
      </c>
      <c r="O192" s="6">
        <v>1</v>
      </c>
      <c r="P192" s="2" t="s">
        <v>3680</v>
      </c>
      <c r="Q192" s="2" t="str">
        <f>IF(Tabla1[[#This Row],[evaluacion_]]="","",IF(Tabla1[[#This Row],[evaluacion_]]=1,"Habilitado","No Habilitado"))</f>
        <v>Habilitado</v>
      </c>
      <c r="R192" s="2" t="str">
        <f>IF(Tabla1[[#This Row],[fecha]]="","",TEXT(Tabla1[[#This Row],[fecha]],"DMMAAAA")&amp;TEXT(Tabla1[[#This Row],[hora]],"HHmm"))</f>
        <v>250320261000</v>
      </c>
      <c r="S192" s="19" t="str">
        <f>_xlfn.CONCAT(Tabla1[[#This Row],[codigo_]],Tabla1[[#This Row],[correlativo_]])</f>
        <v>250320261000911</v>
      </c>
      <c r="T192" s="2" t="str">
        <f t="shared" si="4"/>
        <v>6 de julio del 2025</v>
      </c>
      <c r="U192" s="2" t="str">
        <f>_xlfn.XLOOKUP(Tabla1[[#This Row],[instructor_2]],diccionario_!$A$1:$A$11,diccionario_!$D$1:$D$11,,0)</f>
        <v>Guillermo Milla M.</v>
      </c>
      <c r="V192" s="2" t="str">
        <f t="shared" si="5"/>
        <v>100%</v>
      </c>
      <c r="W192" s="2" t="s">
        <v>3703</v>
      </c>
    </row>
    <row r="193" spans="1:23" ht="16.5" customHeight="1">
      <c r="A193" s="2">
        <v>308</v>
      </c>
      <c r="B193" s="2" t="s">
        <v>14</v>
      </c>
      <c r="C193" s="2" t="s">
        <v>15</v>
      </c>
      <c r="D193" s="2" t="s">
        <v>9</v>
      </c>
      <c r="E193" s="11">
        <v>45844</v>
      </c>
      <c r="F193" s="14">
        <v>0.39583333333333298</v>
      </c>
      <c r="G193" s="2" t="s">
        <v>1400</v>
      </c>
      <c r="H193" s="2" t="s">
        <v>1401</v>
      </c>
      <c r="I193" s="2" t="s">
        <v>17</v>
      </c>
      <c r="J193" s="2" t="s">
        <v>3679</v>
      </c>
      <c r="K193" s="2" t="s">
        <v>49</v>
      </c>
      <c r="L193" s="2"/>
      <c r="M193" s="2"/>
      <c r="N193" s="7" t="s">
        <v>49</v>
      </c>
      <c r="O193" s="6">
        <v>1</v>
      </c>
      <c r="P193" s="2" t="s">
        <v>3680</v>
      </c>
      <c r="Q193" s="2" t="str">
        <f>IF(Tabla1[[#This Row],[evaluacion_]]="","",IF(Tabla1[[#This Row],[evaluacion_]]=1,"Habilitado","No Habilitado"))</f>
        <v>Habilitado</v>
      </c>
      <c r="R193" s="2" t="str">
        <f>IF(Tabla1[[#This Row],[fecha]]="","",TEXT(Tabla1[[#This Row],[fecha]],"DMMAAAA")&amp;TEXT(Tabla1[[#This Row],[hora]],"HHmm"))</f>
        <v>250320261000</v>
      </c>
      <c r="S193" s="19" t="str">
        <f>_xlfn.CONCAT(Tabla1[[#This Row],[codigo_]],Tabla1[[#This Row],[correlativo_]])</f>
        <v>250320261000912</v>
      </c>
      <c r="T193" s="2" t="str">
        <f t="shared" si="4"/>
        <v>6 de julio del 2025</v>
      </c>
      <c r="U193" s="2" t="str">
        <f>_xlfn.XLOOKUP(Tabla1[[#This Row],[instructor_2]],diccionario_!$A$1:$A$11,diccionario_!$D$1:$D$11,,0)</f>
        <v>Guillermo Milla M.</v>
      </c>
      <c r="V193" s="2" t="str">
        <f t="shared" si="5"/>
        <v>100%</v>
      </c>
      <c r="W193" s="2" t="s">
        <v>3703</v>
      </c>
    </row>
    <row r="194" spans="1:23" ht="16.5" customHeight="1">
      <c r="A194" s="2">
        <v>309</v>
      </c>
      <c r="B194" s="2" t="s">
        <v>14</v>
      </c>
      <c r="C194" s="2" t="s">
        <v>15</v>
      </c>
      <c r="D194" s="2" t="s">
        <v>9</v>
      </c>
      <c r="E194" s="11">
        <v>45844</v>
      </c>
      <c r="F194" s="14">
        <v>0.39583333333333298</v>
      </c>
      <c r="G194" s="2" t="s">
        <v>2033</v>
      </c>
      <c r="H194" s="2" t="s">
        <v>2034</v>
      </c>
      <c r="I194" s="2" t="s">
        <v>17</v>
      </c>
      <c r="J194" s="2" t="s">
        <v>3679</v>
      </c>
      <c r="K194" s="2" t="s">
        <v>49</v>
      </c>
      <c r="L194" s="2"/>
      <c r="M194" s="2"/>
      <c r="N194" s="7" t="s">
        <v>49</v>
      </c>
      <c r="O194" s="6">
        <v>1</v>
      </c>
      <c r="P194" s="2" t="s">
        <v>3680</v>
      </c>
      <c r="Q194" s="2" t="str">
        <f>IF(Tabla1[[#This Row],[evaluacion_]]="","",IF(Tabla1[[#This Row],[evaluacion_]]=1,"Habilitado","No Habilitado"))</f>
        <v>Habilitado</v>
      </c>
      <c r="R194" s="2" t="str">
        <f>IF(Tabla1[[#This Row],[fecha]]="","",TEXT(Tabla1[[#This Row],[fecha]],"DMMAAAA")&amp;TEXT(Tabla1[[#This Row],[hora]],"HHmm"))</f>
        <v>250320261000</v>
      </c>
      <c r="S194" s="19" t="str">
        <f>_xlfn.CONCAT(Tabla1[[#This Row],[codigo_]],Tabla1[[#This Row],[correlativo_]])</f>
        <v>250320261000913</v>
      </c>
      <c r="T194" s="2" t="str">
        <f t="shared" ref="T194:T257" si="6">DAY(E194) &amp; " de " &amp; TEXT(E194, "mmmm") &amp; " del " &amp; YEAR(E194)</f>
        <v>6 de julio del 2025</v>
      </c>
      <c r="U194" s="2" t="str">
        <f>_xlfn.XLOOKUP(Tabla1[[#This Row],[instructor_2]],diccionario_!$A$1:$A$11,diccionario_!$D$1:$D$11,,0)</f>
        <v>Guillermo Milla M.</v>
      </c>
      <c r="V194" s="2" t="str">
        <f t="shared" ref="V194:V257" si="7">TEXT(O194,"0%")</f>
        <v>100%</v>
      </c>
      <c r="W194" s="2" t="s">
        <v>3703</v>
      </c>
    </row>
    <row r="195" spans="1:23" ht="16.5" customHeight="1">
      <c r="A195" s="2">
        <v>310</v>
      </c>
      <c r="B195" s="2" t="s">
        <v>14</v>
      </c>
      <c r="C195" s="2" t="s">
        <v>15</v>
      </c>
      <c r="D195" s="2" t="s">
        <v>9</v>
      </c>
      <c r="E195" s="11">
        <v>45844</v>
      </c>
      <c r="F195" s="14">
        <v>0.39583333333333298</v>
      </c>
      <c r="G195" s="2" t="s">
        <v>753</v>
      </c>
      <c r="H195" s="2" t="s">
        <v>754</v>
      </c>
      <c r="I195" s="2" t="s">
        <v>17</v>
      </c>
      <c r="J195" s="2" t="s">
        <v>3679</v>
      </c>
      <c r="K195" s="2" t="s">
        <v>49</v>
      </c>
      <c r="L195" s="2"/>
      <c r="M195" s="2"/>
      <c r="N195" s="7" t="s">
        <v>49</v>
      </c>
      <c r="O195" s="6">
        <v>1</v>
      </c>
      <c r="P195" s="2" t="s">
        <v>3680</v>
      </c>
      <c r="Q195" s="2" t="str">
        <f>IF(Tabla1[[#This Row],[evaluacion_]]="","",IF(Tabla1[[#This Row],[evaluacion_]]=1,"Habilitado","No Habilitado"))</f>
        <v>Habilitado</v>
      </c>
      <c r="R195" s="2" t="str">
        <f>IF(Tabla1[[#This Row],[fecha]]="","",TEXT(Tabla1[[#This Row],[fecha]],"DMMAAAA")&amp;TEXT(Tabla1[[#This Row],[hora]],"HHmm"))</f>
        <v>250320261000</v>
      </c>
      <c r="S195" s="19" t="str">
        <f>_xlfn.CONCAT(Tabla1[[#This Row],[codigo_]],Tabla1[[#This Row],[correlativo_]])</f>
        <v>250320261000914</v>
      </c>
      <c r="T195" s="2" t="str">
        <f t="shared" si="6"/>
        <v>6 de julio del 2025</v>
      </c>
      <c r="U195" s="2" t="str">
        <f>_xlfn.XLOOKUP(Tabla1[[#This Row],[instructor_2]],diccionario_!$A$1:$A$11,diccionario_!$D$1:$D$11,,0)</f>
        <v>Guillermo Milla M.</v>
      </c>
      <c r="V195" s="2" t="str">
        <f t="shared" si="7"/>
        <v>100%</v>
      </c>
      <c r="W195" s="2" t="s">
        <v>3703</v>
      </c>
    </row>
    <row r="196" spans="1:23" ht="16.5" customHeight="1">
      <c r="A196" s="2">
        <v>311</v>
      </c>
      <c r="B196" s="2" t="s">
        <v>14</v>
      </c>
      <c r="C196" s="2" t="s">
        <v>15</v>
      </c>
      <c r="D196" s="2" t="s">
        <v>9</v>
      </c>
      <c r="E196" s="11">
        <v>45844</v>
      </c>
      <c r="F196" s="14">
        <v>0.39583333333333298</v>
      </c>
      <c r="G196" s="2" t="s">
        <v>1134</v>
      </c>
      <c r="H196" s="2" t="s">
        <v>1135</v>
      </c>
      <c r="I196" s="2" t="s">
        <v>17</v>
      </c>
      <c r="J196" s="2" t="s">
        <v>3679</v>
      </c>
      <c r="K196" s="2" t="s">
        <v>49</v>
      </c>
      <c r="L196" s="2"/>
      <c r="M196" s="2"/>
      <c r="N196" s="7" t="s">
        <v>49</v>
      </c>
      <c r="O196" s="6">
        <v>1</v>
      </c>
      <c r="P196" s="2" t="s">
        <v>3680</v>
      </c>
      <c r="Q196" s="2" t="str">
        <f>IF(Tabla1[[#This Row],[evaluacion_]]="","",IF(Tabla1[[#This Row],[evaluacion_]]=1,"Habilitado","No Habilitado"))</f>
        <v>Habilitado</v>
      </c>
      <c r="R196" s="2" t="str">
        <f>IF(Tabla1[[#This Row],[fecha]]="","",TEXT(Tabla1[[#This Row],[fecha]],"DMMAAAA")&amp;TEXT(Tabla1[[#This Row],[hora]],"HHmm"))</f>
        <v>250320261000</v>
      </c>
      <c r="S196" s="19" t="str">
        <f>_xlfn.CONCAT(Tabla1[[#This Row],[codigo_]],Tabla1[[#This Row],[correlativo_]])</f>
        <v>250320261000915</v>
      </c>
      <c r="T196" s="2" t="str">
        <f t="shared" si="6"/>
        <v>6 de julio del 2025</v>
      </c>
      <c r="U196" s="2" t="str">
        <f>_xlfn.XLOOKUP(Tabla1[[#This Row],[instructor_2]],diccionario_!$A$1:$A$11,diccionario_!$D$1:$D$11,,0)</f>
        <v>Guillermo Milla M.</v>
      </c>
      <c r="V196" s="2" t="str">
        <f t="shared" si="7"/>
        <v>100%</v>
      </c>
      <c r="W196" s="2" t="s">
        <v>3703</v>
      </c>
    </row>
    <row r="197" spans="1:23" ht="16.5" customHeight="1">
      <c r="A197" s="2">
        <v>312</v>
      </c>
      <c r="B197" s="2" t="s">
        <v>14</v>
      </c>
      <c r="C197" s="2" t="s">
        <v>15</v>
      </c>
      <c r="D197" s="2" t="s">
        <v>9</v>
      </c>
      <c r="E197" s="11">
        <v>45844</v>
      </c>
      <c r="F197" s="14">
        <v>0.39583333333333298</v>
      </c>
      <c r="G197" s="2" t="s">
        <v>3699</v>
      </c>
      <c r="H197" s="2" t="s">
        <v>3700</v>
      </c>
      <c r="I197" s="2" t="s">
        <v>17</v>
      </c>
      <c r="J197" s="2" t="s">
        <v>3679</v>
      </c>
      <c r="K197" s="2" t="s">
        <v>49</v>
      </c>
      <c r="L197" s="2"/>
      <c r="M197" s="2"/>
      <c r="N197" s="7" t="s">
        <v>49</v>
      </c>
      <c r="O197" s="6">
        <v>1</v>
      </c>
      <c r="P197" s="2" t="s">
        <v>3680</v>
      </c>
      <c r="Q197" s="2" t="str">
        <f>IF(Tabla1[[#This Row],[evaluacion_]]="","",IF(Tabla1[[#This Row],[evaluacion_]]=1,"Habilitado","No Habilitado"))</f>
        <v>Habilitado</v>
      </c>
      <c r="R197" s="2" t="str">
        <f>IF(Tabla1[[#This Row],[fecha]]="","",TEXT(Tabla1[[#This Row],[fecha]],"DMMAAAA")&amp;TEXT(Tabla1[[#This Row],[hora]],"HHmm"))</f>
        <v>250320261000</v>
      </c>
      <c r="S197" s="19" t="str">
        <f>_xlfn.CONCAT(Tabla1[[#This Row],[codigo_]],Tabla1[[#This Row],[correlativo_]])</f>
        <v>250320261000916</v>
      </c>
      <c r="T197" s="2" t="str">
        <f t="shared" si="6"/>
        <v>6 de julio del 2025</v>
      </c>
      <c r="U197" s="2" t="str">
        <f>_xlfn.XLOOKUP(Tabla1[[#This Row],[instructor_2]],diccionario_!$A$1:$A$11,diccionario_!$D$1:$D$11,,0)</f>
        <v>Guillermo Milla M.</v>
      </c>
      <c r="V197" s="2" t="str">
        <f t="shared" si="7"/>
        <v>100%</v>
      </c>
      <c r="W197" s="2" t="s">
        <v>3703</v>
      </c>
    </row>
    <row r="198" spans="1:23" ht="16.5" customHeight="1">
      <c r="A198" s="2">
        <v>313</v>
      </c>
      <c r="B198" s="2" t="s">
        <v>14</v>
      </c>
      <c r="C198" s="2" t="s">
        <v>15</v>
      </c>
      <c r="D198" s="2" t="s">
        <v>9</v>
      </c>
      <c r="E198" s="11">
        <v>45844</v>
      </c>
      <c r="F198" s="14">
        <v>0.39583333333333298</v>
      </c>
      <c r="G198" s="2" t="s">
        <v>3393</v>
      </c>
      <c r="H198" s="2" t="s">
        <v>3394</v>
      </c>
      <c r="I198" s="2" t="s">
        <v>17</v>
      </c>
      <c r="J198" s="2" t="s">
        <v>3679</v>
      </c>
      <c r="K198" s="2" t="s">
        <v>49</v>
      </c>
      <c r="L198" s="2"/>
      <c r="M198" s="2"/>
      <c r="N198" s="7" t="s">
        <v>49</v>
      </c>
      <c r="O198" s="6">
        <v>1</v>
      </c>
      <c r="P198" s="2" t="s">
        <v>3680</v>
      </c>
      <c r="Q198" s="2" t="str">
        <f>IF(Tabla1[[#This Row],[evaluacion_]]="","",IF(Tabla1[[#This Row],[evaluacion_]]=1,"Habilitado","No Habilitado"))</f>
        <v>Habilitado</v>
      </c>
      <c r="R198" s="2" t="str">
        <f>IF(Tabla1[[#This Row],[fecha]]="","",TEXT(Tabla1[[#This Row],[fecha]],"DMMAAAA")&amp;TEXT(Tabla1[[#This Row],[hora]],"HHmm"))</f>
        <v>250320261000</v>
      </c>
      <c r="S198" s="19" t="str">
        <f>_xlfn.CONCAT(Tabla1[[#This Row],[codigo_]],Tabla1[[#This Row],[correlativo_]])</f>
        <v>250320261000917</v>
      </c>
      <c r="T198" s="2" t="str">
        <f t="shared" si="6"/>
        <v>6 de julio del 2025</v>
      </c>
      <c r="U198" s="2" t="str">
        <f>_xlfn.XLOOKUP(Tabla1[[#This Row],[instructor_2]],diccionario_!$A$1:$A$11,diccionario_!$D$1:$D$11,,0)</f>
        <v>Guillermo Milla M.</v>
      </c>
      <c r="V198" s="2" t="str">
        <f t="shared" si="7"/>
        <v>100%</v>
      </c>
      <c r="W198" s="2" t="s">
        <v>3703</v>
      </c>
    </row>
    <row r="199" spans="1:23" ht="16.5" customHeight="1">
      <c r="A199" s="2">
        <v>314</v>
      </c>
      <c r="B199" s="2" t="s">
        <v>14</v>
      </c>
      <c r="C199" s="2" t="s">
        <v>15</v>
      </c>
      <c r="D199" s="2" t="s">
        <v>9</v>
      </c>
      <c r="E199" s="11">
        <v>45844</v>
      </c>
      <c r="F199" s="14">
        <v>0.39583333333333298</v>
      </c>
      <c r="G199" s="2" t="s">
        <v>3457</v>
      </c>
      <c r="H199" s="2" t="s">
        <v>3458</v>
      </c>
      <c r="I199" s="2" t="s">
        <v>17</v>
      </c>
      <c r="J199" s="2" t="s">
        <v>3679</v>
      </c>
      <c r="K199" s="2" t="s">
        <v>49</v>
      </c>
      <c r="L199" s="2"/>
      <c r="M199" s="2"/>
      <c r="N199" s="7" t="s">
        <v>49</v>
      </c>
      <c r="O199" s="6">
        <v>1</v>
      </c>
      <c r="P199" s="2" t="s">
        <v>3680</v>
      </c>
      <c r="Q199" s="2" t="str">
        <f>IF(Tabla1[[#This Row],[evaluacion_]]="","",IF(Tabla1[[#This Row],[evaluacion_]]=1,"Habilitado","No Habilitado"))</f>
        <v>No Habilitado</v>
      </c>
      <c r="R199" s="2" t="str">
        <f>IF(Tabla1[[#This Row],[fecha]]="","",TEXT(Tabla1[[#This Row],[fecha]],"DMMAAAA")&amp;TEXT(Tabla1[[#This Row],[hora]],"HHmm"))</f>
        <v/>
      </c>
      <c r="S199" s="19" t="str">
        <f>_xlfn.CONCAT(Tabla1[[#This Row],[codigo_]],Tabla1[[#This Row],[correlativo_]])</f>
        <v>918</v>
      </c>
      <c r="T199" s="2" t="str">
        <f t="shared" si="6"/>
        <v>6 de julio del 2025</v>
      </c>
      <c r="U199" s="2" t="str">
        <f>_xlfn.XLOOKUP(Tabla1[[#This Row],[instructor_2]],diccionario_!$A$1:$A$11,diccionario_!$D$1:$D$11,,0)</f>
        <v>Daniel Carvajal B.</v>
      </c>
      <c r="V199" s="2" t="str">
        <f t="shared" si="7"/>
        <v>100%</v>
      </c>
      <c r="W199" s="2" t="s">
        <v>3703</v>
      </c>
    </row>
    <row r="200" spans="1:23" ht="16.5" customHeight="1">
      <c r="A200" s="2">
        <v>315</v>
      </c>
      <c r="B200" s="2" t="s">
        <v>14</v>
      </c>
      <c r="C200" s="2" t="s">
        <v>15</v>
      </c>
      <c r="D200" s="2" t="s">
        <v>9</v>
      </c>
      <c r="E200" s="11">
        <v>45844</v>
      </c>
      <c r="F200" s="14">
        <v>0.39583333333333298</v>
      </c>
      <c r="G200" s="2" t="s">
        <v>1811</v>
      </c>
      <c r="H200" s="2" t="s">
        <v>1812</v>
      </c>
      <c r="I200" s="2" t="s">
        <v>17</v>
      </c>
      <c r="J200" s="2" t="s">
        <v>3679</v>
      </c>
      <c r="K200" s="2" t="s">
        <v>49</v>
      </c>
      <c r="L200" s="2"/>
      <c r="M200" s="2"/>
      <c r="N200" s="7" t="s">
        <v>49</v>
      </c>
      <c r="O200" s="6">
        <v>1</v>
      </c>
      <c r="P200" s="2" t="s">
        <v>3680</v>
      </c>
      <c r="Q200" s="2" t="str">
        <f>IF(Tabla1[[#This Row],[evaluacion_]]="","",IF(Tabla1[[#This Row],[evaluacion_]]=1,"Habilitado","No Habilitado"))</f>
        <v>No Habilitado</v>
      </c>
      <c r="R200" s="2" t="str">
        <f>IF(Tabla1[[#This Row],[fecha]]="","",TEXT(Tabla1[[#This Row],[fecha]],"DMMAAAA")&amp;TEXT(Tabla1[[#This Row],[hora]],"HHmm"))</f>
        <v/>
      </c>
      <c r="S200" s="19" t="str">
        <f>_xlfn.CONCAT(Tabla1[[#This Row],[codigo_]],Tabla1[[#This Row],[correlativo_]])</f>
        <v>919</v>
      </c>
      <c r="T200" s="2" t="str">
        <f t="shared" si="6"/>
        <v>6 de julio del 2025</v>
      </c>
      <c r="U200" s="2" t="str">
        <f>_xlfn.XLOOKUP(Tabla1[[#This Row],[instructor_2]],diccionario_!$A$1:$A$11,diccionario_!$D$1:$D$11,,0)</f>
        <v>Daniel Carvajal B.</v>
      </c>
      <c r="V200" s="2" t="str">
        <f t="shared" si="7"/>
        <v>100%</v>
      </c>
      <c r="W200" s="2" t="s">
        <v>3703</v>
      </c>
    </row>
    <row r="201" spans="1:23" ht="16.5" customHeight="1">
      <c r="A201" s="2">
        <v>316</v>
      </c>
      <c r="B201" s="2" t="s">
        <v>14</v>
      </c>
      <c r="C201" s="2" t="s">
        <v>15</v>
      </c>
      <c r="D201" s="2" t="s">
        <v>9</v>
      </c>
      <c r="E201" s="11">
        <v>45844</v>
      </c>
      <c r="F201" s="14">
        <v>0.39583333333333298</v>
      </c>
      <c r="G201" s="2" t="s">
        <v>805</v>
      </c>
      <c r="H201" s="2" t="s">
        <v>806</v>
      </c>
      <c r="I201" s="2" t="s">
        <v>17</v>
      </c>
      <c r="J201" s="2" t="s">
        <v>3679</v>
      </c>
      <c r="K201" s="2" t="s">
        <v>49</v>
      </c>
      <c r="L201" s="2"/>
      <c r="M201" s="2"/>
      <c r="N201" s="7" t="s">
        <v>49</v>
      </c>
      <c r="O201" s="6">
        <v>1</v>
      </c>
      <c r="P201" s="2" t="s">
        <v>3680</v>
      </c>
      <c r="Q201" s="2" t="str">
        <f>IF(Tabla1[[#This Row],[evaluacion_]]="","",IF(Tabla1[[#This Row],[evaluacion_]]=1,"Habilitado","No Habilitado"))</f>
        <v>No Habilitado</v>
      </c>
      <c r="R201" s="2" t="str">
        <f>IF(Tabla1[[#This Row],[fecha]]="","",TEXT(Tabla1[[#This Row],[fecha]],"DMMAAAA")&amp;TEXT(Tabla1[[#This Row],[hora]],"HHmm"))</f>
        <v/>
      </c>
      <c r="S201" s="19" t="str">
        <f>_xlfn.CONCAT(Tabla1[[#This Row],[codigo_]],Tabla1[[#This Row],[correlativo_]])</f>
        <v>920</v>
      </c>
      <c r="T201" s="2" t="str">
        <f t="shared" si="6"/>
        <v>6 de julio del 2025</v>
      </c>
      <c r="U201" s="2" t="str">
        <f>_xlfn.XLOOKUP(Tabla1[[#This Row],[instructor_2]],diccionario_!$A$1:$A$11,diccionario_!$D$1:$D$11,,0)</f>
        <v>Daniel Carvajal B.</v>
      </c>
      <c r="V201" s="2" t="str">
        <f t="shared" si="7"/>
        <v>100%</v>
      </c>
      <c r="W201" s="2" t="s">
        <v>3703</v>
      </c>
    </row>
    <row r="202" spans="1:23" ht="16.5" customHeight="1">
      <c r="A202" s="2">
        <v>317</v>
      </c>
      <c r="B202" s="2" t="s">
        <v>14</v>
      </c>
      <c r="C202" s="2" t="s">
        <v>15</v>
      </c>
      <c r="D202" s="2" t="s">
        <v>9</v>
      </c>
      <c r="E202" s="11">
        <v>45844</v>
      </c>
      <c r="F202" s="14">
        <v>0.39583333333333298</v>
      </c>
      <c r="G202" s="2" t="s">
        <v>3682</v>
      </c>
      <c r="H202" s="2" t="s">
        <v>3683</v>
      </c>
      <c r="I202" s="2" t="s">
        <v>17</v>
      </c>
      <c r="J202" s="2" t="s">
        <v>3679</v>
      </c>
      <c r="K202" s="2" t="s">
        <v>49</v>
      </c>
      <c r="L202" s="2"/>
      <c r="M202" s="2"/>
      <c r="N202" s="7" t="s">
        <v>49</v>
      </c>
      <c r="O202" s="6">
        <v>1</v>
      </c>
      <c r="P202" s="2" t="s">
        <v>3680</v>
      </c>
      <c r="Q202" s="2" t="str">
        <f>IF(Tabla1[[#This Row],[evaluacion_]]="","",IF(Tabla1[[#This Row],[evaluacion_]]=1,"Habilitado","No Habilitado"))</f>
        <v>No Habilitado</v>
      </c>
      <c r="R202" s="2" t="str">
        <f>IF(Tabla1[[#This Row],[fecha]]="","",TEXT(Tabla1[[#This Row],[fecha]],"DMMAAAA")&amp;TEXT(Tabla1[[#This Row],[hora]],"HHmm"))</f>
        <v/>
      </c>
      <c r="S202" s="19" t="str">
        <f>_xlfn.CONCAT(Tabla1[[#This Row],[codigo_]],Tabla1[[#This Row],[correlativo_]])</f>
        <v>921</v>
      </c>
      <c r="T202" s="2" t="str">
        <f t="shared" si="6"/>
        <v>6 de julio del 2025</v>
      </c>
      <c r="U202" s="2" t="str">
        <f>_xlfn.XLOOKUP(Tabla1[[#This Row],[instructor_2]],diccionario_!$A$1:$A$11,diccionario_!$D$1:$D$11,,0)</f>
        <v>Daniel Carvajal B.</v>
      </c>
      <c r="V202" s="2" t="str">
        <f t="shared" si="7"/>
        <v>100%</v>
      </c>
      <c r="W202" s="2" t="s">
        <v>3703</v>
      </c>
    </row>
    <row r="203" spans="1:23" ht="16.5" customHeight="1">
      <c r="A203" s="2">
        <v>318</v>
      </c>
      <c r="B203" s="2" t="s">
        <v>14</v>
      </c>
      <c r="C203" s="2" t="s">
        <v>15</v>
      </c>
      <c r="D203" s="2" t="s">
        <v>9</v>
      </c>
      <c r="E203" s="11">
        <v>45844</v>
      </c>
      <c r="F203" s="14">
        <v>0.39583333333333298</v>
      </c>
      <c r="G203" s="2" t="s">
        <v>897</v>
      </c>
      <c r="H203" s="2" t="s">
        <v>898</v>
      </c>
      <c r="I203" s="2" t="s">
        <v>17</v>
      </c>
      <c r="J203" s="2" t="s">
        <v>3679</v>
      </c>
      <c r="K203" s="2" t="s">
        <v>49</v>
      </c>
      <c r="L203" s="2"/>
      <c r="M203" s="2"/>
      <c r="N203" s="7" t="s">
        <v>49</v>
      </c>
      <c r="O203" s="6">
        <v>1</v>
      </c>
      <c r="P203" s="2" t="s">
        <v>3680</v>
      </c>
      <c r="Q203" s="2" t="str">
        <f>IF(Tabla1[[#This Row],[evaluacion_]]="","",IF(Tabla1[[#This Row],[evaluacion_]]=1,"Habilitado","No Habilitado"))</f>
        <v>Habilitado</v>
      </c>
      <c r="R203" s="2" t="str">
        <f>IF(Tabla1[[#This Row],[fecha]]="","",TEXT(Tabla1[[#This Row],[fecha]],"DMMAAAA")&amp;TEXT(Tabla1[[#This Row],[hora]],"HHmm"))</f>
        <v>120320261539</v>
      </c>
      <c r="S203" s="19" t="str">
        <f>_xlfn.CONCAT(Tabla1[[#This Row],[codigo_]],Tabla1[[#This Row],[correlativo_]])</f>
        <v>120320261539922</v>
      </c>
      <c r="T203" s="2" t="str">
        <f t="shared" si="6"/>
        <v>6 de julio del 2025</v>
      </c>
      <c r="U203" s="2" t="str">
        <f>_xlfn.XLOOKUP(Tabla1[[#This Row],[instructor_2]],diccionario_!$A$1:$A$11,diccionario_!$D$1:$D$11,,0)</f>
        <v>Daniel Carvajal B.</v>
      </c>
      <c r="V203" s="2" t="str">
        <f t="shared" si="7"/>
        <v>100%</v>
      </c>
      <c r="W203" s="2" t="s">
        <v>3703</v>
      </c>
    </row>
    <row r="204" spans="1:23" ht="16.5" customHeight="1">
      <c r="A204" s="2">
        <v>319</v>
      </c>
      <c r="B204" s="2" t="s">
        <v>14</v>
      </c>
      <c r="C204" s="2" t="s">
        <v>15</v>
      </c>
      <c r="D204" s="2" t="s">
        <v>9</v>
      </c>
      <c r="E204" s="11">
        <v>45844</v>
      </c>
      <c r="F204" s="14">
        <v>0.39583333333333298</v>
      </c>
      <c r="G204" s="2" t="s">
        <v>3684</v>
      </c>
      <c r="H204" s="2" t="s">
        <v>3685</v>
      </c>
      <c r="I204" s="2" t="s">
        <v>17</v>
      </c>
      <c r="J204" s="2" t="s">
        <v>3679</v>
      </c>
      <c r="K204" s="2" t="s">
        <v>49</v>
      </c>
      <c r="L204" s="2"/>
      <c r="M204" s="2"/>
      <c r="N204" s="7" t="s">
        <v>49</v>
      </c>
      <c r="O204" s="6">
        <v>1</v>
      </c>
      <c r="P204" s="2" t="s">
        <v>3680</v>
      </c>
      <c r="Q204" s="2" t="str">
        <f>IF(Tabla1[[#This Row],[evaluacion_]]="","",IF(Tabla1[[#This Row],[evaluacion_]]=1,"Habilitado","No Habilitado"))</f>
        <v>Habilitado</v>
      </c>
      <c r="R204" s="2" t="str">
        <f>IF(Tabla1[[#This Row],[fecha]]="","",TEXT(Tabla1[[#This Row],[fecha]],"DMMAAAA")&amp;TEXT(Tabla1[[#This Row],[hora]],"HHmm"))</f>
        <v>120320261540</v>
      </c>
      <c r="S204" s="19" t="str">
        <f>_xlfn.CONCAT(Tabla1[[#This Row],[codigo_]],Tabla1[[#This Row],[correlativo_]])</f>
        <v>120320261540923</v>
      </c>
      <c r="T204" s="2" t="str">
        <f t="shared" si="6"/>
        <v>6 de julio del 2025</v>
      </c>
      <c r="U204" s="2" t="str">
        <f>_xlfn.XLOOKUP(Tabla1[[#This Row],[instructor_2]],diccionario_!$A$1:$A$11,diccionario_!$D$1:$D$11,,0)</f>
        <v>Daniel Carvajal B.</v>
      </c>
      <c r="V204" s="2" t="str">
        <f t="shared" si="7"/>
        <v>100%</v>
      </c>
      <c r="W204" s="2" t="s">
        <v>3703</v>
      </c>
    </row>
    <row r="205" spans="1:23" ht="16.5" customHeight="1">
      <c r="A205" s="2">
        <v>320</v>
      </c>
      <c r="B205" s="2" t="s">
        <v>14</v>
      </c>
      <c r="C205" s="2" t="s">
        <v>15</v>
      </c>
      <c r="D205" s="2" t="s">
        <v>9</v>
      </c>
      <c r="E205" s="11">
        <v>45844</v>
      </c>
      <c r="F205" s="14">
        <v>0.39583333333333298</v>
      </c>
      <c r="G205" s="2" t="s">
        <v>2677</v>
      </c>
      <c r="H205" s="2" t="s">
        <v>2678</v>
      </c>
      <c r="I205" s="2" t="s">
        <v>17</v>
      </c>
      <c r="J205" s="2" t="s">
        <v>3679</v>
      </c>
      <c r="K205" s="2" t="s">
        <v>49</v>
      </c>
      <c r="L205" s="2"/>
      <c r="M205" s="2"/>
      <c r="N205" s="7" t="s">
        <v>49</v>
      </c>
      <c r="O205" s="6">
        <v>1</v>
      </c>
      <c r="P205" s="2" t="s">
        <v>3680</v>
      </c>
      <c r="Q205" s="2" t="str">
        <f>IF(Tabla1[[#This Row],[evaluacion_]]="","",IF(Tabla1[[#This Row],[evaluacion_]]=1,"Habilitado","No Habilitado"))</f>
        <v>Habilitado</v>
      </c>
      <c r="R205" s="2" t="str">
        <f>IF(Tabla1[[#This Row],[fecha]]="","",TEXT(Tabla1[[#This Row],[fecha]],"DMMAAAA")&amp;TEXT(Tabla1[[#This Row],[hora]],"HHmm"))</f>
        <v>120320261541</v>
      </c>
      <c r="S205" s="19" t="str">
        <f>_xlfn.CONCAT(Tabla1[[#This Row],[codigo_]],Tabla1[[#This Row],[correlativo_]])</f>
        <v>120320261541924</v>
      </c>
      <c r="T205" s="2" t="str">
        <f t="shared" si="6"/>
        <v>6 de julio del 2025</v>
      </c>
      <c r="U205" s="2" t="str">
        <f>_xlfn.XLOOKUP(Tabla1[[#This Row],[instructor_2]],diccionario_!$A$1:$A$11,diccionario_!$D$1:$D$11,,0)</f>
        <v>Daniel Carvajal B.</v>
      </c>
      <c r="V205" s="2" t="str">
        <f t="shared" si="7"/>
        <v>100%</v>
      </c>
      <c r="W205" s="2" t="s">
        <v>3703</v>
      </c>
    </row>
    <row r="206" spans="1:23" ht="16.5" customHeight="1">
      <c r="A206" s="2">
        <v>321</v>
      </c>
      <c r="B206" s="2" t="s">
        <v>14</v>
      </c>
      <c r="C206" s="2" t="s">
        <v>15</v>
      </c>
      <c r="D206" s="2" t="s">
        <v>9</v>
      </c>
      <c r="E206" s="11">
        <v>45844</v>
      </c>
      <c r="F206" s="14">
        <v>0.39583333333333298</v>
      </c>
      <c r="G206" s="2" t="s">
        <v>1863</v>
      </c>
      <c r="H206" s="2" t="s">
        <v>1864</v>
      </c>
      <c r="I206" s="2" t="s">
        <v>17</v>
      </c>
      <c r="J206" s="2" t="s">
        <v>3679</v>
      </c>
      <c r="K206" s="2" t="s">
        <v>49</v>
      </c>
      <c r="L206" s="2"/>
      <c r="M206" s="2"/>
      <c r="N206" s="7" t="s">
        <v>49</v>
      </c>
      <c r="O206" s="6">
        <v>1</v>
      </c>
      <c r="P206" s="2" t="s">
        <v>3680</v>
      </c>
      <c r="Q206" s="2" t="str">
        <f>IF(Tabla1[[#This Row],[evaluacion_]]="","",IF(Tabla1[[#This Row],[evaluacion_]]=1,"Habilitado","No Habilitado"))</f>
        <v>No Habilitado</v>
      </c>
      <c r="R206" s="2" t="str">
        <f>IF(Tabla1[[#This Row],[fecha]]="","",TEXT(Tabla1[[#This Row],[fecha]],"DMMAAAA")&amp;TEXT(Tabla1[[#This Row],[hora]],"HHmm"))</f>
        <v/>
      </c>
      <c r="S206" s="19" t="str">
        <f>_xlfn.CONCAT(Tabla1[[#This Row],[codigo_]],Tabla1[[#This Row],[correlativo_]])</f>
        <v>925</v>
      </c>
      <c r="T206" s="2" t="str">
        <f t="shared" si="6"/>
        <v>6 de julio del 2025</v>
      </c>
      <c r="U206" s="2" t="str">
        <f>_xlfn.XLOOKUP(Tabla1[[#This Row],[instructor_2]],diccionario_!$A$1:$A$11,diccionario_!$D$1:$D$11,,0)</f>
        <v>Guillermo Milla M.</v>
      </c>
      <c r="V206" s="2" t="str">
        <f t="shared" si="7"/>
        <v>100%</v>
      </c>
      <c r="W206" s="2" t="s">
        <v>3703</v>
      </c>
    </row>
    <row r="207" spans="1:23" ht="16.5" customHeight="1">
      <c r="A207" s="2">
        <v>322</v>
      </c>
      <c r="B207" s="2" t="s">
        <v>14</v>
      </c>
      <c r="C207" s="2" t="s">
        <v>15</v>
      </c>
      <c r="D207" s="2" t="s">
        <v>9</v>
      </c>
      <c r="E207" s="11">
        <v>45844</v>
      </c>
      <c r="F207" s="14">
        <v>0.39583333333333298</v>
      </c>
      <c r="G207" s="2" t="s">
        <v>2865</v>
      </c>
      <c r="H207" s="2" t="s">
        <v>2866</v>
      </c>
      <c r="I207" s="2" t="s">
        <v>17</v>
      </c>
      <c r="J207" s="2" t="s">
        <v>3679</v>
      </c>
      <c r="K207" s="2" t="s">
        <v>49</v>
      </c>
      <c r="L207" s="2"/>
      <c r="M207" s="2"/>
      <c r="N207" s="7" t="s">
        <v>49</v>
      </c>
      <c r="O207" s="6">
        <v>1</v>
      </c>
      <c r="P207" s="2" t="s">
        <v>3680</v>
      </c>
      <c r="Q207" s="2" t="str">
        <f>IF(Tabla1[[#This Row],[evaluacion_]]="","",IF(Tabla1[[#This Row],[evaluacion_]]=1,"Habilitado","No Habilitado"))</f>
        <v>No Habilitado</v>
      </c>
      <c r="R207" s="2" t="str">
        <f>IF(Tabla1[[#This Row],[fecha]]="","",TEXT(Tabla1[[#This Row],[fecha]],"DMMAAAA")&amp;TEXT(Tabla1[[#This Row],[hora]],"HHmm"))</f>
        <v/>
      </c>
      <c r="S207" s="19" t="str">
        <f>_xlfn.CONCAT(Tabla1[[#This Row],[codigo_]],Tabla1[[#This Row],[correlativo_]])</f>
        <v>926</v>
      </c>
      <c r="T207" s="2" t="str">
        <f t="shared" si="6"/>
        <v>6 de julio del 2025</v>
      </c>
      <c r="U207" s="2" t="str">
        <f>_xlfn.XLOOKUP(Tabla1[[#This Row],[instructor_2]],diccionario_!$A$1:$A$11,diccionario_!$D$1:$D$11,,0)</f>
        <v>Marcelo Barrera A.</v>
      </c>
      <c r="V207" s="2" t="str">
        <f t="shared" si="7"/>
        <v>100%</v>
      </c>
      <c r="W207" s="2" t="s">
        <v>3703</v>
      </c>
    </row>
    <row r="208" spans="1:23" ht="16.5" customHeight="1">
      <c r="A208" s="2">
        <v>323</v>
      </c>
      <c r="B208" s="2" t="s">
        <v>14</v>
      </c>
      <c r="C208" s="2" t="s">
        <v>15</v>
      </c>
      <c r="D208" s="2" t="s">
        <v>9</v>
      </c>
      <c r="E208" s="11">
        <v>45844</v>
      </c>
      <c r="F208" s="14">
        <v>0.39583333333333298</v>
      </c>
      <c r="G208" s="2" t="s">
        <v>505</v>
      </c>
      <c r="H208" s="2" t="s">
        <v>506</v>
      </c>
      <c r="I208" s="2" t="s">
        <v>17</v>
      </c>
      <c r="J208" s="2" t="s">
        <v>3679</v>
      </c>
      <c r="K208" s="2" t="s">
        <v>49</v>
      </c>
      <c r="L208" s="2"/>
      <c r="M208" s="2"/>
      <c r="N208" s="7" t="s">
        <v>49</v>
      </c>
      <c r="O208" s="6">
        <v>1</v>
      </c>
      <c r="P208" s="2" t="s">
        <v>3680</v>
      </c>
      <c r="Q208" s="2" t="str">
        <f>IF(Tabla1[[#This Row],[evaluacion_]]="","",IF(Tabla1[[#This Row],[evaluacion_]]=1,"Habilitado","No Habilitado"))</f>
        <v>Habilitado</v>
      </c>
      <c r="R208" s="2" t="str">
        <f>IF(Tabla1[[#This Row],[fecha]]="","",TEXT(Tabla1[[#This Row],[fecha]],"DMMAAAA")&amp;TEXT(Tabla1[[#This Row],[hora]],"HHmm"))</f>
        <v>50220261703</v>
      </c>
      <c r="S208" s="19" t="str">
        <f>_xlfn.CONCAT(Tabla1[[#This Row],[codigo_]],Tabla1[[#This Row],[correlativo_]])</f>
        <v>50220261703927</v>
      </c>
      <c r="T208" s="2" t="str">
        <f t="shared" si="6"/>
        <v>6 de julio del 2025</v>
      </c>
      <c r="U208" s="2" t="str">
        <f>_xlfn.XLOOKUP(Tabla1[[#This Row],[instructor_2]],diccionario_!$A$1:$A$11,diccionario_!$D$1:$D$11,,0)</f>
        <v>Daniel Carvajal B.</v>
      </c>
      <c r="V208" s="2" t="str">
        <f t="shared" si="7"/>
        <v>100%</v>
      </c>
      <c r="W208" s="2" t="s">
        <v>3703</v>
      </c>
    </row>
    <row r="209" spans="1:23" ht="16.5" customHeight="1">
      <c r="A209" s="2">
        <v>324</v>
      </c>
      <c r="B209" s="2" t="s">
        <v>14</v>
      </c>
      <c r="C209" s="2" t="s">
        <v>15</v>
      </c>
      <c r="D209" s="2" t="s">
        <v>9</v>
      </c>
      <c r="E209" s="11">
        <v>45844</v>
      </c>
      <c r="F209" s="14">
        <v>0.39583333333333298</v>
      </c>
      <c r="G209" s="2" t="s">
        <v>1396</v>
      </c>
      <c r="H209" s="2" t="s">
        <v>1397</v>
      </c>
      <c r="I209" s="2" t="s">
        <v>17</v>
      </c>
      <c r="J209" s="2" t="s">
        <v>3679</v>
      </c>
      <c r="K209" s="2" t="s">
        <v>49</v>
      </c>
      <c r="L209" s="2"/>
      <c r="M209" s="2"/>
      <c r="N209" s="7" t="s">
        <v>49</v>
      </c>
      <c r="O209" s="6">
        <v>1</v>
      </c>
      <c r="P209" s="2" t="s">
        <v>3680</v>
      </c>
      <c r="Q209" s="2" t="str">
        <f>IF(Tabla1[[#This Row],[evaluacion_]]="","",IF(Tabla1[[#This Row],[evaluacion_]]=1,"Habilitado","No Habilitado"))</f>
        <v>Habilitado</v>
      </c>
      <c r="R209" s="2" t="str">
        <f>IF(Tabla1[[#This Row],[fecha]]="","",TEXT(Tabla1[[#This Row],[fecha]],"DMMAAAA")&amp;TEXT(Tabla1[[#This Row],[hora]],"HHmm"))</f>
        <v>50220261705</v>
      </c>
      <c r="S209" s="19" t="str">
        <f>_xlfn.CONCAT(Tabla1[[#This Row],[codigo_]],Tabla1[[#This Row],[correlativo_]])</f>
        <v>50220261705928</v>
      </c>
      <c r="T209" s="2" t="str">
        <f t="shared" si="6"/>
        <v>6 de julio del 2025</v>
      </c>
      <c r="U209" s="2" t="str">
        <f>_xlfn.XLOOKUP(Tabla1[[#This Row],[instructor_2]],diccionario_!$A$1:$A$11,diccionario_!$D$1:$D$11,,0)</f>
        <v>Daniel Carvajal B.</v>
      </c>
      <c r="V209" s="2" t="str">
        <f t="shared" si="7"/>
        <v>100%</v>
      </c>
      <c r="W209" s="2" t="s">
        <v>3703</v>
      </c>
    </row>
    <row r="210" spans="1:23" ht="16.5" customHeight="1">
      <c r="A210" s="2">
        <v>325</v>
      </c>
      <c r="B210" s="2" t="s">
        <v>7</v>
      </c>
      <c r="C210" s="2" t="s">
        <v>8</v>
      </c>
      <c r="D210" s="2" t="s">
        <v>9</v>
      </c>
      <c r="E210" s="11">
        <v>45852</v>
      </c>
      <c r="F210" s="14">
        <v>0.33333333333333298</v>
      </c>
      <c r="G210" s="2" t="s">
        <v>609</v>
      </c>
      <c r="H210" s="2" t="s">
        <v>610</v>
      </c>
      <c r="I210" s="2" t="s">
        <v>11</v>
      </c>
      <c r="J210" s="2" t="s">
        <v>30</v>
      </c>
      <c r="K210" s="2" t="s">
        <v>3704</v>
      </c>
      <c r="L210" s="2"/>
      <c r="M210" s="2"/>
      <c r="N210" s="7" t="s">
        <v>3704</v>
      </c>
      <c r="O210" s="6">
        <v>1</v>
      </c>
      <c r="P210" s="2" t="s">
        <v>3680</v>
      </c>
      <c r="Q210" s="2" t="str">
        <f>IF(Tabla1[[#This Row],[evaluacion_]]="","",IF(Tabla1[[#This Row],[evaluacion_]]=1,"Habilitado","No Habilitado"))</f>
        <v>Habilitado</v>
      </c>
      <c r="R210" s="2" t="str">
        <f>IF(Tabla1[[#This Row],[fecha]]="","",TEXT(Tabla1[[#This Row],[fecha]],"DMMAAAA")&amp;TEXT(Tabla1[[#This Row],[hora]],"HHmm"))</f>
        <v>50220261708</v>
      </c>
      <c r="S210" s="19" t="str">
        <f>_xlfn.CONCAT(Tabla1[[#This Row],[codigo_]],Tabla1[[#This Row],[correlativo_]])</f>
        <v>50220261708929</v>
      </c>
      <c r="T210" s="2" t="str">
        <f t="shared" si="6"/>
        <v>14 de julio del 2025</v>
      </c>
      <c r="U210" s="2" t="str">
        <f>_xlfn.XLOOKUP(Tabla1[[#This Row],[instructor_2]],diccionario_!$A$1:$A$11,diccionario_!$D$1:$D$11,,0)</f>
        <v>Daniel Carvajal B.</v>
      </c>
      <c r="V210" s="2" t="str">
        <f t="shared" si="7"/>
        <v>100%</v>
      </c>
      <c r="W210" s="2" t="s">
        <v>3705</v>
      </c>
    </row>
    <row r="211" spans="1:23" ht="16.5" customHeight="1">
      <c r="A211" s="2">
        <v>326</v>
      </c>
      <c r="B211" s="2" t="s">
        <v>7</v>
      </c>
      <c r="C211" s="2" t="s">
        <v>8</v>
      </c>
      <c r="D211" s="2" t="s">
        <v>9</v>
      </c>
      <c r="E211" s="11">
        <v>45852</v>
      </c>
      <c r="F211" s="14">
        <v>0.33333333333333298</v>
      </c>
      <c r="G211" s="2" t="s">
        <v>2593</v>
      </c>
      <c r="H211" s="2" t="s">
        <v>2594</v>
      </c>
      <c r="I211" s="2" t="s">
        <v>11</v>
      </c>
      <c r="J211" s="2" t="s">
        <v>30</v>
      </c>
      <c r="K211" s="2" t="s">
        <v>3704</v>
      </c>
      <c r="L211" s="2"/>
      <c r="M211" s="2"/>
      <c r="N211" s="7" t="s">
        <v>3704</v>
      </c>
      <c r="O211" s="6">
        <v>1</v>
      </c>
      <c r="P211" s="2" t="s">
        <v>3680</v>
      </c>
      <c r="Q211" s="2" t="str">
        <f>IF(Tabla1[[#This Row],[evaluacion_]]="","",IF(Tabla1[[#This Row],[evaluacion_]]=1,"Habilitado","No Habilitado"))</f>
        <v>Habilitado</v>
      </c>
      <c r="R211" s="2" t="str">
        <f>IF(Tabla1[[#This Row],[fecha]]="","",TEXT(Tabla1[[#This Row],[fecha]],"DMMAAAA")&amp;TEXT(Tabla1[[#This Row],[hora]],"HHmm"))</f>
        <v>80420260900</v>
      </c>
      <c r="S211" s="19" t="str">
        <f>_xlfn.CONCAT(Tabla1[[#This Row],[codigo_]],Tabla1[[#This Row],[correlativo_]])</f>
        <v>80420260900930</v>
      </c>
      <c r="T211" s="2" t="str">
        <f t="shared" si="6"/>
        <v>14 de julio del 2025</v>
      </c>
      <c r="U211" s="2" t="str">
        <f>_xlfn.XLOOKUP(Tabla1[[#This Row],[instructor_2]],diccionario_!$A$1:$A$11,diccionario_!$D$1:$D$11,,0)</f>
        <v>Guillermo Milla M.</v>
      </c>
      <c r="V211" s="2" t="str">
        <f t="shared" si="7"/>
        <v>100%</v>
      </c>
      <c r="W211" s="2" t="s">
        <v>3705</v>
      </c>
    </row>
    <row r="212" spans="1:23" ht="16.5" customHeight="1">
      <c r="A212" s="2">
        <v>327</v>
      </c>
      <c r="B212" s="2" t="s">
        <v>7</v>
      </c>
      <c r="C212" s="2" t="s">
        <v>8</v>
      </c>
      <c r="D212" s="2" t="s">
        <v>9</v>
      </c>
      <c r="E212" s="11">
        <v>45848</v>
      </c>
      <c r="F212" s="14">
        <v>0.33333333333333298</v>
      </c>
      <c r="G212" s="2" t="s">
        <v>1619</v>
      </c>
      <c r="H212" s="2" t="s">
        <v>1620</v>
      </c>
      <c r="I212" s="2" t="s">
        <v>11</v>
      </c>
      <c r="J212" s="2" t="s">
        <v>30</v>
      </c>
      <c r="K212" s="2" t="s">
        <v>3704</v>
      </c>
      <c r="L212" s="2" t="s">
        <v>31</v>
      </c>
      <c r="M212" s="2" t="s">
        <v>37</v>
      </c>
      <c r="N212" s="7" t="s">
        <v>3706</v>
      </c>
      <c r="O212" s="6">
        <v>1</v>
      </c>
      <c r="P212" s="2" t="s">
        <v>3680</v>
      </c>
      <c r="Q212" s="2" t="str">
        <f>IF(Tabla1[[#This Row],[evaluacion_]]="","",IF(Tabla1[[#This Row],[evaluacion_]]=1,"Habilitado","No Habilitado"))</f>
        <v>Habilitado</v>
      </c>
      <c r="R212" s="2" t="str">
        <f>IF(Tabla1[[#This Row],[fecha]]="","",TEXT(Tabla1[[#This Row],[fecha]],"DMMAAAA")&amp;TEXT(Tabla1[[#This Row],[hora]],"HHmm"))</f>
        <v>160320261000</v>
      </c>
      <c r="S212" s="19" t="str">
        <f>_xlfn.CONCAT(Tabla1[[#This Row],[codigo_]],Tabla1[[#This Row],[correlativo_]])</f>
        <v>160320261000931</v>
      </c>
      <c r="T212" s="2" t="str">
        <f t="shared" si="6"/>
        <v>10 de julio del 2025</v>
      </c>
      <c r="U212" s="2" t="str">
        <f>_xlfn.XLOOKUP(Tabla1[[#This Row],[instructor_2]],diccionario_!$A$1:$A$11,diccionario_!$D$1:$D$11,,0)</f>
        <v>Guillermo Milla M.</v>
      </c>
      <c r="V212" s="2" t="str">
        <f t="shared" si="7"/>
        <v>100%</v>
      </c>
      <c r="W212" s="2" t="s">
        <v>3705</v>
      </c>
    </row>
    <row r="213" spans="1:23" ht="16.5" customHeight="1">
      <c r="A213" s="2">
        <v>328</v>
      </c>
      <c r="B213" s="2" t="s">
        <v>7</v>
      </c>
      <c r="C213" s="2" t="s">
        <v>8</v>
      </c>
      <c r="D213" s="2" t="s">
        <v>9</v>
      </c>
      <c r="E213" s="11">
        <v>45848</v>
      </c>
      <c r="F213" s="14">
        <v>0.33333333333333298</v>
      </c>
      <c r="G213" s="2" t="s">
        <v>1619</v>
      </c>
      <c r="H213" s="2" t="s">
        <v>1620</v>
      </c>
      <c r="I213" s="2" t="s">
        <v>23</v>
      </c>
      <c r="J213" s="2" t="s">
        <v>3679</v>
      </c>
      <c r="K213" s="2" t="s">
        <v>3707</v>
      </c>
      <c r="L213" s="2"/>
      <c r="M213" s="2"/>
      <c r="N213" s="7" t="s">
        <v>3707</v>
      </c>
      <c r="O213" s="6">
        <v>1</v>
      </c>
      <c r="P213" s="2" t="s">
        <v>3680</v>
      </c>
      <c r="Q213" s="2" t="str">
        <f>IF(Tabla1[[#This Row],[evaluacion_]]="","",IF(Tabla1[[#This Row],[evaluacion_]]=1,"Habilitado","No Habilitado"))</f>
        <v>Habilitado</v>
      </c>
      <c r="R213" s="2" t="str">
        <f>IF(Tabla1[[#This Row],[fecha]]="","",TEXT(Tabla1[[#This Row],[fecha]],"DMMAAAA")&amp;TEXT(Tabla1[[#This Row],[hora]],"HHmm"))</f>
        <v>160320261000</v>
      </c>
      <c r="S213" s="19" t="str">
        <f>_xlfn.CONCAT(Tabla1[[#This Row],[codigo_]],Tabla1[[#This Row],[correlativo_]])</f>
        <v>160320261000932</v>
      </c>
      <c r="T213" s="2" t="str">
        <f t="shared" si="6"/>
        <v>10 de julio del 2025</v>
      </c>
      <c r="U213" s="2" t="str">
        <f>_xlfn.XLOOKUP(Tabla1[[#This Row],[instructor_2]],diccionario_!$A$1:$A$11,diccionario_!$D$1:$D$11,,0)</f>
        <v>Guillermo Milla M.</v>
      </c>
      <c r="V213" s="2" t="str">
        <f t="shared" si="7"/>
        <v>100%</v>
      </c>
      <c r="W213" s="2" t="s">
        <v>3705</v>
      </c>
    </row>
    <row r="214" spans="1:23" ht="16.5" customHeight="1">
      <c r="A214" s="2">
        <v>329</v>
      </c>
      <c r="B214" s="2" t="s">
        <v>7</v>
      </c>
      <c r="C214" s="2" t="s">
        <v>8</v>
      </c>
      <c r="D214" s="2" t="s">
        <v>9</v>
      </c>
      <c r="E214" s="11">
        <v>45852</v>
      </c>
      <c r="F214" s="14">
        <v>0.33333333333333298</v>
      </c>
      <c r="G214" s="2" t="s">
        <v>609</v>
      </c>
      <c r="H214" s="2" t="s">
        <v>610</v>
      </c>
      <c r="I214" s="2" t="s">
        <v>11</v>
      </c>
      <c r="J214" s="2" t="s">
        <v>30</v>
      </c>
      <c r="K214" s="2" t="s">
        <v>3704</v>
      </c>
      <c r="L214" s="2"/>
      <c r="M214" s="2"/>
      <c r="N214" s="7" t="s">
        <v>3704</v>
      </c>
      <c r="O214" s="6">
        <v>1</v>
      </c>
      <c r="P214" s="2" t="s">
        <v>3680</v>
      </c>
      <c r="Q214" s="2" t="str">
        <f>IF(Tabla1[[#This Row],[evaluacion_]]="","",IF(Tabla1[[#This Row],[evaluacion_]]=1,"Habilitado","No Habilitado"))</f>
        <v>Habilitado</v>
      </c>
      <c r="R214" s="2" t="str">
        <f>IF(Tabla1[[#This Row],[fecha]]="","",TEXT(Tabla1[[#This Row],[fecha]],"DMMAAAA")&amp;TEXT(Tabla1[[#This Row],[hora]],"HHmm"))</f>
        <v>100420261500</v>
      </c>
      <c r="S214" s="19" t="str">
        <f>_xlfn.CONCAT(Tabla1[[#This Row],[codigo_]],Tabla1[[#This Row],[correlativo_]])</f>
        <v>100420261500933</v>
      </c>
      <c r="T214" s="2" t="str">
        <f t="shared" si="6"/>
        <v>14 de julio del 2025</v>
      </c>
      <c r="U214" s="2" t="str">
        <f>_xlfn.XLOOKUP(Tabla1[[#This Row],[instructor_2]],diccionario_!$A$1:$A$11,diccionario_!$D$1:$D$11,,0)</f>
        <v>Guillermo Milla M.</v>
      </c>
      <c r="V214" s="2" t="str">
        <f t="shared" si="7"/>
        <v>100%</v>
      </c>
      <c r="W214" s="2" t="s">
        <v>3708</v>
      </c>
    </row>
    <row r="215" spans="1:23" ht="16.5" customHeight="1">
      <c r="A215" s="2">
        <v>330</v>
      </c>
      <c r="B215" s="2" t="s">
        <v>7</v>
      </c>
      <c r="C215" s="2" t="s">
        <v>8</v>
      </c>
      <c r="D215" s="2" t="s">
        <v>9</v>
      </c>
      <c r="E215" s="11">
        <v>45852</v>
      </c>
      <c r="F215" s="14">
        <v>0.33333333333333298</v>
      </c>
      <c r="G215" s="2" t="s">
        <v>2593</v>
      </c>
      <c r="H215" s="2" t="s">
        <v>2594</v>
      </c>
      <c r="I215" s="2" t="s">
        <v>11</v>
      </c>
      <c r="J215" s="2" t="s">
        <v>30</v>
      </c>
      <c r="K215" s="2" t="s">
        <v>3704</v>
      </c>
      <c r="L215" s="2"/>
      <c r="M215" s="2"/>
      <c r="N215" s="7" t="s">
        <v>3704</v>
      </c>
      <c r="O215" s="6">
        <v>1</v>
      </c>
      <c r="P215" s="2" t="s">
        <v>3680</v>
      </c>
      <c r="Q215" s="2" t="str">
        <f>IF(Tabla1[[#This Row],[evaluacion_]]="","",IF(Tabla1[[#This Row],[evaluacion_]]=1,"Habilitado","No Habilitado"))</f>
        <v>Habilitado</v>
      </c>
      <c r="R215" s="2" t="str">
        <f>IF(Tabla1[[#This Row],[fecha]]="","",TEXT(Tabla1[[#This Row],[fecha]],"DMMAAAA")&amp;TEXT(Tabla1[[#This Row],[hora]],"HHmm"))</f>
        <v>100420261500</v>
      </c>
      <c r="S215" s="19" t="str">
        <f>_xlfn.CONCAT(Tabla1[[#This Row],[codigo_]],Tabla1[[#This Row],[correlativo_]])</f>
        <v>100420261500934</v>
      </c>
      <c r="T215" s="2" t="str">
        <f t="shared" si="6"/>
        <v>14 de julio del 2025</v>
      </c>
      <c r="U215" s="2" t="str">
        <f>_xlfn.XLOOKUP(Tabla1[[#This Row],[instructor_2]],diccionario_!$A$1:$A$11,diccionario_!$D$1:$D$11,,0)</f>
        <v>Guillermo Milla M.</v>
      </c>
      <c r="V215" s="2" t="str">
        <f t="shared" si="7"/>
        <v>100%</v>
      </c>
      <c r="W215" s="2" t="s">
        <v>3708</v>
      </c>
    </row>
    <row r="216" spans="1:23" ht="16.5" customHeight="1">
      <c r="A216" s="2">
        <v>331</v>
      </c>
      <c r="B216" s="2" t="s">
        <v>7</v>
      </c>
      <c r="C216" s="2" t="s">
        <v>8</v>
      </c>
      <c r="D216" s="2" t="s">
        <v>9</v>
      </c>
      <c r="E216" s="11">
        <v>45848</v>
      </c>
      <c r="F216" s="14">
        <v>0.33333333333333298</v>
      </c>
      <c r="G216" s="2" t="s">
        <v>1619</v>
      </c>
      <c r="H216" s="2" t="s">
        <v>1620</v>
      </c>
      <c r="I216" s="2" t="s">
        <v>11</v>
      </c>
      <c r="J216" s="2" t="s">
        <v>30</v>
      </c>
      <c r="K216" s="2" t="s">
        <v>3704</v>
      </c>
      <c r="L216" s="2" t="s">
        <v>31</v>
      </c>
      <c r="M216" s="2" t="s">
        <v>37</v>
      </c>
      <c r="N216" s="7" t="s">
        <v>3706</v>
      </c>
      <c r="O216" s="6">
        <v>1</v>
      </c>
      <c r="P216" s="2" t="s">
        <v>3680</v>
      </c>
      <c r="Q216" s="2" t="str">
        <f>IF(Tabla1[[#This Row],[evaluacion_]]="","",IF(Tabla1[[#This Row],[evaluacion_]]=1,"Habilitado","No Habilitado"))</f>
        <v>No Habilitado</v>
      </c>
      <c r="R216" s="2" t="str">
        <f>IF(Tabla1[[#This Row],[fecha]]="","",TEXT(Tabla1[[#This Row],[fecha]],"DMMAAAA")&amp;TEXT(Tabla1[[#This Row],[hora]],"HHmm"))</f>
        <v/>
      </c>
      <c r="S216" s="19" t="str">
        <f>_xlfn.CONCAT(Tabla1[[#This Row],[codigo_]],Tabla1[[#This Row],[correlativo_]])</f>
        <v>935</v>
      </c>
      <c r="T216" s="2" t="str">
        <f t="shared" si="6"/>
        <v>10 de julio del 2025</v>
      </c>
      <c r="U216" s="2">
        <f>_xlfn.XLOOKUP(Tabla1[[#This Row],[instructor_2]],diccionario_!$A$1:$A$11,diccionario_!$D$1:$D$11,,0)</f>
        <v>0</v>
      </c>
      <c r="V216" s="2" t="str">
        <f t="shared" si="7"/>
        <v>100%</v>
      </c>
      <c r="W216" s="2" t="s">
        <v>3708</v>
      </c>
    </row>
    <row r="217" spans="1:23" ht="16.5" customHeight="1">
      <c r="A217" s="2">
        <v>332</v>
      </c>
      <c r="B217" s="2" t="s">
        <v>7</v>
      </c>
      <c r="C217" s="2" t="s">
        <v>8</v>
      </c>
      <c r="D217" s="2" t="s">
        <v>9</v>
      </c>
      <c r="E217" s="11">
        <v>45848</v>
      </c>
      <c r="F217" s="14">
        <v>0.33333333333333298</v>
      </c>
      <c r="G217" s="2" t="s">
        <v>1619</v>
      </c>
      <c r="H217" s="2" t="s">
        <v>1620</v>
      </c>
      <c r="I217" s="2" t="s">
        <v>23</v>
      </c>
      <c r="J217" s="2" t="s">
        <v>3679</v>
      </c>
      <c r="K217" s="2" t="s">
        <v>3707</v>
      </c>
      <c r="L217" s="2"/>
      <c r="M217" s="2"/>
      <c r="N217" s="7" t="s">
        <v>3707</v>
      </c>
      <c r="O217" s="6">
        <v>1</v>
      </c>
      <c r="P217" s="2" t="s">
        <v>3680</v>
      </c>
      <c r="Q217" s="2" t="str">
        <f>IF(Tabla1[[#This Row],[evaluacion_]]="","",IF(Tabla1[[#This Row],[evaluacion_]]=1,"Habilitado","No Habilitado"))</f>
        <v>No Habilitado</v>
      </c>
      <c r="R217" s="2" t="str">
        <f>IF(Tabla1[[#This Row],[fecha]]="","",TEXT(Tabla1[[#This Row],[fecha]],"DMMAAAA")&amp;TEXT(Tabla1[[#This Row],[hora]],"HHmm"))</f>
        <v/>
      </c>
      <c r="S217" s="19" t="str">
        <f>_xlfn.CONCAT(Tabla1[[#This Row],[codigo_]],Tabla1[[#This Row],[correlativo_]])</f>
        <v>936</v>
      </c>
      <c r="T217" s="2" t="str">
        <f t="shared" si="6"/>
        <v>10 de julio del 2025</v>
      </c>
      <c r="U217" s="2">
        <f>_xlfn.XLOOKUP(Tabla1[[#This Row],[instructor_2]],diccionario_!$A$1:$A$11,diccionario_!$D$1:$D$11,,0)</f>
        <v>0</v>
      </c>
      <c r="V217" s="2" t="str">
        <f t="shared" si="7"/>
        <v>100%</v>
      </c>
      <c r="W217" s="2" t="s">
        <v>3708</v>
      </c>
    </row>
    <row r="218" spans="1:23" ht="16.5" customHeight="1">
      <c r="A218" s="2">
        <v>333</v>
      </c>
      <c r="B218" s="2" t="s">
        <v>7</v>
      </c>
      <c r="C218" s="2" t="s">
        <v>8</v>
      </c>
      <c r="D218" s="2" t="s">
        <v>9</v>
      </c>
      <c r="E218" s="11">
        <v>45852</v>
      </c>
      <c r="F218" s="14">
        <v>0.33333333333333298</v>
      </c>
      <c r="G218" s="2" t="s">
        <v>609</v>
      </c>
      <c r="H218" s="2" t="s">
        <v>610</v>
      </c>
      <c r="I218" s="2" t="s">
        <v>11</v>
      </c>
      <c r="J218" s="2" t="s">
        <v>30</v>
      </c>
      <c r="K218" s="2" t="s">
        <v>3704</v>
      </c>
      <c r="L218" s="2"/>
      <c r="M218" s="2"/>
      <c r="N218" s="7" t="s">
        <v>3704</v>
      </c>
      <c r="O218" s="6">
        <v>1</v>
      </c>
      <c r="P218" s="2" t="s">
        <v>3680</v>
      </c>
      <c r="Q218" s="2" t="str">
        <f>IF(Tabla1[[#This Row],[evaluacion_]]="","",IF(Tabla1[[#This Row],[evaluacion_]]=1,"Habilitado","No Habilitado"))</f>
        <v>No Habilitado</v>
      </c>
      <c r="R218" s="2" t="str">
        <f>IF(Tabla1[[#This Row],[fecha]]="","",TEXT(Tabla1[[#This Row],[fecha]],"DMMAAAA")&amp;TEXT(Tabla1[[#This Row],[hora]],"HHmm"))</f>
        <v/>
      </c>
      <c r="S218" s="19" t="str">
        <f>_xlfn.CONCAT(Tabla1[[#This Row],[codigo_]],Tabla1[[#This Row],[correlativo_]])</f>
        <v>937</v>
      </c>
      <c r="T218" s="2" t="str">
        <f t="shared" si="6"/>
        <v>14 de julio del 2025</v>
      </c>
      <c r="U218" s="2">
        <f>_xlfn.XLOOKUP(Tabla1[[#This Row],[instructor_2]],diccionario_!$A$1:$A$11,diccionario_!$D$1:$D$11,,0)</f>
        <v>0</v>
      </c>
      <c r="V218" s="2" t="str">
        <f t="shared" si="7"/>
        <v>100%</v>
      </c>
      <c r="W218" s="2" t="s">
        <v>3709</v>
      </c>
    </row>
    <row r="219" spans="1:23" ht="16.5" customHeight="1">
      <c r="A219" s="2">
        <v>334</v>
      </c>
      <c r="B219" s="2" t="s">
        <v>7</v>
      </c>
      <c r="C219" s="2" t="s">
        <v>8</v>
      </c>
      <c r="D219" s="2" t="s">
        <v>9</v>
      </c>
      <c r="E219" s="11">
        <v>45852</v>
      </c>
      <c r="F219" s="14">
        <v>0.33333333333333298</v>
      </c>
      <c r="G219" s="2" t="s">
        <v>2593</v>
      </c>
      <c r="H219" s="2" t="s">
        <v>2594</v>
      </c>
      <c r="I219" s="2" t="s">
        <v>11</v>
      </c>
      <c r="J219" s="2" t="s">
        <v>30</v>
      </c>
      <c r="K219" s="2" t="s">
        <v>3704</v>
      </c>
      <c r="L219" s="2"/>
      <c r="M219" s="2"/>
      <c r="N219" s="7" t="s">
        <v>3704</v>
      </c>
      <c r="O219" s="6">
        <v>1</v>
      </c>
      <c r="P219" s="2" t="s">
        <v>3680</v>
      </c>
      <c r="Q219" s="2" t="str">
        <f>IF(Tabla1[[#This Row],[evaluacion_]]="","",IF(Tabla1[[#This Row],[evaluacion_]]=1,"Habilitado","No Habilitado"))</f>
        <v>No Habilitado</v>
      </c>
      <c r="R219" s="2" t="str">
        <f>IF(Tabla1[[#This Row],[fecha]]="","",TEXT(Tabla1[[#This Row],[fecha]],"DMMAAAA")&amp;TEXT(Tabla1[[#This Row],[hora]],"HHmm"))</f>
        <v/>
      </c>
      <c r="S219" s="19" t="str">
        <f>_xlfn.CONCAT(Tabla1[[#This Row],[codigo_]],Tabla1[[#This Row],[correlativo_]])</f>
        <v>938</v>
      </c>
      <c r="T219" s="2" t="str">
        <f t="shared" si="6"/>
        <v>14 de julio del 2025</v>
      </c>
      <c r="U219" s="2">
        <f>_xlfn.XLOOKUP(Tabla1[[#This Row],[instructor_2]],diccionario_!$A$1:$A$11,diccionario_!$D$1:$D$11,,0)</f>
        <v>0</v>
      </c>
      <c r="V219" s="2" t="str">
        <f t="shared" si="7"/>
        <v>100%</v>
      </c>
      <c r="W219" s="2" t="s">
        <v>3709</v>
      </c>
    </row>
    <row r="220" spans="1:23" ht="16.5" customHeight="1">
      <c r="A220" s="2">
        <v>335</v>
      </c>
      <c r="B220" s="2" t="s">
        <v>7</v>
      </c>
      <c r="C220" s="2" t="s">
        <v>8</v>
      </c>
      <c r="D220" s="2" t="s">
        <v>9</v>
      </c>
      <c r="E220" s="11">
        <v>45848</v>
      </c>
      <c r="F220" s="14">
        <v>0.33333333333333298</v>
      </c>
      <c r="G220" s="2" t="s">
        <v>1619</v>
      </c>
      <c r="H220" s="2" t="s">
        <v>1620</v>
      </c>
      <c r="I220" s="2" t="s">
        <v>11</v>
      </c>
      <c r="J220" s="2" t="s">
        <v>30</v>
      </c>
      <c r="K220" s="2" t="s">
        <v>3704</v>
      </c>
      <c r="L220" s="2" t="s">
        <v>31</v>
      </c>
      <c r="M220" s="2" t="s">
        <v>37</v>
      </c>
      <c r="N220" s="7" t="s">
        <v>3706</v>
      </c>
      <c r="O220" s="6">
        <v>1</v>
      </c>
      <c r="P220" s="2" t="s">
        <v>3680</v>
      </c>
      <c r="Q220" s="2" t="str">
        <f>IF(Tabla1[[#This Row],[evaluacion_]]="","",IF(Tabla1[[#This Row],[evaluacion_]]=1,"Habilitado","No Habilitado"))</f>
        <v>No Habilitado</v>
      </c>
      <c r="R220" s="2" t="str">
        <f>IF(Tabla1[[#This Row],[fecha]]="","",TEXT(Tabla1[[#This Row],[fecha]],"DMMAAAA")&amp;TEXT(Tabla1[[#This Row],[hora]],"HHmm"))</f>
        <v/>
      </c>
      <c r="S220" s="19" t="str">
        <f>_xlfn.CONCAT(Tabla1[[#This Row],[codigo_]],Tabla1[[#This Row],[correlativo_]])</f>
        <v>939</v>
      </c>
      <c r="T220" s="2" t="str">
        <f t="shared" si="6"/>
        <v>10 de julio del 2025</v>
      </c>
      <c r="U220" s="2">
        <f>_xlfn.XLOOKUP(Tabla1[[#This Row],[instructor_2]],diccionario_!$A$1:$A$11,diccionario_!$D$1:$D$11,,0)</f>
        <v>0</v>
      </c>
      <c r="V220" s="2" t="str">
        <f t="shared" si="7"/>
        <v>100%</v>
      </c>
      <c r="W220" s="2" t="s">
        <v>3709</v>
      </c>
    </row>
    <row r="221" spans="1:23" ht="16.5" customHeight="1">
      <c r="A221" s="2">
        <v>336</v>
      </c>
      <c r="B221" s="2" t="s">
        <v>7</v>
      </c>
      <c r="C221" s="2" t="s">
        <v>8</v>
      </c>
      <c r="D221" s="2" t="s">
        <v>9</v>
      </c>
      <c r="E221" s="11">
        <v>45848</v>
      </c>
      <c r="F221" s="14">
        <v>0.33333333333333298</v>
      </c>
      <c r="G221" s="2" t="s">
        <v>1619</v>
      </c>
      <c r="H221" s="2" t="s">
        <v>1620</v>
      </c>
      <c r="I221" s="2" t="s">
        <v>23</v>
      </c>
      <c r="J221" s="2" t="s">
        <v>3679</v>
      </c>
      <c r="K221" s="2" t="s">
        <v>3707</v>
      </c>
      <c r="L221" s="2"/>
      <c r="M221" s="2"/>
      <c r="N221" s="7" t="s">
        <v>3707</v>
      </c>
      <c r="O221" s="6">
        <v>1</v>
      </c>
      <c r="P221" s="2" t="s">
        <v>3680</v>
      </c>
      <c r="Q221" s="2" t="str">
        <f>IF(Tabla1[[#This Row],[evaluacion_]]="","",IF(Tabla1[[#This Row],[evaluacion_]]=1,"Habilitado","No Habilitado"))</f>
        <v>No Habilitado</v>
      </c>
      <c r="R221" s="2" t="str">
        <f>IF(Tabla1[[#This Row],[fecha]]="","",TEXT(Tabla1[[#This Row],[fecha]],"DMMAAAA")&amp;TEXT(Tabla1[[#This Row],[hora]],"HHmm"))</f>
        <v/>
      </c>
      <c r="S221" s="19" t="str">
        <f>_xlfn.CONCAT(Tabla1[[#This Row],[codigo_]],Tabla1[[#This Row],[correlativo_]])</f>
        <v>940</v>
      </c>
      <c r="T221" s="2" t="str">
        <f t="shared" si="6"/>
        <v>10 de julio del 2025</v>
      </c>
      <c r="U221" s="2">
        <f>_xlfn.XLOOKUP(Tabla1[[#This Row],[instructor_2]],diccionario_!$A$1:$A$11,diccionario_!$D$1:$D$11,,0)</f>
        <v>0</v>
      </c>
      <c r="V221" s="2" t="str">
        <f t="shared" si="7"/>
        <v>100%</v>
      </c>
      <c r="W221" s="2" t="s">
        <v>3709</v>
      </c>
    </row>
    <row r="222" spans="1:23" ht="16.5" customHeight="1">
      <c r="A222" s="2">
        <v>337</v>
      </c>
      <c r="B222" s="2" t="s">
        <v>32</v>
      </c>
      <c r="C222" s="2" t="s">
        <v>33</v>
      </c>
      <c r="D222" s="2" t="s">
        <v>9</v>
      </c>
      <c r="E222" s="11">
        <v>45855</v>
      </c>
      <c r="F222" s="14">
        <v>0.41666666666666702</v>
      </c>
      <c r="G222" s="2" t="s">
        <v>421</v>
      </c>
      <c r="H222" s="2" t="s">
        <v>422</v>
      </c>
      <c r="I222" s="2" t="s">
        <v>11</v>
      </c>
      <c r="J222" s="2" t="s">
        <v>30</v>
      </c>
      <c r="K222" s="2" t="s">
        <v>37</v>
      </c>
      <c r="L222" s="2"/>
      <c r="M222" s="2"/>
      <c r="N222" s="7" t="s">
        <v>37</v>
      </c>
      <c r="O222" s="6">
        <v>1</v>
      </c>
      <c r="P222" s="2" t="s">
        <v>3680</v>
      </c>
      <c r="Q222" s="2" t="str">
        <f>IF(Tabla1[[#This Row],[evaluacion_]]="","",IF(Tabla1[[#This Row],[evaluacion_]]=1,"Habilitado","No Habilitado"))</f>
        <v>No Habilitado</v>
      </c>
      <c r="R222" s="2" t="str">
        <f>IF(Tabla1[[#This Row],[fecha]]="","",TEXT(Tabla1[[#This Row],[fecha]],"DMMAAAA")&amp;TEXT(Tabla1[[#This Row],[hora]],"HHmm"))</f>
        <v/>
      </c>
      <c r="S222" s="19" t="str">
        <f>_xlfn.CONCAT(Tabla1[[#This Row],[codigo_]],Tabla1[[#This Row],[correlativo_]])</f>
        <v>941</v>
      </c>
      <c r="T222" s="2" t="str">
        <f t="shared" si="6"/>
        <v>17 de julio del 2025</v>
      </c>
      <c r="U222" s="2" t="str">
        <f>_xlfn.XLOOKUP(Tabla1[[#This Row],[instructor_2]],diccionario_!$A$1:$A$11,diccionario_!$D$1:$D$11,,0)</f>
        <v>Guillermo Milla M.</v>
      </c>
      <c r="V222" s="2" t="str">
        <f t="shared" si="7"/>
        <v>100%</v>
      </c>
      <c r="W222" s="2" t="s">
        <v>3710</v>
      </c>
    </row>
    <row r="223" spans="1:23" ht="16.5" customHeight="1">
      <c r="A223" s="2">
        <v>338</v>
      </c>
      <c r="B223" s="2" t="s">
        <v>32</v>
      </c>
      <c r="C223" s="2" t="s">
        <v>33</v>
      </c>
      <c r="D223" s="2" t="s">
        <v>9</v>
      </c>
      <c r="E223" s="11">
        <v>45855</v>
      </c>
      <c r="F223" s="14">
        <v>0.41666666666666702</v>
      </c>
      <c r="G223" s="2" t="s">
        <v>2439</v>
      </c>
      <c r="H223" s="2" t="s">
        <v>2440</v>
      </c>
      <c r="I223" s="2" t="s">
        <v>11</v>
      </c>
      <c r="J223" s="2" t="s">
        <v>30</v>
      </c>
      <c r="K223" s="2" t="s">
        <v>37</v>
      </c>
      <c r="L223" s="2"/>
      <c r="M223" s="2"/>
      <c r="N223" s="7" t="s">
        <v>37</v>
      </c>
      <c r="O223" s="6">
        <v>1</v>
      </c>
      <c r="P223" s="2" t="s">
        <v>3680</v>
      </c>
      <c r="Q223" s="2" t="str">
        <f>IF(Tabla1[[#This Row],[evaluacion_]]="","",IF(Tabla1[[#This Row],[evaluacion_]]=1,"Habilitado","No Habilitado"))</f>
        <v>No Habilitado</v>
      </c>
      <c r="R223" s="2" t="str">
        <f>IF(Tabla1[[#This Row],[fecha]]="","",TEXT(Tabla1[[#This Row],[fecha]],"DMMAAAA")&amp;TEXT(Tabla1[[#This Row],[hora]],"HHmm"))</f>
        <v/>
      </c>
      <c r="S223" s="19" t="str">
        <f>_xlfn.CONCAT(Tabla1[[#This Row],[codigo_]],Tabla1[[#This Row],[correlativo_]])</f>
        <v>942</v>
      </c>
      <c r="T223" s="2" t="str">
        <f t="shared" si="6"/>
        <v>17 de julio del 2025</v>
      </c>
      <c r="U223" s="2" t="str">
        <f>_xlfn.XLOOKUP(Tabla1[[#This Row],[instructor_2]],diccionario_!$A$1:$A$11,diccionario_!$D$1:$D$11,,0)</f>
        <v>Guillermo Milla M.</v>
      </c>
      <c r="V223" s="2" t="str">
        <f t="shared" si="7"/>
        <v>100%</v>
      </c>
      <c r="W223" s="2" t="s">
        <v>3710</v>
      </c>
    </row>
    <row r="224" spans="1:23" ht="16.5" customHeight="1">
      <c r="A224" s="2">
        <v>339</v>
      </c>
      <c r="B224" s="2" t="s">
        <v>14</v>
      </c>
      <c r="C224" s="2" t="s">
        <v>15</v>
      </c>
      <c r="D224" s="2" t="s">
        <v>9</v>
      </c>
      <c r="E224" s="11">
        <v>45848</v>
      </c>
      <c r="F224" s="14">
        <v>0.70833333333333304</v>
      </c>
      <c r="G224" s="2" t="s">
        <v>776</v>
      </c>
      <c r="H224" s="2" t="s">
        <v>777</v>
      </c>
      <c r="I224" s="2" t="s">
        <v>11</v>
      </c>
      <c r="J224" s="2" t="s">
        <v>24</v>
      </c>
      <c r="K224" s="2" t="s">
        <v>19</v>
      </c>
      <c r="L224" s="2" t="s">
        <v>13</v>
      </c>
      <c r="M224" s="2"/>
      <c r="N224" s="7" t="s">
        <v>3548</v>
      </c>
      <c r="O224" s="6">
        <v>1</v>
      </c>
      <c r="P224" s="2" t="s">
        <v>3680</v>
      </c>
      <c r="Q224" s="2" t="str">
        <f>IF(Tabla1[[#This Row],[evaluacion_]]="","",IF(Tabla1[[#This Row],[evaluacion_]]=1,"Habilitado","No Habilitado"))</f>
        <v>No Habilitado</v>
      </c>
      <c r="R224" s="2" t="str">
        <f>IF(Tabla1[[#This Row],[fecha]]="","",TEXT(Tabla1[[#This Row],[fecha]],"DMMAAAA")&amp;TEXT(Tabla1[[#This Row],[hora]],"HHmm"))</f>
        <v/>
      </c>
      <c r="S224" s="19" t="str">
        <f>_xlfn.CONCAT(Tabla1[[#This Row],[codigo_]],Tabla1[[#This Row],[correlativo_]])</f>
        <v>943</v>
      </c>
      <c r="T224" s="2" t="str">
        <f t="shared" si="6"/>
        <v>10 de julio del 2025</v>
      </c>
      <c r="U224" s="2" t="str">
        <f>_xlfn.XLOOKUP(Tabla1[[#This Row],[instructor_2]],diccionario_!$A$1:$A$11,diccionario_!$D$1:$D$11,,0)</f>
        <v>Guillermo Milla M.</v>
      </c>
      <c r="V224" s="2" t="str">
        <f t="shared" si="7"/>
        <v>100%</v>
      </c>
      <c r="W224" s="2" t="s">
        <v>3711</v>
      </c>
    </row>
    <row r="225" spans="1:23" ht="16.5" customHeight="1">
      <c r="A225" s="2">
        <v>340</v>
      </c>
      <c r="B225" s="2" t="s">
        <v>14</v>
      </c>
      <c r="C225" s="2" t="s">
        <v>15</v>
      </c>
      <c r="D225" s="2" t="s">
        <v>9</v>
      </c>
      <c r="E225" s="11">
        <v>45848</v>
      </c>
      <c r="F225" s="14">
        <v>0.71041666666666703</v>
      </c>
      <c r="G225" s="2" t="s">
        <v>3439</v>
      </c>
      <c r="H225" s="2" t="s">
        <v>3440</v>
      </c>
      <c r="I225" s="2" t="s">
        <v>11</v>
      </c>
      <c r="J225" s="2" t="s">
        <v>24</v>
      </c>
      <c r="K225" s="2" t="s">
        <v>19</v>
      </c>
      <c r="L225" s="2" t="s">
        <v>13</v>
      </c>
      <c r="M225" s="2"/>
      <c r="N225" s="7" t="s">
        <v>3548</v>
      </c>
      <c r="O225" s="6">
        <v>1</v>
      </c>
      <c r="P225" s="2" t="s">
        <v>3680</v>
      </c>
      <c r="Q225" s="2" t="str">
        <f>IF(Tabla1[[#This Row],[evaluacion_]]="","",IF(Tabla1[[#This Row],[evaluacion_]]=1,"Habilitado","No Habilitado"))</f>
        <v>No Habilitado</v>
      </c>
      <c r="R225" s="2" t="str">
        <f>IF(Tabla1[[#This Row],[fecha]]="","",TEXT(Tabla1[[#This Row],[fecha]],"DMMAAAA")&amp;TEXT(Tabla1[[#This Row],[hora]],"HHmm"))</f>
        <v/>
      </c>
      <c r="S225" s="19" t="str">
        <f>_xlfn.CONCAT(Tabla1[[#This Row],[codigo_]],Tabla1[[#This Row],[correlativo_]])</f>
        <v>944</v>
      </c>
      <c r="T225" s="2" t="str">
        <f t="shared" si="6"/>
        <v>10 de julio del 2025</v>
      </c>
      <c r="U225" s="2" t="str">
        <f>_xlfn.XLOOKUP(Tabla1[[#This Row],[instructor_2]],diccionario_!$A$1:$A$11,diccionario_!$D$1:$D$11,,0)</f>
        <v>Guillermo Milla M.</v>
      </c>
      <c r="V225" s="2" t="str">
        <f t="shared" si="7"/>
        <v>100%</v>
      </c>
      <c r="W225" s="2" t="s">
        <v>3711</v>
      </c>
    </row>
    <row r="226" spans="1:23" ht="16.5" customHeight="1">
      <c r="A226" s="2">
        <v>341</v>
      </c>
      <c r="B226" s="2" t="s">
        <v>7</v>
      </c>
      <c r="C226" s="2" t="s">
        <v>8</v>
      </c>
      <c r="D226" s="2" t="s">
        <v>9</v>
      </c>
      <c r="E226" s="11">
        <v>45854</v>
      </c>
      <c r="F226" s="14">
        <v>0.41666666666666702</v>
      </c>
      <c r="G226" s="2" t="s">
        <v>327</v>
      </c>
      <c r="H226" s="2" t="s">
        <v>328</v>
      </c>
      <c r="I226" s="2" t="s">
        <v>11</v>
      </c>
      <c r="J226" s="2" t="s">
        <v>30</v>
      </c>
      <c r="K226" s="2" t="s">
        <v>37</v>
      </c>
      <c r="L226" s="2"/>
      <c r="M226" s="2"/>
      <c r="N226" s="7" t="s">
        <v>37</v>
      </c>
      <c r="O226" s="6">
        <v>1</v>
      </c>
      <c r="P226" s="2" t="s">
        <v>3680</v>
      </c>
      <c r="Q226" s="2" t="str">
        <f>IF(Tabla1[[#This Row],[evaluacion_]]="","",IF(Tabla1[[#This Row],[evaluacion_]]=1,"Habilitado","No Habilitado"))</f>
        <v>No Habilitado</v>
      </c>
      <c r="R226" s="2" t="str">
        <f>IF(Tabla1[[#This Row],[fecha]]="","",TEXT(Tabla1[[#This Row],[fecha]],"DMMAAAA")&amp;TEXT(Tabla1[[#This Row],[hora]],"HHmm"))</f>
        <v/>
      </c>
      <c r="S226" s="19" t="str">
        <f>_xlfn.CONCAT(Tabla1[[#This Row],[codigo_]],Tabla1[[#This Row],[correlativo_]])</f>
        <v>945</v>
      </c>
      <c r="T226" s="2" t="str">
        <f t="shared" si="6"/>
        <v>16 de julio del 2025</v>
      </c>
      <c r="U226" s="2" t="str">
        <f>_xlfn.XLOOKUP(Tabla1[[#This Row],[instructor_2]],diccionario_!$A$1:$A$11,diccionario_!$D$1:$D$11,,0)</f>
        <v>Guillermo Milla M.</v>
      </c>
      <c r="V226" s="2" t="str">
        <f t="shared" si="7"/>
        <v>100%</v>
      </c>
      <c r="W226" s="2" t="s">
        <v>3712</v>
      </c>
    </row>
    <row r="227" spans="1:23" ht="16.5" customHeight="1">
      <c r="A227" s="2">
        <v>342</v>
      </c>
      <c r="B227" s="2" t="s">
        <v>7</v>
      </c>
      <c r="C227" s="2" t="s">
        <v>8</v>
      </c>
      <c r="D227" s="2" t="s">
        <v>9</v>
      </c>
      <c r="E227" s="11">
        <v>45854</v>
      </c>
      <c r="F227" s="14">
        <v>0.41666666666666702</v>
      </c>
      <c r="G227" s="2" t="s">
        <v>3375</v>
      </c>
      <c r="H227" s="2" t="s">
        <v>3376</v>
      </c>
      <c r="I227" s="2" t="s">
        <v>11</v>
      </c>
      <c r="J227" s="2" t="s">
        <v>30</v>
      </c>
      <c r="K227" s="2" t="s">
        <v>37</v>
      </c>
      <c r="L227" s="2" t="s">
        <v>25</v>
      </c>
      <c r="M227" s="2"/>
      <c r="N227" s="7" t="s">
        <v>3526</v>
      </c>
      <c r="O227" s="6">
        <v>1</v>
      </c>
      <c r="P227" s="2" t="s">
        <v>3680</v>
      </c>
      <c r="Q227" s="2" t="str">
        <f>IF(Tabla1[[#This Row],[evaluacion_]]="","",IF(Tabla1[[#This Row],[evaluacion_]]=1,"Habilitado","No Habilitado"))</f>
        <v>No Habilitado</v>
      </c>
      <c r="R227" s="2" t="str">
        <f>IF(Tabla1[[#This Row],[fecha]]="","",TEXT(Tabla1[[#This Row],[fecha]],"DMMAAAA")&amp;TEXT(Tabla1[[#This Row],[hora]],"HHmm"))</f>
        <v/>
      </c>
      <c r="S227" s="19" t="str">
        <f>_xlfn.CONCAT(Tabla1[[#This Row],[codigo_]],Tabla1[[#This Row],[correlativo_]])</f>
        <v>946</v>
      </c>
      <c r="T227" s="2" t="str">
        <f t="shared" si="6"/>
        <v>16 de julio del 2025</v>
      </c>
      <c r="U227" s="2" t="str">
        <f>_xlfn.XLOOKUP(Tabla1[[#This Row],[instructor_2]],diccionario_!$A$1:$A$11,diccionario_!$D$1:$D$11,,0)</f>
        <v>Guillermo Milla M.</v>
      </c>
      <c r="V227" s="2" t="str">
        <f t="shared" si="7"/>
        <v>100%</v>
      </c>
      <c r="W227" s="2" t="s">
        <v>3712</v>
      </c>
    </row>
    <row r="228" spans="1:23" ht="16.5" customHeight="1">
      <c r="A228" s="2">
        <v>343</v>
      </c>
      <c r="B228" s="2" t="s">
        <v>7</v>
      </c>
      <c r="C228" s="2" t="s">
        <v>8</v>
      </c>
      <c r="D228" s="2" t="s">
        <v>9</v>
      </c>
      <c r="E228" s="11">
        <v>45854</v>
      </c>
      <c r="F228" s="14">
        <v>0.41666666666666702</v>
      </c>
      <c r="G228" s="2" t="s">
        <v>3375</v>
      </c>
      <c r="H228" s="2" t="s">
        <v>3376</v>
      </c>
      <c r="I228" s="2" t="s">
        <v>17</v>
      </c>
      <c r="J228" s="2" t="s">
        <v>12</v>
      </c>
      <c r="K228" s="2" t="s">
        <v>49</v>
      </c>
      <c r="L228" s="2"/>
      <c r="M228" s="2"/>
      <c r="N228" s="7" t="s">
        <v>49</v>
      </c>
      <c r="O228" s="6">
        <v>1</v>
      </c>
      <c r="P228" s="2" t="s">
        <v>3680</v>
      </c>
      <c r="Q228" s="2" t="str">
        <f>IF(Tabla1[[#This Row],[evaluacion_]]="","",IF(Tabla1[[#This Row],[evaluacion_]]=1,"Habilitado","No Habilitado"))</f>
        <v>No Habilitado</v>
      </c>
      <c r="R228" s="2" t="str">
        <f>IF(Tabla1[[#This Row],[fecha]]="","",TEXT(Tabla1[[#This Row],[fecha]],"DMMAAAA")&amp;TEXT(Tabla1[[#This Row],[hora]],"HHmm"))</f>
        <v/>
      </c>
      <c r="S228" s="19" t="str">
        <f>_xlfn.CONCAT(Tabla1[[#This Row],[codigo_]],Tabla1[[#This Row],[correlativo_]])</f>
        <v>947</v>
      </c>
      <c r="T228" s="2" t="str">
        <f t="shared" si="6"/>
        <v>16 de julio del 2025</v>
      </c>
      <c r="U228" s="2" t="str">
        <f>_xlfn.XLOOKUP(Tabla1[[#This Row],[instructor_2]],diccionario_!$A$1:$A$11,diccionario_!$D$1:$D$11,,0)</f>
        <v>Guillermo Milla M.</v>
      </c>
      <c r="V228" s="2" t="str">
        <f t="shared" si="7"/>
        <v>100%</v>
      </c>
      <c r="W228" s="2" t="s">
        <v>3712</v>
      </c>
    </row>
    <row r="229" spans="1:23" ht="16.5" customHeight="1">
      <c r="A229" s="2">
        <v>344</v>
      </c>
      <c r="B229" s="2" t="s">
        <v>7</v>
      </c>
      <c r="C229" s="2" t="s">
        <v>8</v>
      </c>
      <c r="D229" s="2" t="s">
        <v>9</v>
      </c>
      <c r="E229" s="11">
        <v>45854</v>
      </c>
      <c r="F229" s="14">
        <v>0.41666666666666702</v>
      </c>
      <c r="G229" s="2" t="s">
        <v>2756</v>
      </c>
      <c r="H229" s="2" t="s">
        <v>2757</v>
      </c>
      <c r="I229" s="2" t="s">
        <v>11</v>
      </c>
      <c r="J229" s="2" t="s">
        <v>30</v>
      </c>
      <c r="K229" s="2" t="s">
        <v>37</v>
      </c>
      <c r="L229" s="2" t="s">
        <v>25</v>
      </c>
      <c r="M229" s="2"/>
      <c r="N229" s="7" t="s">
        <v>3526</v>
      </c>
      <c r="O229" s="6">
        <v>1</v>
      </c>
      <c r="P229" s="2" t="s">
        <v>3680</v>
      </c>
      <c r="Q229" s="2" t="str">
        <f>IF(Tabla1[[#This Row],[evaluacion_]]="","",IF(Tabla1[[#This Row],[evaluacion_]]=1,"Habilitado","No Habilitado"))</f>
        <v>No Habilitado</v>
      </c>
      <c r="R229" s="2" t="str">
        <f>IF(Tabla1[[#This Row],[fecha]]="","",TEXT(Tabla1[[#This Row],[fecha]],"DMMAAAA")&amp;TEXT(Tabla1[[#This Row],[hora]],"HHmm"))</f>
        <v/>
      </c>
      <c r="S229" s="19" t="str">
        <f>_xlfn.CONCAT(Tabla1[[#This Row],[codigo_]],Tabla1[[#This Row],[correlativo_]])</f>
        <v>948</v>
      </c>
      <c r="T229" s="2" t="str">
        <f t="shared" si="6"/>
        <v>16 de julio del 2025</v>
      </c>
      <c r="U229" s="2" t="str">
        <f>_xlfn.XLOOKUP(Tabla1[[#This Row],[instructor_2]],diccionario_!$A$1:$A$11,diccionario_!$D$1:$D$11,,0)</f>
        <v>Guillermo Milla M.</v>
      </c>
      <c r="V229" s="2" t="str">
        <f t="shared" si="7"/>
        <v>100%</v>
      </c>
      <c r="W229" s="2" t="s">
        <v>3712</v>
      </c>
    </row>
    <row r="230" spans="1:23" ht="16.5" customHeight="1">
      <c r="A230" s="2">
        <v>345</v>
      </c>
      <c r="B230" s="2" t="s">
        <v>7</v>
      </c>
      <c r="C230" s="2" t="s">
        <v>8</v>
      </c>
      <c r="D230" s="2" t="s">
        <v>9</v>
      </c>
      <c r="E230" s="11">
        <v>45854</v>
      </c>
      <c r="F230" s="14">
        <v>0.41666666666666702</v>
      </c>
      <c r="G230" s="2" t="s">
        <v>682</v>
      </c>
      <c r="H230" s="2" t="s">
        <v>683</v>
      </c>
      <c r="I230" s="2" t="s">
        <v>17</v>
      </c>
      <c r="J230" s="2" t="s">
        <v>12</v>
      </c>
      <c r="K230" s="2" t="s">
        <v>49</v>
      </c>
      <c r="L230" s="2"/>
      <c r="M230" s="2"/>
      <c r="N230" s="7" t="s">
        <v>49</v>
      </c>
      <c r="O230" s="6">
        <v>1</v>
      </c>
      <c r="P230" s="2" t="s">
        <v>3680</v>
      </c>
      <c r="Q230" s="2" t="str">
        <f>IF(Tabla1[[#This Row],[evaluacion_]]="","",IF(Tabla1[[#This Row],[evaluacion_]]=1,"Habilitado","No Habilitado"))</f>
        <v>No Habilitado</v>
      </c>
      <c r="R230" s="2" t="str">
        <f>IF(Tabla1[[#This Row],[fecha]]="","",TEXT(Tabla1[[#This Row],[fecha]],"DMMAAAA")&amp;TEXT(Tabla1[[#This Row],[hora]],"HHmm"))</f>
        <v/>
      </c>
      <c r="S230" s="19" t="str">
        <f>_xlfn.CONCAT(Tabla1[[#This Row],[codigo_]],Tabla1[[#This Row],[correlativo_]])</f>
        <v>949</v>
      </c>
      <c r="T230" s="2" t="str">
        <f t="shared" si="6"/>
        <v>16 de julio del 2025</v>
      </c>
      <c r="U230" s="2" t="str">
        <f>_xlfn.XLOOKUP(Tabla1[[#This Row],[instructor_2]],diccionario_!$A$1:$A$11,diccionario_!$D$1:$D$11,,0)</f>
        <v>Guillermo Milla M.</v>
      </c>
      <c r="V230" s="2" t="str">
        <f t="shared" si="7"/>
        <v>100%</v>
      </c>
      <c r="W230" s="2" t="s">
        <v>3712</v>
      </c>
    </row>
    <row r="231" spans="1:23" ht="16.5" customHeight="1">
      <c r="A231" s="2">
        <v>346</v>
      </c>
      <c r="B231" s="2" t="s">
        <v>7</v>
      </c>
      <c r="C231" s="2" t="s">
        <v>8</v>
      </c>
      <c r="D231" s="2" t="s">
        <v>9</v>
      </c>
      <c r="E231" s="11">
        <v>45853</v>
      </c>
      <c r="F231" s="14">
        <v>0.39583333333333298</v>
      </c>
      <c r="G231" s="2" t="s">
        <v>2409</v>
      </c>
      <c r="H231" s="2" t="s">
        <v>2410</v>
      </c>
      <c r="I231" s="2" t="s">
        <v>11</v>
      </c>
      <c r="J231" s="2" t="s">
        <v>36</v>
      </c>
      <c r="K231" s="2" t="s">
        <v>25</v>
      </c>
      <c r="L231" s="2"/>
      <c r="M231" s="2"/>
      <c r="N231" s="7" t="s">
        <v>25</v>
      </c>
      <c r="O231" s="6">
        <v>1</v>
      </c>
      <c r="P231" s="2" t="s">
        <v>3680</v>
      </c>
      <c r="Q231" s="2" t="str">
        <f>IF(Tabla1[[#This Row],[evaluacion_]]="","",IF(Tabla1[[#This Row],[evaluacion_]]=1,"Habilitado","No Habilitado"))</f>
        <v>No Habilitado</v>
      </c>
      <c r="R231" s="2" t="str">
        <f>IF(Tabla1[[#This Row],[fecha]]="","",TEXT(Tabla1[[#This Row],[fecha]],"DMMAAAA")&amp;TEXT(Tabla1[[#This Row],[hora]],"HHmm"))</f>
        <v/>
      </c>
      <c r="S231" s="19" t="str">
        <f>_xlfn.CONCAT(Tabla1[[#This Row],[codigo_]],Tabla1[[#This Row],[correlativo_]])</f>
        <v>950</v>
      </c>
      <c r="T231" s="2" t="str">
        <f t="shared" si="6"/>
        <v>15 de julio del 2025</v>
      </c>
      <c r="U231" s="2" t="str">
        <f>_xlfn.XLOOKUP(Tabla1[[#This Row],[instructor_2]],diccionario_!$A$1:$A$11,diccionario_!$D$1:$D$11,,0)</f>
        <v>Guillermo Milla M.</v>
      </c>
      <c r="V231" s="2" t="str">
        <f t="shared" si="7"/>
        <v>100%</v>
      </c>
      <c r="W231" s="2" t="s">
        <v>3713</v>
      </c>
    </row>
    <row r="232" spans="1:23" ht="16.5" customHeight="1">
      <c r="A232" s="2">
        <v>347</v>
      </c>
      <c r="B232" s="2" t="s">
        <v>7</v>
      </c>
      <c r="C232" s="2" t="s">
        <v>8</v>
      </c>
      <c r="D232" s="2" t="s">
        <v>9</v>
      </c>
      <c r="E232" s="11">
        <v>45853</v>
      </c>
      <c r="F232" s="14">
        <v>0.39583333333333298</v>
      </c>
      <c r="G232" s="2" t="s">
        <v>3423</v>
      </c>
      <c r="H232" s="2" t="s">
        <v>3424</v>
      </c>
      <c r="I232" s="2" t="s">
        <v>11</v>
      </c>
      <c r="J232" s="2" t="s">
        <v>36</v>
      </c>
      <c r="K232" s="2" t="s">
        <v>25</v>
      </c>
      <c r="L232" s="2"/>
      <c r="M232" s="2"/>
      <c r="N232" s="7" t="s">
        <v>25</v>
      </c>
      <c r="O232" s="6">
        <v>1</v>
      </c>
      <c r="P232" s="2" t="s">
        <v>3680</v>
      </c>
      <c r="Q232" s="2" t="str">
        <f>IF(Tabla1[[#This Row],[evaluacion_]]="","",IF(Tabla1[[#This Row],[evaluacion_]]=1,"Habilitado","No Habilitado"))</f>
        <v>No Habilitado</v>
      </c>
      <c r="R232" s="2" t="str">
        <f>IF(Tabla1[[#This Row],[fecha]]="","",TEXT(Tabla1[[#This Row],[fecha]],"DMMAAAA")&amp;TEXT(Tabla1[[#This Row],[hora]],"HHmm"))</f>
        <v/>
      </c>
      <c r="S232" s="19" t="str">
        <f>_xlfn.CONCAT(Tabla1[[#This Row],[codigo_]],Tabla1[[#This Row],[correlativo_]])</f>
        <v>951</v>
      </c>
      <c r="T232" s="2" t="str">
        <f t="shared" si="6"/>
        <v>15 de julio del 2025</v>
      </c>
      <c r="U232" s="2" t="str">
        <f>_xlfn.XLOOKUP(Tabla1[[#This Row],[instructor_2]],diccionario_!$A$1:$A$11,diccionario_!$D$1:$D$11,,0)</f>
        <v>Guillermo Milla M.</v>
      </c>
      <c r="V232" s="2" t="str">
        <f t="shared" si="7"/>
        <v>100%</v>
      </c>
      <c r="W232" s="2" t="s">
        <v>3713</v>
      </c>
    </row>
    <row r="233" spans="1:23" ht="16.5" customHeight="1">
      <c r="A233" s="2">
        <v>348</v>
      </c>
      <c r="B233" s="2" t="s">
        <v>7</v>
      </c>
      <c r="C233" s="2" t="s">
        <v>8</v>
      </c>
      <c r="D233" s="2" t="s">
        <v>9</v>
      </c>
      <c r="E233" s="11">
        <v>45853</v>
      </c>
      <c r="F233" s="14">
        <v>0.39583333333333298</v>
      </c>
      <c r="G233" s="2" t="s">
        <v>2350</v>
      </c>
      <c r="H233" s="2" t="s">
        <v>2351</v>
      </c>
      <c r="I233" s="2" t="s">
        <v>11</v>
      </c>
      <c r="J233" s="2" t="s">
        <v>36</v>
      </c>
      <c r="K233" s="2" t="s">
        <v>25</v>
      </c>
      <c r="L233" s="2"/>
      <c r="M233" s="2"/>
      <c r="N233" s="7" t="s">
        <v>25</v>
      </c>
      <c r="O233" s="6">
        <v>1</v>
      </c>
      <c r="P233" s="2" t="s">
        <v>3680</v>
      </c>
      <c r="Q233" s="2" t="str">
        <f>IF(Tabla1[[#This Row],[evaluacion_]]="","",IF(Tabla1[[#This Row],[evaluacion_]]=1,"Habilitado","No Habilitado"))</f>
        <v>No Habilitado</v>
      </c>
      <c r="R233" s="2" t="str">
        <f>IF(Tabla1[[#This Row],[fecha]]="","",TEXT(Tabla1[[#This Row],[fecha]],"DMMAAAA")&amp;TEXT(Tabla1[[#This Row],[hora]],"HHmm"))</f>
        <v/>
      </c>
      <c r="S233" s="19" t="str">
        <f>_xlfn.CONCAT(Tabla1[[#This Row],[codigo_]],Tabla1[[#This Row],[correlativo_]])</f>
        <v>952</v>
      </c>
      <c r="T233" s="2" t="str">
        <f t="shared" si="6"/>
        <v>15 de julio del 2025</v>
      </c>
      <c r="U233" s="2" t="str">
        <f>_xlfn.XLOOKUP(Tabla1[[#This Row],[instructor_2]],diccionario_!$A$1:$A$11,diccionario_!$D$1:$D$11,,0)</f>
        <v>Guillermo Milla M.</v>
      </c>
      <c r="V233" s="2" t="str">
        <f t="shared" si="7"/>
        <v>100%</v>
      </c>
      <c r="W233" s="2" t="s">
        <v>3713</v>
      </c>
    </row>
    <row r="234" spans="1:23" ht="16.5" customHeight="1">
      <c r="A234" s="2">
        <v>349</v>
      </c>
      <c r="B234" s="2" t="s">
        <v>7</v>
      </c>
      <c r="C234" s="2" t="s">
        <v>8</v>
      </c>
      <c r="D234" s="2" t="s">
        <v>9</v>
      </c>
      <c r="E234" s="11">
        <v>45853</v>
      </c>
      <c r="F234" s="14">
        <v>0.39583333333333298</v>
      </c>
      <c r="G234" s="2" t="s">
        <v>3714</v>
      </c>
      <c r="H234" s="2" t="s">
        <v>3715</v>
      </c>
      <c r="I234" s="2" t="s">
        <v>11</v>
      </c>
      <c r="J234" s="2" t="s">
        <v>36</v>
      </c>
      <c r="K234" s="2" t="s">
        <v>25</v>
      </c>
      <c r="L234" s="2"/>
      <c r="M234" s="2"/>
      <c r="N234" s="7" t="s">
        <v>25</v>
      </c>
      <c r="O234" s="6">
        <v>1</v>
      </c>
      <c r="P234" s="2" t="s">
        <v>3680</v>
      </c>
      <c r="Q234" s="2" t="str">
        <f>IF(Tabla1[[#This Row],[evaluacion_]]="","",IF(Tabla1[[#This Row],[evaluacion_]]=1,"Habilitado","No Habilitado"))</f>
        <v>No Habilitado</v>
      </c>
      <c r="R234" s="2" t="str">
        <f>IF(Tabla1[[#This Row],[fecha]]="","",TEXT(Tabla1[[#This Row],[fecha]],"DMMAAAA")&amp;TEXT(Tabla1[[#This Row],[hora]],"HHmm"))</f>
        <v/>
      </c>
      <c r="S234" s="19" t="str">
        <f>_xlfn.CONCAT(Tabla1[[#This Row],[codigo_]],Tabla1[[#This Row],[correlativo_]])</f>
        <v>953</v>
      </c>
      <c r="T234" s="2" t="str">
        <f t="shared" si="6"/>
        <v>15 de julio del 2025</v>
      </c>
      <c r="U234" s="2" t="str">
        <f>_xlfn.XLOOKUP(Tabla1[[#This Row],[instructor_2]],diccionario_!$A$1:$A$11,diccionario_!$D$1:$D$11,,0)</f>
        <v>Guillermo Milla M.</v>
      </c>
      <c r="V234" s="2" t="str">
        <f t="shared" si="7"/>
        <v>100%</v>
      </c>
      <c r="W234" s="2" t="s">
        <v>3713</v>
      </c>
    </row>
    <row r="235" spans="1:23" ht="16.5" customHeight="1">
      <c r="A235" s="2">
        <v>350</v>
      </c>
      <c r="B235" s="2" t="s">
        <v>32</v>
      </c>
      <c r="C235" s="2" t="s">
        <v>33</v>
      </c>
      <c r="D235" s="2" t="s">
        <v>9</v>
      </c>
      <c r="E235" s="11">
        <v>45866</v>
      </c>
      <c r="F235" s="14">
        <v>0.625</v>
      </c>
      <c r="G235" s="2" t="s">
        <v>560</v>
      </c>
      <c r="H235" s="2" t="s">
        <v>561</v>
      </c>
      <c r="I235" s="2" t="s">
        <v>11</v>
      </c>
      <c r="J235" s="2" t="s">
        <v>12</v>
      </c>
      <c r="K235" s="2" t="s">
        <v>13</v>
      </c>
      <c r="L235" s="2" t="s">
        <v>25</v>
      </c>
      <c r="M235" s="2"/>
      <c r="N235" s="7" t="s">
        <v>3579</v>
      </c>
      <c r="O235" s="6">
        <v>1</v>
      </c>
      <c r="P235" s="2" t="s">
        <v>3680</v>
      </c>
      <c r="Q235" s="2" t="str">
        <f>IF(Tabla1[[#This Row],[evaluacion_]]="","",IF(Tabla1[[#This Row],[evaluacion_]]=1,"Habilitado","No Habilitado"))</f>
        <v>No Habilitado</v>
      </c>
      <c r="R235" s="2" t="str">
        <f>IF(Tabla1[[#This Row],[fecha]]="","",TEXT(Tabla1[[#This Row],[fecha]],"DMMAAAA")&amp;TEXT(Tabla1[[#This Row],[hora]],"HHmm"))</f>
        <v/>
      </c>
      <c r="S235" s="19" t="str">
        <f>_xlfn.CONCAT(Tabla1[[#This Row],[codigo_]],Tabla1[[#This Row],[correlativo_]])</f>
        <v>954</v>
      </c>
      <c r="T235" s="2" t="str">
        <f t="shared" si="6"/>
        <v>28 de julio del 2025</v>
      </c>
      <c r="U235" s="2" t="str">
        <f>_xlfn.XLOOKUP(Tabla1[[#This Row],[instructor_2]],diccionario_!$A$1:$A$11,diccionario_!$D$1:$D$11,,0)</f>
        <v>Guillermo Milla M.</v>
      </c>
      <c r="V235" s="2" t="str">
        <f t="shared" si="7"/>
        <v>100%</v>
      </c>
      <c r="W235" s="2" t="s">
        <v>3716</v>
      </c>
    </row>
    <row r="236" spans="1:23" ht="16.5" customHeight="1">
      <c r="A236" s="2">
        <v>351</v>
      </c>
      <c r="B236" s="2" t="s">
        <v>32</v>
      </c>
      <c r="C236" s="2" t="s">
        <v>33</v>
      </c>
      <c r="D236" s="2" t="s">
        <v>9</v>
      </c>
      <c r="E236" s="11">
        <v>45866</v>
      </c>
      <c r="F236" s="14">
        <v>0.625</v>
      </c>
      <c r="G236" s="2" t="s">
        <v>560</v>
      </c>
      <c r="H236" s="2" t="s">
        <v>561</v>
      </c>
      <c r="I236" s="2" t="s">
        <v>23</v>
      </c>
      <c r="J236" s="2" t="s">
        <v>12</v>
      </c>
      <c r="K236" s="2" t="s">
        <v>41</v>
      </c>
      <c r="L236" s="2"/>
      <c r="M236" s="2"/>
      <c r="N236" s="7" t="s">
        <v>41</v>
      </c>
      <c r="O236" s="6">
        <v>1</v>
      </c>
      <c r="P236" s="2" t="s">
        <v>3680</v>
      </c>
      <c r="Q236" s="2" t="str">
        <f>IF(Tabla1[[#This Row],[evaluacion_]]="","",IF(Tabla1[[#This Row],[evaluacion_]]=1,"Habilitado","No Habilitado"))</f>
        <v>Habilitado</v>
      </c>
      <c r="R236" s="2" t="str">
        <f>IF(Tabla1[[#This Row],[fecha]]="","",TEXT(Tabla1[[#This Row],[fecha]],"DMMAAAA")&amp;TEXT(Tabla1[[#This Row],[hora]],"HHmm"))</f>
        <v>300320261000</v>
      </c>
      <c r="S236" s="19" t="str">
        <f>_xlfn.CONCAT(Tabla1[[#This Row],[codigo_]],Tabla1[[#This Row],[correlativo_]])</f>
        <v>300320261000955</v>
      </c>
      <c r="T236" s="2" t="str">
        <f t="shared" si="6"/>
        <v>28 de julio del 2025</v>
      </c>
      <c r="U236" s="2" t="str">
        <f>_xlfn.XLOOKUP(Tabla1[[#This Row],[instructor_2]],diccionario_!$A$1:$A$11,diccionario_!$D$1:$D$11,,0)</f>
        <v>Guillermo Milla M.</v>
      </c>
      <c r="V236" s="2" t="str">
        <f t="shared" si="7"/>
        <v>100%</v>
      </c>
      <c r="W236" s="2" t="s">
        <v>3717</v>
      </c>
    </row>
    <row r="237" spans="1:23" ht="16.5" customHeight="1">
      <c r="A237" s="2">
        <v>352</v>
      </c>
      <c r="B237" s="2" t="s">
        <v>14</v>
      </c>
      <c r="C237" s="2" t="s">
        <v>15</v>
      </c>
      <c r="D237" s="2" t="s">
        <v>9</v>
      </c>
      <c r="E237" s="11">
        <v>45863</v>
      </c>
      <c r="F237" s="14">
        <v>0.68402777777777801</v>
      </c>
      <c r="G237" s="2" t="s">
        <v>776</v>
      </c>
      <c r="H237" s="2" t="s">
        <v>777</v>
      </c>
      <c r="I237" s="2" t="s">
        <v>29</v>
      </c>
      <c r="J237" s="2" t="s">
        <v>24</v>
      </c>
      <c r="K237" s="2" t="s">
        <v>46</v>
      </c>
      <c r="L237" s="2" t="s">
        <v>47</v>
      </c>
      <c r="M237" s="2"/>
      <c r="N237" s="7" t="s">
        <v>3521</v>
      </c>
      <c r="O237" s="6">
        <v>1</v>
      </c>
      <c r="P237" s="2" t="s">
        <v>3680</v>
      </c>
      <c r="Q237" s="2" t="str">
        <f>IF(Tabla1[[#This Row],[evaluacion_]]="","",IF(Tabla1[[#This Row],[evaluacion_]]=1,"Habilitado","No Habilitado"))</f>
        <v>Habilitado</v>
      </c>
      <c r="R237" s="2" t="str">
        <f>IF(Tabla1[[#This Row],[fecha]]="","",TEXT(Tabla1[[#This Row],[fecha]],"DMMAAAA")&amp;TEXT(Tabla1[[#This Row],[hora]],"HHmm"))</f>
        <v>300320261000</v>
      </c>
      <c r="S237" s="19" t="str">
        <f>_xlfn.CONCAT(Tabla1[[#This Row],[codigo_]],Tabla1[[#This Row],[correlativo_]])</f>
        <v>300320261000956</v>
      </c>
      <c r="T237" s="2" t="str">
        <f t="shared" si="6"/>
        <v>25 de julio del 2025</v>
      </c>
      <c r="U237" s="2" t="str">
        <f>_xlfn.XLOOKUP(Tabla1[[#This Row],[instructor_2]],diccionario_!$A$1:$A$11,diccionario_!$D$1:$D$11,,0)</f>
        <v>Guillermo Milla M.</v>
      </c>
      <c r="V237" s="2" t="str">
        <f t="shared" si="7"/>
        <v>100%</v>
      </c>
      <c r="W237" s="2" t="s">
        <v>3718</v>
      </c>
    </row>
    <row r="238" spans="1:23" ht="16.5" customHeight="1">
      <c r="A238" s="2">
        <v>353</v>
      </c>
      <c r="B238" s="2" t="s">
        <v>14</v>
      </c>
      <c r="C238" s="2" t="s">
        <v>15</v>
      </c>
      <c r="D238" s="2" t="s">
        <v>9</v>
      </c>
      <c r="E238" s="11">
        <v>45848</v>
      </c>
      <c r="F238" s="14">
        <v>0.6875</v>
      </c>
      <c r="G238" s="2" t="s">
        <v>776</v>
      </c>
      <c r="H238" s="2" t="s">
        <v>777</v>
      </c>
      <c r="I238" s="2" t="s">
        <v>23</v>
      </c>
      <c r="J238" s="2" t="s">
        <v>24</v>
      </c>
      <c r="K238" s="2" t="s">
        <v>41</v>
      </c>
      <c r="L238" s="2" t="s">
        <v>44</v>
      </c>
      <c r="M238" s="2" t="s">
        <v>45</v>
      </c>
      <c r="N238" s="7" t="s">
        <v>3719</v>
      </c>
      <c r="O238" s="6">
        <v>1</v>
      </c>
      <c r="P238" s="2" t="s">
        <v>3680</v>
      </c>
      <c r="Q238" s="2" t="str">
        <f>IF(Tabla1[[#This Row],[evaluacion_]]="","",IF(Tabla1[[#This Row],[evaluacion_]]=1,"Habilitado","No Habilitado"))</f>
        <v>Habilitado</v>
      </c>
      <c r="R238" s="2" t="str">
        <f>IF(Tabla1[[#This Row],[fecha]]="","",TEXT(Tabla1[[#This Row],[fecha]],"DMMAAAA")&amp;TEXT(Tabla1[[#This Row],[hora]],"HHmm"))</f>
        <v>140420261200</v>
      </c>
      <c r="S238" s="19" t="str">
        <f>_xlfn.CONCAT(Tabla1[[#This Row],[codigo_]],Tabla1[[#This Row],[correlativo_]])</f>
        <v>140420261200957</v>
      </c>
      <c r="T238" s="2" t="str">
        <f t="shared" si="6"/>
        <v>10 de julio del 2025</v>
      </c>
      <c r="U238" s="2" t="str">
        <f>_xlfn.XLOOKUP(Tabla1[[#This Row],[instructor_2]],diccionario_!$A$1:$A$11,diccionario_!$D$1:$D$11,,0)</f>
        <v>Marcelo Barrera A.</v>
      </c>
      <c r="V238" s="2" t="str">
        <f t="shared" si="7"/>
        <v>100%</v>
      </c>
      <c r="W238" s="2" t="s">
        <v>3720</v>
      </c>
    </row>
    <row r="239" spans="1:23" ht="16.5" customHeight="1">
      <c r="A239" s="2">
        <v>354</v>
      </c>
      <c r="B239" s="2" t="s">
        <v>14</v>
      </c>
      <c r="C239" s="2" t="s">
        <v>15</v>
      </c>
      <c r="D239" s="2" t="s">
        <v>9</v>
      </c>
      <c r="E239" s="11">
        <v>45848</v>
      </c>
      <c r="F239" s="14">
        <v>0.69097222222222199</v>
      </c>
      <c r="G239" s="2" t="s">
        <v>3439</v>
      </c>
      <c r="H239" s="2" t="s">
        <v>3440</v>
      </c>
      <c r="I239" s="2" t="s">
        <v>11</v>
      </c>
      <c r="J239" s="2" t="s">
        <v>24</v>
      </c>
      <c r="K239" s="2" t="s">
        <v>13</v>
      </c>
      <c r="L239" s="2" t="s">
        <v>19</v>
      </c>
      <c r="M239" s="2"/>
      <c r="N239" s="7" t="s">
        <v>3721</v>
      </c>
      <c r="O239" s="6">
        <v>1</v>
      </c>
      <c r="P239" s="2" t="s">
        <v>3680</v>
      </c>
      <c r="Q239" s="2" t="str">
        <f>IF(Tabla1[[#This Row],[evaluacion_]]="","",IF(Tabla1[[#This Row],[evaluacion_]]=1,"Habilitado","No Habilitado"))</f>
        <v>Habilitado</v>
      </c>
      <c r="R239" s="2" t="str">
        <f>IF(Tabla1[[#This Row],[fecha]]="","",TEXT(Tabla1[[#This Row],[fecha]],"DMMAAAA")&amp;TEXT(Tabla1[[#This Row],[hora]],"HHmm"))</f>
        <v>30420260900</v>
      </c>
      <c r="S239" s="19" t="str">
        <f>_xlfn.CONCAT(Tabla1[[#This Row],[codigo_]],Tabla1[[#This Row],[correlativo_]])</f>
        <v>30420260900958</v>
      </c>
      <c r="T239" s="2" t="str">
        <f t="shared" si="6"/>
        <v>10 de julio del 2025</v>
      </c>
      <c r="U239" s="2" t="str">
        <f>_xlfn.XLOOKUP(Tabla1[[#This Row],[instructor_2]],diccionario_!$A$1:$A$11,diccionario_!$D$1:$D$11,,0)</f>
        <v>Guillermo Milla M.</v>
      </c>
      <c r="V239" s="2" t="str">
        <f t="shared" si="7"/>
        <v>100%</v>
      </c>
      <c r="W239" s="2" t="s">
        <v>3722</v>
      </c>
    </row>
    <row r="240" spans="1:23" ht="16.5" customHeight="1">
      <c r="A240" s="2">
        <v>355</v>
      </c>
      <c r="B240" s="2" t="s">
        <v>14</v>
      </c>
      <c r="C240" s="2" t="s">
        <v>15</v>
      </c>
      <c r="D240" s="2" t="s">
        <v>9</v>
      </c>
      <c r="E240" s="11">
        <v>45848</v>
      </c>
      <c r="F240" s="14">
        <v>0.69166666666666698</v>
      </c>
      <c r="G240" s="2" t="s">
        <v>3439</v>
      </c>
      <c r="H240" s="2" t="s">
        <v>3440</v>
      </c>
      <c r="I240" s="2" t="s">
        <v>29</v>
      </c>
      <c r="J240" s="2" t="s">
        <v>24</v>
      </c>
      <c r="K240" s="2" t="s">
        <v>46</v>
      </c>
      <c r="L240" s="2" t="s">
        <v>47</v>
      </c>
      <c r="M240" s="2"/>
      <c r="N240" s="7" t="s">
        <v>3521</v>
      </c>
      <c r="O240" s="6">
        <v>1</v>
      </c>
      <c r="P240" s="2" t="s">
        <v>3680</v>
      </c>
      <c r="Q240" s="2" t="str">
        <f>IF(Tabla1[[#This Row],[evaluacion_]]="","",IF(Tabla1[[#This Row],[evaluacion_]]=1,"Habilitado","No Habilitado"))</f>
        <v>Habilitado</v>
      </c>
      <c r="R240" s="2" t="str">
        <f>IF(Tabla1[[#This Row],[fecha]]="","",TEXT(Tabla1[[#This Row],[fecha]],"DMMAAAA")&amp;TEXT(Tabla1[[#This Row],[hora]],"HHmm"))</f>
        <v>30420260900</v>
      </c>
      <c r="S240" s="19" t="str">
        <f>_xlfn.CONCAT(Tabla1[[#This Row],[codigo_]],Tabla1[[#This Row],[correlativo_]])</f>
        <v>30420260900959</v>
      </c>
      <c r="T240" s="2" t="str">
        <f t="shared" si="6"/>
        <v>10 de julio del 2025</v>
      </c>
      <c r="U240" s="2" t="str">
        <f>_xlfn.XLOOKUP(Tabla1[[#This Row],[instructor_2]],diccionario_!$A$1:$A$11,diccionario_!$D$1:$D$11,,0)</f>
        <v>Guillermo Milla M.</v>
      </c>
      <c r="V240" s="2" t="str">
        <f t="shared" si="7"/>
        <v>100%</v>
      </c>
      <c r="W240" s="2" t="s">
        <v>3722</v>
      </c>
    </row>
    <row r="241" spans="1:23" ht="16.5" customHeight="1">
      <c r="A241" s="2">
        <v>356</v>
      </c>
      <c r="B241" s="2" t="s">
        <v>14</v>
      </c>
      <c r="C241" s="2" t="s">
        <v>15</v>
      </c>
      <c r="D241" s="2" t="s">
        <v>9</v>
      </c>
      <c r="E241" s="11">
        <v>45848</v>
      </c>
      <c r="F241" s="14">
        <v>0.69236111111111098</v>
      </c>
      <c r="G241" s="2" t="s">
        <v>3439</v>
      </c>
      <c r="H241" s="2" t="s">
        <v>3440</v>
      </c>
      <c r="I241" s="2" t="s">
        <v>23</v>
      </c>
      <c r="J241" s="2" t="s">
        <v>24</v>
      </c>
      <c r="K241" s="2" t="s">
        <v>41</v>
      </c>
      <c r="L241" s="2" t="s">
        <v>44</v>
      </c>
      <c r="M241" s="2" t="s">
        <v>45</v>
      </c>
      <c r="N241" s="7" t="s">
        <v>3719</v>
      </c>
      <c r="O241" s="6">
        <v>1</v>
      </c>
      <c r="P241" s="2" t="s">
        <v>3680</v>
      </c>
      <c r="Q241" s="2" t="str">
        <f>IF(Tabla1[[#This Row],[evaluacion_]]="","",IF(Tabla1[[#This Row],[evaluacion_]]=1,"Habilitado","No Habilitado"))</f>
        <v>Habilitado</v>
      </c>
      <c r="R241" s="2" t="str">
        <f>IF(Tabla1[[#This Row],[fecha]]="","",TEXT(Tabla1[[#This Row],[fecha]],"DMMAAAA")&amp;TEXT(Tabla1[[#This Row],[hora]],"HHmm"))</f>
        <v>100420260900</v>
      </c>
      <c r="S241" s="19" t="str">
        <f>_xlfn.CONCAT(Tabla1[[#This Row],[codigo_]],Tabla1[[#This Row],[correlativo_]])</f>
        <v>100420260900960</v>
      </c>
      <c r="T241" s="2" t="str">
        <f t="shared" si="6"/>
        <v>10 de julio del 2025</v>
      </c>
      <c r="U241" s="2" t="str">
        <f>_xlfn.XLOOKUP(Tabla1[[#This Row],[instructor_2]],diccionario_!$A$1:$A$11,diccionario_!$D$1:$D$11,,0)</f>
        <v>Guillermo Milla M.</v>
      </c>
      <c r="V241" s="2" t="str">
        <f t="shared" si="7"/>
        <v>100%</v>
      </c>
      <c r="W241" s="2" t="s">
        <v>3722</v>
      </c>
    </row>
    <row r="242" spans="1:23" ht="16.5" customHeight="1">
      <c r="A242" s="2">
        <v>357</v>
      </c>
      <c r="B242" s="2" t="s">
        <v>14</v>
      </c>
      <c r="C242" s="2" t="s">
        <v>15</v>
      </c>
      <c r="D242" s="2" t="s">
        <v>9</v>
      </c>
      <c r="E242" s="11">
        <v>45848</v>
      </c>
      <c r="F242" s="14">
        <v>0.70833333333333304</v>
      </c>
      <c r="G242" s="2" t="s">
        <v>415</v>
      </c>
      <c r="H242" s="2" t="s">
        <v>416</v>
      </c>
      <c r="I242" s="2" t="s">
        <v>11</v>
      </c>
      <c r="J242" s="2" t="s">
        <v>24</v>
      </c>
      <c r="K242" s="2" t="s">
        <v>13</v>
      </c>
      <c r="L242" s="2" t="s">
        <v>19</v>
      </c>
      <c r="M242" s="2"/>
      <c r="N242" s="7" t="s">
        <v>3721</v>
      </c>
      <c r="O242" s="6">
        <v>1</v>
      </c>
      <c r="P242" s="2" t="s">
        <v>3680</v>
      </c>
      <c r="Q242" s="2" t="str">
        <f>IF(Tabla1[[#This Row],[evaluacion_]]="","",IF(Tabla1[[#This Row],[evaluacion_]]=1,"Habilitado","No Habilitado"))</f>
        <v>Habilitado</v>
      </c>
      <c r="R242" s="2" t="str">
        <f>IF(Tabla1[[#This Row],[fecha]]="","",TEXT(Tabla1[[#This Row],[fecha]],"DMMAAAA")&amp;TEXT(Tabla1[[#This Row],[hora]],"HHmm"))</f>
        <v>140420261700</v>
      </c>
      <c r="S242" s="19" t="str">
        <f>_xlfn.CONCAT(Tabla1[[#This Row],[codigo_]],Tabla1[[#This Row],[correlativo_]])</f>
        <v>140420261700961</v>
      </c>
      <c r="T242" s="2" t="str">
        <f t="shared" si="6"/>
        <v>10 de julio del 2025</v>
      </c>
      <c r="U242" s="2" t="str">
        <f>_xlfn.XLOOKUP(Tabla1[[#This Row],[instructor_2]],diccionario_!$A$1:$A$11,diccionario_!$D$1:$D$11,,0)</f>
        <v>Daniel Carvajal B.</v>
      </c>
      <c r="V242" s="2" t="str">
        <f t="shared" si="7"/>
        <v>100%</v>
      </c>
      <c r="W242" s="2" t="s">
        <v>3723</v>
      </c>
    </row>
    <row r="243" spans="1:23" ht="16.5" customHeight="1">
      <c r="A243" s="2">
        <v>358</v>
      </c>
      <c r="B243" s="2" t="s">
        <v>14</v>
      </c>
      <c r="C243" s="2" t="s">
        <v>15</v>
      </c>
      <c r="D243" s="2" t="s">
        <v>9</v>
      </c>
      <c r="E243" s="11">
        <v>45848</v>
      </c>
      <c r="F243" s="14">
        <v>0.70902777777777803</v>
      </c>
      <c r="G243" s="2" t="s">
        <v>415</v>
      </c>
      <c r="H243" s="2" t="s">
        <v>416</v>
      </c>
      <c r="I243" s="2" t="s">
        <v>29</v>
      </c>
      <c r="J243" s="2" t="s">
        <v>24</v>
      </c>
      <c r="K243" s="2" t="s">
        <v>46</v>
      </c>
      <c r="L243" s="2" t="s">
        <v>47</v>
      </c>
      <c r="M243" s="2"/>
      <c r="N243" s="7" t="s">
        <v>3521</v>
      </c>
      <c r="O243" s="6">
        <v>1</v>
      </c>
      <c r="P243" s="2" t="s">
        <v>3680</v>
      </c>
      <c r="Q243" s="2" t="str">
        <f>IF(Tabla1[[#This Row],[evaluacion_]]="","",IF(Tabla1[[#This Row],[evaluacion_]]=1,"Habilitado","No Habilitado"))</f>
        <v>Habilitado</v>
      </c>
      <c r="R243" s="2" t="str">
        <f>IF(Tabla1[[#This Row],[fecha]]="","",TEXT(Tabla1[[#This Row],[fecha]],"DMMAAAA")&amp;TEXT(Tabla1[[#This Row],[hora]],"HHmm"))</f>
        <v>140420261701</v>
      </c>
      <c r="S243" s="19" t="str">
        <f>_xlfn.CONCAT(Tabla1[[#This Row],[codigo_]],Tabla1[[#This Row],[correlativo_]])</f>
        <v>140420261701962</v>
      </c>
      <c r="T243" s="2" t="str">
        <f t="shared" si="6"/>
        <v>10 de julio del 2025</v>
      </c>
      <c r="U243" s="2" t="str">
        <f>_xlfn.XLOOKUP(Tabla1[[#This Row],[instructor_2]],diccionario_!$A$1:$A$11,diccionario_!$D$1:$D$11,,0)</f>
        <v>Daniel Carvajal B.</v>
      </c>
      <c r="V243" s="2" t="str">
        <f t="shared" si="7"/>
        <v>100%</v>
      </c>
      <c r="W243" s="2" t="s">
        <v>3723</v>
      </c>
    </row>
    <row r="244" spans="1:23" ht="16.5" customHeight="1">
      <c r="A244" s="2">
        <v>359</v>
      </c>
      <c r="B244" s="2" t="s">
        <v>14</v>
      </c>
      <c r="C244" s="2" t="s">
        <v>15</v>
      </c>
      <c r="D244" s="2" t="s">
        <v>9</v>
      </c>
      <c r="E244" s="11">
        <v>45848</v>
      </c>
      <c r="F244" s="14">
        <v>0.70972222222222203</v>
      </c>
      <c r="G244" s="2" t="s">
        <v>415</v>
      </c>
      <c r="H244" s="2" t="s">
        <v>416</v>
      </c>
      <c r="I244" s="2" t="s">
        <v>23</v>
      </c>
      <c r="J244" s="2" t="s">
        <v>24</v>
      </c>
      <c r="K244" s="2" t="s">
        <v>41</v>
      </c>
      <c r="L244" s="2" t="s">
        <v>44</v>
      </c>
      <c r="M244" s="2" t="s">
        <v>45</v>
      </c>
      <c r="N244" s="7" t="s">
        <v>3719</v>
      </c>
      <c r="O244" s="6">
        <v>1</v>
      </c>
      <c r="P244" s="2" t="s">
        <v>3680</v>
      </c>
      <c r="Q244" s="2" t="str">
        <f>IF(Tabla1[[#This Row],[evaluacion_]]="","",IF(Tabla1[[#This Row],[evaluacion_]]=1,"Habilitado","No Habilitado"))</f>
        <v>Habilitado</v>
      </c>
      <c r="R244" s="2" t="str">
        <f>IF(Tabla1[[#This Row],[fecha]]="","",TEXT(Tabla1[[#This Row],[fecha]],"DMMAAAA")&amp;TEXT(Tabla1[[#This Row],[hora]],"HHmm"))</f>
        <v>140420261702</v>
      </c>
      <c r="S244" s="19" t="str">
        <f>_xlfn.CONCAT(Tabla1[[#This Row],[codigo_]],Tabla1[[#This Row],[correlativo_]])</f>
        <v>140420261702963</v>
      </c>
      <c r="T244" s="2" t="str">
        <f t="shared" si="6"/>
        <v>10 de julio del 2025</v>
      </c>
      <c r="U244" s="2" t="str">
        <f>_xlfn.XLOOKUP(Tabla1[[#This Row],[instructor_2]],diccionario_!$A$1:$A$11,diccionario_!$D$1:$D$11,,0)</f>
        <v>Daniel Carvajal B.</v>
      </c>
      <c r="V244" s="2" t="str">
        <f t="shared" si="7"/>
        <v>100%</v>
      </c>
      <c r="W244" s="2" t="s">
        <v>3723</v>
      </c>
    </row>
    <row r="245" spans="1:23" ht="16.5" customHeight="1">
      <c r="A245" s="2">
        <v>360</v>
      </c>
      <c r="B245" s="2" t="s">
        <v>14</v>
      </c>
      <c r="C245" s="2" t="s">
        <v>15</v>
      </c>
      <c r="D245" s="2" t="s">
        <v>9</v>
      </c>
      <c r="E245" s="11">
        <v>45848</v>
      </c>
      <c r="F245" s="14">
        <v>0.71527777777777801</v>
      </c>
      <c r="G245" s="2" t="s">
        <v>3168</v>
      </c>
      <c r="H245" s="2" t="s">
        <v>3169</v>
      </c>
      <c r="I245" s="2" t="s">
        <v>11</v>
      </c>
      <c r="J245" s="2" t="s">
        <v>24</v>
      </c>
      <c r="K245" s="2" t="s">
        <v>13</v>
      </c>
      <c r="L245" s="2" t="s">
        <v>19</v>
      </c>
      <c r="M245" s="2"/>
      <c r="N245" s="7" t="s">
        <v>3721</v>
      </c>
      <c r="O245" s="6">
        <v>1</v>
      </c>
      <c r="P245" s="2" t="s">
        <v>3680</v>
      </c>
      <c r="Q245" s="2" t="e">
        <f>IF(Tabla1[[#This Row],[evaluacion_]]="","",IF(Tabla1[[#This Row],[evaluacion_]]=1,"Habilitado","No Habilitado"))</f>
        <v>#VALUE!</v>
      </c>
      <c r="R245" s="2" t="e">
        <f>IF(Tabla1[[#This Row],[fecha]]="","",TEXT(Tabla1[[#This Row],[fecha]],"DMMAAAA")&amp;TEXT(Tabla1[[#This Row],[hora]],"HHmm"))</f>
        <v>#VALUE!</v>
      </c>
      <c r="S245" s="19" t="e">
        <f>_xlfn.CONCAT(Tabla1[[#This Row],[codigo_]],Tabla1[[#This Row],[correlativo_]])</f>
        <v>#VALUE!</v>
      </c>
      <c r="T245" s="2" t="str">
        <f t="shared" si="6"/>
        <v>10 de julio del 2025</v>
      </c>
      <c r="U245" s="2" t="e">
        <f>_xlfn.XLOOKUP(Tabla1[[#This Row],[instructor_2]],diccionario_!$A$1:$A$11,diccionario_!$D$1:$D$11,,0)</f>
        <v>#VALUE!</v>
      </c>
      <c r="V245" s="2" t="str">
        <f t="shared" si="7"/>
        <v>100%</v>
      </c>
      <c r="W245" s="2" t="s">
        <v>3724</v>
      </c>
    </row>
    <row r="246" spans="1:23" ht="16.5" customHeight="1">
      <c r="A246" s="2">
        <v>361</v>
      </c>
      <c r="B246" s="2" t="s">
        <v>14</v>
      </c>
      <c r="C246" s="2" t="s">
        <v>15</v>
      </c>
      <c r="D246" s="2" t="s">
        <v>9</v>
      </c>
      <c r="E246" s="11">
        <v>45848</v>
      </c>
      <c r="F246" s="14">
        <v>0.71597222222222201</v>
      </c>
      <c r="G246" s="2" t="s">
        <v>3168</v>
      </c>
      <c r="H246" s="2" t="s">
        <v>3169</v>
      </c>
      <c r="I246" s="2" t="s">
        <v>29</v>
      </c>
      <c r="J246" s="2" t="s">
        <v>24</v>
      </c>
      <c r="K246" s="2" t="s">
        <v>46</v>
      </c>
      <c r="L246" s="2" t="s">
        <v>47</v>
      </c>
      <c r="M246" s="2"/>
      <c r="N246" s="7" t="s">
        <v>3521</v>
      </c>
      <c r="O246" s="6">
        <v>1</v>
      </c>
      <c r="P246" s="2" t="s">
        <v>3680</v>
      </c>
      <c r="Q246" s="2" t="e">
        <f>IF(Tabla1[[#This Row],[evaluacion_]]="","",IF(Tabla1[[#This Row],[evaluacion_]]=1,"Habilitado","No Habilitado"))</f>
        <v>#VALUE!</v>
      </c>
      <c r="R246" s="2" t="e">
        <f>IF(Tabla1[[#This Row],[fecha]]="","",TEXT(Tabla1[[#This Row],[fecha]],"DMMAAAA")&amp;TEXT(Tabla1[[#This Row],[hora]],"HHmm"))</f>
        <v>#VALUE!</v>
      </c>
      <c r="S246" s="19" t="e">
        <f>_xlfn.CONCAT(Tabla1[[#This Row],[codigo_]],Tabla1[[#This Row],[correlativo_]])</f>
        <v>#VALUE!</v>
      </c>
      <c r="T246" s="2" t="str">
        <f t="shared" si="6"/>
        <v>10 de julio del 2025</v>
      </c>
      <c r="U246" s="2" t="e">
        <f>_xlfn.XLOOKUP(Tabla1[[#This Row],[instructor_2]],diccionario_!$A$1:$A$11,diccionario_!$D$1:$D$11,,0)</f>
        <v>#VALUE!</v>
      </c>
      <c r="V246" s="2" t="str">
        <f t="shared" si="7"/>
        <v>100%</v>
      </c>
      <c r="W246" s="2" t="s">
        <v>3724</v>
      </c>
    </row>
    <row r="247" spans="1:23" ht="16.5" customHeight="1">
      <c r="A247" s="2">
        <v>362</v>
      </c>
      <c r="B247" s="2" t="s">
        <v>14</v>
      </c>
      <c r="C247" s="2" t="s">
        <v>15</v>
      </c>
      <c r="D247" s="2" t="s">
        <v>9</v>
      </c>
      <c r="E247" s="11">
        <v>45848</v>
      </c>
      <c r="F247" s="14">
        <v>0.71666666666666701</v>
      </c>
      <c r="G247" s="2" t="s">
        <v>3168</v>
      </c>
      <c r="H247" s="2" t="s">
        <v>3169</v>
      </c>
      <c r="I247" s="2" t="s">
        <v>23</v>
      </c>
      <c r="J247" s="2" t="s">
        <v>24</v>
      </c>
      <c r="K247" s="2" t="s">
        <v>41</v>
      </c>
      <c r="L247" s="2" t="s">
        <v>44</v>
      </c>
      <c r="M247" s="2" t="s">
        <v>45</v>
      </c>
      <c r="N247" s="7" t="s">
        <v>3719</v>
      </c>
      <c r="O247" s="6">
        <v>1</v>
      </c>
      <c r="P247" s="2" t="s">
        <v>3680</v>
      </c>
      <c r="Q247" s="2" t="e">
        <f>IF(Tabla1[[#This Row],[evaluacion_]]="","",IF(Tabla1[[#This Row],[evaluacion_]]=1,"Habilitado","No Habilitado"))</f>
        <v>#VALUE!</v>
      </c>
      <c r="R247" s="2" t="e">
        <f>IF(Tabla1[[#This Row],[fecha]]="","",TEXT(Tabla1[[#This Row],[fecha]],"DMMAAAA")&amp;TEXT(Tabla1[[#This Row],[hora]],"HHmm"))</f>
        <v>#VALUE!</v>
      </c>
      <c r="S247" s="19" t="e">
        <f>_xlfn.CONCAT(Tabla1[[#This Row],[codigo_]],Tabla1[[#This Row],[correlativo_]])</f>
        <v>#VALUE!</v>
      </c>
      <c r="T247" s="2" t="str">
        <f t="shared" si="6"/>
        <v>10 de julio del 2025</v>
      </c>
      <c r="U247" s="2" t="e">
        <f>_xlfn.XLOOKUP(Tabla1[[#This Row],[instructor_2]],diccionario_!$A$1:$A$11,diccionario_!$D$1:$D$11,,0)</f>
        <v>#VALUE!</v>
      </c>
      <c r="V247" s="2" t="str">
        <f t="shared" si="7"/>
        <v>100%</v>
      </c>
      <c r="W247" s="2" t="s">
        <v>3724</v>
      </c>
    </row>
    <row r="248" spans="1:23" ht="16.5" customHeight="1">
      <c r="A248" s="2">
        <v>363</v>
      </c>
      <c r="B248" s="2" t="s">
        <v>14</v>
      </c>
      <c r="C248" s="2" t="s">
        <v>15</v>
      </c>
      <c r="D248" s="2" t="s">
        <v>9</v>
      </c>
      <c r="E248" s="11">
        <v>45839</v>
      </c>
      <c r="F248" s="14">
        <v>0.72569444444444398</v>
      </c>
      <c r="G248" s="2" t="s">
        <v>3725</v>
      </c>
      <c r="H248" s="2" t="s">
        <v>3726</v>
      </c>
      <c r="I248" s="2" t="s">
        <v>11</v>
      </c>
      <c r="J248" s="2" t="s">
        <v>12</v>
      </c>
      <c r="K248" s="2" t="s">
        <v>13</v>
      </c>
      <c r="L248" s="2"/>
      <c r="M248" s="2"/>
      <c r="N248" s="7" t="s">
        <v>13</v>
      </c>
      <c r="O248" s="6">
        <v>1</v>
      </c>
      <c r="P248" s="2" t="s">
        <v>3680</v>
      </c>
      <c r="Q248" s="2" t="e">
        <f>IF(Tabla1[[#This Row],[evaluacion_]]="","",IF(Tabla1[[#This Row],[evaluacion_]]=1,"Habilitado","No Habilitado"))</f>
        <v>#VALUE!</v>
      </c>
      <c r="R248" s="2" t="e">
        <f>IF(Tabla1[[#This Row],[fecha]]="","",TEXT(Tabla1[[#This Row],[fecha]],"DMMAAAA")&amp;TEXT(Tabla1[[#This Row],[hora]],"HHmm"))</f>
        <v>#VALUE!</v>
      </c>
      <c r="S248" s="19" t="e">
        <f>_xlfn.CONCAT(Tabla1[[#This Row],[codigo_]],Tabla1[[#This Row],[correlativo_]])</f>
        <v>#VALUE!</v>
      </c>
      <c r="T248" s="2" t="str">
        <f t="shared" si="6"/>
        <v>1 de julio del 2025</v>
      </c>
      <c r="U248" s="2" t="e">
        <f>_xlfn.XLOOKUP(Tabla1[[#This Row],[instructor_2]],diccionario_!$A$1:$A$11,diccionario_!$D$1:$D$11,,0)</f>
        <v>#VALUE!</v>
      </c>
      <c r="V248" s="2" t="str">
        <f t="shared" si="7"/>
        <v>100%</v>
      </c>
      <c r="W248" s="2" t="s">
        <v>3727</v>
      </c>
    </row>
    <row r="249" spans="1:23" ht="16.5" customHeight="1">
      <c r="A249" s="2">
        <v>364</v>
      </c>
      <c r="B249" s="2" t="s">
        <v>14</v>
      </c>
      <c r="C249" s="2" t="s">
        <v>15</v>
      </c>
      <c r="D249" s="2" t="s">
        <v>9</v>
      </c>
      <c r="E249" s="11">
        <v>45839</v>
      </c>
      <c r="F249" s="14">
        <v>0.72777777777777797</v>
      </c>
      <c r="G249" s="2" t="s">
        <v>3042</v>
      </c>
      <c r="H249" s="2" t="s">
        <v>3043</v>
      </c>
      <c r="I249" s="2" t="s">
        <v>11</v>
      </c>
      <c r="J249" s="2" t="s">
        <v>12</v>
      </c>
      <c r="K249" s="2" t="s">
        <v>13</v>
      </c>
      <c r="L249" s="2"/>
      <c r="M249" s="2"/>
      <c r="N249" s="7" t="s">
        <v>13</v>
      </c>
      <c r="O249" s="6">
        <v>1</v>
      </c>
      <c r="P249" s="2" t="s">
        <v>3680</v>
      </c>
      <c r="Q249" s="2" t="e">
        <f>IF(Tabla1[[#This Row],[evaluacion_]]="","",IF(Tabla1[[#This Row],[evaluacion_]]=1,"Habilitado","No Habilitado"))</f>
        <v>#VALUE!</v>
      </c>
      <c r="R249" s="2" t="e">
        <f>IF(Tabla1[[#This Row],[fecha]]="","",TEXT(Tabla1[[#This Row],[fecha]],"DMMAAAA")&amp;TEXT(Tabla1[[#This Row],[hora]],"HHmm"))</f>
        <v>#VALUE!</v>
      </c>
      <c r="S249" s="19" t="e">
        <f>_xlfn.CONCAT(Tabla1[[#This Row],[codigo_]],Tabla1[[#This Row],[correlativo_]])</f>
        <v>#VALUE!</v>
      </c>
      <c r="T249" s="2" t="str">
        <f t="shared" si="6"/>
        <v>1 de julio del 2025</v>
      </c>
      <c r="U249" s="2" t="e">
        <f>_xlfn.XLOOKUP(Tabla1[[#This Row],[instructor_2]],diccionario_!$A$1:$A$11,diccionario_!$D$1:$D$11,,0)</f>
        <v>#VALUE!</v>
      </c>
      <c r="V249" s="2" t="str">
        <f t="shared" si="7"/>
        <v>100%</v>
      </c>
      <c r="W249" s="2" t="s">
        <v>3727</v>
      </c>
    </row>
    <row r="250" spans="1:23" ht="16.5" customHeight="1">
      <c r="A250" s="2">
        <v>365</v>
      </c>
      <c r="B250" s="2" t="s">
        <v>14</v>
      </c>
      <c r="C250" s="2" t="s">
        <v>15</v>
      </c>
      <c r="D250" s="2" t="s">
        <v>9</v>
      </c>
      <c r="E250" s="11">
        <v>45845</v>
      </c>
      <c r="F250" s="14">
        <v>0.750694444444444</v>
      </c>
      <c r="G250" s="2" t="s">
        <v>2569</v>
      </c>
      <c r="H250" s="2" t="s">
        <v>2570</v>
      </c>
      <c r="I250" s="2" t="s">
        <v>11</v>
      </c>
      <c r="J250" s="2" t="s">
        <v>30</v>
      </c>
      <c r="K250" s="2" t="s">
        <v>37</v>
      </c>
      <c r="L250" s="2"/>
      <c r="M250" s="2"/>
      <c r="N250" s="7" t="s">
        <v>37</v>
      </c>
      <c r="O250" s="6">
        <v>1</v>
      </c>
      <c r="P250" s="2" t="s">
        <v>3680</v>
      </c>
      <c r="Q250" s="2" t="e">
        <f>IF(Tabla1[[#This Row],[evaluacion_]]="","",IF(Tabla1[[#This Row],[evaluacion_]]=1,"Habilitado","No Habilitado"))</f>
        <v>#VALUE!</v>
      </c>
      <c r="R250" s="2" t="e">
        <f>IF(Tabla1[[#This Row],[fecha]]="","",TEXT(Tabla1[[#This Row],[fecha]],"DMMAAAA")&amp;TEXT(Tabla1[[#This Row],[hora]],"HHmm"))</f>
        <v>#VALUE!</v>
      </c>
      <c r="S250" s="19" t="e">
        <f>_xlfn.CONCAT(Tabla1[[#This Row],[codigo_]],Tabla1[[#This Row],[correlativo_]])</f>
        <v>#VALUE!</v>
      </c>
      <c r="T250" s="2" t="str">
        <f t="shared" si="6"/>
        <v>7 de julio del 2025</v>
      </c>
      <c r="U250" s="2" t="e">
        <f>_xlfn.XLOOKUP(Tabla1[[#This Row],[instructor_2]],diccionario_!$A$1:$A$11,diccionario_!$D$1:$D$11,,0)</f>
        <v>#VALUE!</v>
      </c>
      <c r="V250" s="2" t="str">
        <f t="shared" si="7"/>
        <v>100%</v>
      </c>
      <c r="W250" s="2" t="s">
        <v>3728</v>
      </c>
    </row>
    <row r="251" spans="1:23" ht="16.5" customHeight="1">
      <c r="A251" s="2">
        <v>366</v>
      </c>
      <c r="B251" s="2" t="s">
        <v>14</v>
      </c>
      <c r="C251" s="2" t="s">
        <v>15</v>
      </c>
      <c r="D251" s="2" t="s">
        <v>9</v>
      </c>
      <c r="E251" s="11">
        <v>45845</v>
      </c>
      <c r="F251" s="14">
        <v>0.75486111111111098</v>
      </c>
      <c r="G251" s="2" t="s">
        <v>649</v>
      </c>
      <c r="H251" s="2" t="s">
        <v>650</v>
      </c>
      <c r="I251" s="2" t="s">
        <v>11</v>
      </c>
      <c r="J251" s="2" t="s">
        <v>30</v>
      </c>
      <c r="K251" s="2" t="s">
        <v>37</v>
      </c>
      <c r="L251" s="2"/>
      <c r="M251" s="2"/>
      <c r="N251" s="7" t="s">
        <v>37</v>
      </c>
      <c r="O251" s="6">
        <v>1</v>
      </c>
      <c r="P251" s="2" t="s">
        <v>3680</v>
      </c>
      <c r="Q251" s="2" t="e">
        <f>IF(Tabla1[[#This Row],[evaluacion_]]="","",IF(Tabla1[[#This Row],[evaluacion_]]=1,"Habilitado","No Habilitado"))</f>
        <v>#VALUE!</v>
      </c>
      <c r="R251" s="2" t="e">
        <f>IF(Tabla1[[#This Row],[fecha]]="","",TEXT(Tabla1[[#This Row],[fecha]],"DMMAAAA")&amp;TEXT(Tabla1[[#This Row],[hora]],"HHmm"))</f>
        <v>#VALUE!</v>
      </c>
      <c r="S251" s="19" t="e">
        <f>_xlfn.CONCAT(Tabla1[[#This Row],[codigo_]],Tabla1[[#This Row],[correlativo_]])</f>
        <v>#VALUE!</v>
      </c>
      <c r="T251" s="2" t="str">
        <f t="shared" si="6"/>
        <v>7 de julio del 2025</v>
      </c>
      <c r="U251" s="2" t="e">
        <f>_xlfn.XLOOKUP(Tabla1[[#This Row],[instructor_2]],diccionario_!$A$1:$A$11,diccionario_!$D$1:$D$11,,0)</f>
        <v>#VALUE!</v>
      </c>
      <c r="V251" s="2" t="str">
        <f t="shared" si="7"/>
        <v>100%</v>
      </c>
      <c r="W251" s="2" t="s">
        <v>3728</v>
      </c>
    </row>
    <row r="252" spans="1:23" ht="16.5" customHeight="1">
      <c r="A252" s="2">
        <v>367</v>
      </c>
      <c r="B252" s="2" t="s">
        <v>14</v>
      </c>
      <c r="C252" s="2" t="s">
        <v>15</v>
      </c>
      <c r="D252" s="2" t="s">
        <v>9</v>
      </c>
      <c r="E252" s="11">
        <v>45867</v>
      </c>
      <c r="F252" s="14">
        <v>0.40277777777777801</v>
      </c>
      <c r="G252" s="2" t="s">
        <v>3729</v>
      </c>
      <c r="H252" s="2" t="s">
        <v>3730</v>
      </c>
      <c r="I252" s="2" t="s">
        <v>11</v>
      </c>
      <c r="J252" s="2" t="s">
        <v>24</v>
      </c>
      <c r="K252" s="2" t="s">
        <v>13</v>
      </c>
      <c r="L252" s="2" t="s">
        <v>19</v>
      </c>
      <c r="M252" s="2"/>
      <c r="N252" s="7" t="s">
        <v>3721</v>
      </c>
      <c r="O252" s="6">
        <v>1</v>
      </c>
      <c r="P252" s="2" t="s">
        <v>3680</v>
      </c>
      <c r="Q252" s="2" t="e">
        <f>IF(Tabla1[[#This Row],[evaluacion_]]="","",IF(Tabla1[[#This Row],[evaluacion_]]=1,"Habilitado","No Habilitado"))</f>
        <v>#VALUE!</v>
      </c>
      <c r="R252" s="2" t="e">
        <f>IF(Tabla1[[#This Row],[fecha]]="","",TEXT(Tabla1[[#This Row],[fecha]],"DMMAAAA")&amp;TEXT(Tabla1[[#This Row],[hora]],"HHmm"))</f>
        <v>#VALUE!</v>
      </c>
      <c r="S252" s="19" t="e">
        <f>_xlfn.CONCAT(Tabla1[[#This Row],[codigo_]],Tabla1[[#This Row],[correlativo_]])</f>
        <v>#VALUE!</v>
      </c>
      <c r="T252" s="2" t="str">
        <f t="shared" si="6"/>
        <v>29 de julio del 2025</v>
      </c>
      <c r="U252" s="2" t="e">
        <f>_xlfn.XLOOKUP(Tabla1[[#This Row],[instructor_2]],diccionario_!$A$1:$A$11,diccionario_!$D$1:$D$11,,0)</f>
        <v>#VALUE!</v>
      </c>
      <c r="V252" s="2" t="str">
        <f t="shared" si="7"/>
        <v>100%</v>
      </c>
      <c r="W252" s="2" t="s">
        <v>3731</v>
      </c>
    </row>
    <row r="253" spans="1:23" ht="16.5" customHeight="1">
      <c r="A253" s="2">
        <v>368</v>
      </c>
      <c r="B253" s="2" t="s">
        <v>14</v>
      </c>
      <c r="C253" s="2" t="s">
        <v>15</v>
      </c>
      <c r="D253" s="2" t="s">
        <v>9</v>
      </c>
      <c r="E253" s="11">
        <v>45867</v>
      </c>
      <c r="F253" s="14">
        <v>0.40416666666666701</v>
      </c>
      <c r="G253" s="2" t="s">
        <v>3729</v>
      </c>
      <c r="H253" s="2" t="s">
        <v>3730</v>
      </c>
      <c r="I253" s="2" t="s">
        <v>29</v>
      </c>
      <c r="J253" s="2" t="s">
        <v>24</v>
      </c>
      <c r="K253" s="2" t="s">
        <v>46</v>
      </c>
      <c r="L253" s="2" t="s">
        <v>47</v>
      </c>
      <c r="M253" s="2"/>
      <c r="N253" s="7" t="s">
        <v>3521</v>
      </c>
      <c r="O253" s="6">
        <v>1</v>
      </c>
      <c r="P253" s="2" t="s">
        <v>3680</v>
      </c>
      <c r="Q253" s="2" t="e">
        <f>IF(Tabla1[[#This Row],[evaluacion_]]="","",IF(Tabla1[[#This Row],[evaluacion_]]=1,"Habilitado","No Habilitado"))</f>
        <v>#VALUE!</v>
      </c>
      <c r="R253" s="2" t="e">
        <f>IF(Tabla1[[#This Row],[fecha]]="","",TEXT(Tabla1[[#This Row],[fecha]],"DMMAAAA")&amp;TEXT(Tabla1[[#This Row],[hora]],"HHmm"))</f>
        <v>#VALUE!</v>
      </c>
      <c r="S253" s="19" t="e">
        <f>_xlfn.CONCAT(Tabla1[[#This Row],[codigo_]],Tabla1[[#This Row],[correlativo_]])</f>
        <v>#VALUE!</v>
      </c>
      <c r="T253" s="2" t="str">
        <f t="shared" si="6"/>
        <v>29 de julio del 2025</v>
      </c>
      <c r="U253" s="2" t="e">
        <f>_xlfn.XLOOKUP(Tabla1[[#This Row],[instructor_2]],diccionario_!$A$1:$A$11,diccionario_!$D$1:$D$11,,0)</f>
        <v>#VALUE!</v>
      </c>
      <c r="V253" s="2" t="str">
        <f t="shared" si="7"/>
        <v>100%</v>
      </c>
      <c r="W253" s="2" t="s">
        <v>3731</v>
      </c>
    </row>
    <row r="254" spans="1:23" ht="16.5" customHeight="1">
      <c r="A254" s="2">
        <v>369</v>
      </c>
      <c r="B254" s="2" t="s">
        <v>14</v>
      </c>
      <c r="C254" s="2" t="s">
        <v>15</v>
      </c>
      <c r="D254" s="2" t="s">
        <v>9</v>
      </c>
      <c r="E254" s="11">
        <v>45867</v>
      </c>
      <c r="F254" s="14">
        <v>0.39930555555555602</v>
      </c>
      <c r="G254" s="2" t="s">
        <v>1601</v>
      </c>
      <c r="H254" s="2" t="s">
        <v>1602</v>
      </c>
      <c r="I254" s="2" t="s">
        <v>11</v>
      </c>
      <c r="J254" s="2" t="s">
        <v>12</v>
      </c>
      <c r="K254" s="2" t="s">
        <v>13</v>
      </c>
      <c r="L254" s="2"/>
      <c r="M254" s="2"/>
      <c r="N254" s="7" t="s">
        <v>13</v>
      </c>
      <c r="O254" s="6">
        <v>1</v>
      </c>
      <c r="P254" s="2" t="s">
        <v>3680</v>
      </c>
      <c r="Q254" s="2" t="e">
        <f>IF(Tabla1[[#This Row],[evaluacion_]]="","",IF(Tabla1[[#This Row],[evaluacion_]]=1,"Habilitado","No Habilitado"))</f>
        <v>#VALUE!</v>
      </c>
      <c r="R254" s="2" t="e">
        <f>IF(Tabla1[[#This Row],[fecha]]="","",TEXT(Tabla1[[#This Row],[fecha]],"DMMAAAA")&amp;TEXT(Tabla1[[#This Row],[hora]],"HHmm"))</f>
        <v>#VALUE!</v>
      </c>
      <c r="S254" s="19" t="e">
        <f>_xlfn.CONCAT(Tabla1[[#This Row],[codigo_]],Tabla1[[#This Row],[correlativo_]])</f>
        <v>#VALUE!</v>
      </c>
      <c r="T254" s="2" t="str">
        <f t="shared" si="6"/>
        <v>29 de julio del 2025</v>
      </c>
      <c r="U254" s="2" t="e">
        <f>_xlfn.XLOOKUP(Tabla1[[#This Row],[instructor_2]],diccionario_!$A$1:$A$11,diccionario_!$D$1:$D$11,,0)</f>
        <v>#VALUE!</v>
      </c>
      <c r="V254" s="2" t="str">
        <f t="shared" si="7"/>
        <v>100%</v>
      </c>
      <c r="W254" s="2" t="s">
        <v>3732</v>
      </c>
    </row>
    <row r="255" spans="1:23" ht="16.5" customHeight="1">
      <c r="A255" s="2">
        <v>370</v>
      </c>
      <c r="B255" s="2" t="s">
        <v>14</v>
      </c>
      <c r="C255" s="2" t="s">
        <v>15</v>
      </c>
      <c r="D255" s="2" t="s">
        <v>9</v>
      </c>
      <c r="E255" s="11">
        <v>45853</v>
      </c>
      <c r="F255" s="14">
        <v>0.40277777777777801</v>
      </c>
      <c r="G255" s="2" t="s">
        <v>1649</v>
      </c>
      <c r="H255" s="2" t="s">
        <v>1650</v>
      </c>
      <c r="I255" s="2" t="s">
        <v>11</v>
      </c>
      <c r="J255" s="2" t="s">
        <v>12</v>
      </c>
      <c r="K255" s="2" t="s">
        <v>13</v>
      </c>
      <c r="L255" s="2"/>
      <c r="M255" s="2"/>
      <c r="N255" s="7" t="s">
        <v>13</v>
      </c>
      <c r="O255" s="6">
        <v>1</v>
      </c>
      <c r="P255" s="2" t="s">
        <v>3680</v>
      </c>
      <c r="Q255" s="2" t="e">
        <f>IF(Tabla1[[#This Row],[evaluacion_]]="","",IF(Tabla1[[#This Row],[evaluacion_]]=1,"Habilitado","No Habilitado"))</f>
        <v>#VALUE!</v>
      </c>
      <c r="R255" s="2" t="e">
        <f>IF(Tabla1[[#This Row],[fecha]]="","",TEXT(Tabla1[[#This Row],[fecha]],"DMMAAAA")&amp;TEXT(Tabla1[[#This Row],[hora]],"HHmm"))</f>
        <v>#VALUE!</v>
      </c>
      <c r="S255" s="19" t="e">
        <f>_xlfn.CONCAT(Tabla1[[#This Row],[codigo_]],Tabla1[[#This Row],[correlativo_]])</f>
        <v>#VALUE!</v>
      </c>
      <c r="T255" s="2" t="str">
        <f t="shared" si="6"/>
        <v>15 de julio del 2025</v>
      </c>
      <c r="U255" s="2" t="e">
        <f>_xlfn.XLOOKUP(Tabla1[[#This Row],[instructor_2]],diccionario_!$A$1:$A$11,diccionario_!$D$1:$D$11,,0)</f>
        <v>#VALUE!</v>
      </c>
      <c r="V255" s="2" t="str">
        <f t="shared" si="7"/>
        <v>100%</v>
      </c>
      <c r="W255" s="2" t="s">
        <v>3733</v>
      </c>
    </row>
    <row r="256" spans="1:23" ht="16.5" customHeight="1">
      <c r="A256" s="2">
        <v>371</v>
      </c>
      <c r="B256" s="2" t="s">
        <v>14</v>
      </c>
      <c r="C256" s="2" t="s">
        <v>15</v>
      </c>
      <c r="D256" s="2" t="s">
        <v>9</v>
      </c>
      <c r="E256" s="11">
        <v>45853</v>
      </c>
      <c r="F256" s="14">
        <v>0.41666666666666702</v>
      </c>
      <c r="G256" s="2" t="s">
        <v>3734</v>
      </c>
      <c r="H256" s="2" t="s">
        <v>3735</v>
      </c>
      <c r="I256" s="2" t="s">
        <v>17</v>
      </c>
      <c r="J256" s="2" t="s">
        <v>12</v>
      </c>
      <c r="K256" s="2" t="s">
        <v>49</v>
      </c>
      <c r="L256" s="2"/>
      <c r="M256" s="2"/>
      <c r="N256" s="7" t="s">
        <v>49</v>
      </c>
      <c r="O256" s="6">
        <v>1</v>
      </c>
      <c r="P256" s="2" t="s">
        <v>3680</v>
      </c>
      <c r="Q256" s="2" t="e">
        <f>IF(Tabla1[[#This Row],[evaluacion_]]="","",IF(Tabla1[[#This Row],[evaluacion_]]=1,"Habilitado","No Habilitado"))</f>
        <v>#VALUE!</v>
      </c>
      <c r="R256" s="2" t="e">
        <f>IF(Tabla1[[#This Row],[fecha]]="","",TEXT(Tabla1[[#This Row],[fecha]],"DMMAAAA")&amp;TEXT(Tabla1[[#This Row],[hora]],"HHmm"))</f>
        <v>#VALUE!</v>
      </c>
      <c r="S256" s="19" t="e">
        <f>_xlfn.CONCAT(Tabla1[[#This Row],[codigo_]],Tabla1[[#This Row],[correlativo_]])</f>
        <v>#VALUE!</v>
      </c>
      <c r="T256" s="2" t="str">
        <f t="shared" si="6"/>
        <v>15 de julio del 2025</v>
      </c>
      <c r="U256" s="2" t="e">
        <f>_xlfn.XLOOKUP(Tabla1[[#This Row],[instructor_2]],diccionario_!$A$1:$A$11,diccionario_!$D$1:$D$11,,0)</f>
        <v>#VALUE!</v>
      </c>
      <c r="V256" s="2" t="str">
        <f t="shared" si="7"/>
        <v>100%</v>
      </c>
      <c r="W256" s="2" t="s">
        <v>3736</v>
      </c>
    </row>
    <row r="257" spans="1:23" ht="16.5" customHeight="1">
      <c r="A257" s="2">
        <v>372</v>
      </c>
      <c r="B257" s="2" t="s">
        <v>14</v>
      </c>
      <c r="C257" s="2" t="s">
        <v>15</v>
      </c>
      <c r="D257" s="2" t="s">
        <v>9</v>
      </c>
      <c r="E257" s="11">
        <v>45853</v>
      </c>
      <c r="F257" s="14">
        <v>0.41736111111111102</v>
      </c>
      <c r="G257" s="2" t="s">
        <v>3734</v>
      </c>
      <c r="H257" s="2" t="s">
        <v>3735</v>
      </c>
      <c r="I257" s="2" t="s">
        <v>11</v>
      </c>
      <c r="J257" s="2" t="s">
        <v>12</v>
      </c>
      <c r="K257" s="2" t="s">
        <v>13</v>
      </c>
      <c r="L257" s="2"/>
      <c r="M257" s="2"/>
      <c r="N257" s="7" t="s">
        <v>13</v>
      </c>
      <c r="O257" s="6">
        <v>1</v>
      </c>
      <c r="P257" s="2" t="s">
        <v>3680</v>
      </c>
      <c r="Q257" s="2" t="e">
        <f>IF(Tabla1[[#This Row],[evaluacion_]]="","",IF(Tabla1[[#This Row],[evaluacion_]]=1,"Habilitado","No Habilitado"))</f>
        <v>#VALUE!</v>
      </c>
      <c r="R257" s="2" t="e">
        <f>IF(Tabla1[[#This Row],[fecha]]="","",TEXT(Tabla1[[#This Row],[fecha]],"DMMAAAA")&amp;TEXT(Tabla1[[#This Row],[hora]],"HHmm"))</f>
        <v>#VALUE!</v>
      </c>
      <c r="S257" s="19" t="e">
        <f>_xlfn.CONCAT(Tabla1[[#This Row],[codigo_]],Tabla1[[#This Row],[correlativo_]])</f>
        <v>#VALUE!</v>
      </c>
      <c r="T257" s="2" t="str">
        <f t="shared" si="6"/>
        <v>15 de julio del 2025</v>
      </c>
      <c r="U257" s="2" t="e">
        <f>_xlfn.XLOOKUP(Tabla1[[#This Row],[instructor_2]],diccionario_!$A$1:$A$11,diccionario_!$D$1:$D$11,,0)</f>
        <v>#VALUE!</v>
      </c>
      <c r="V257" s="2" t="str">
        <f t="shared" si="7"/>
        <v>100%</v>
      </c>
      <c r="W257" s="2" t="s">
        <v>3736</v>
      </c>
    </row>
    <row r="258" spans="1:23">
      <c r="A258">
        <v>377</v>
      </c>
      <c r="B258" t="s">
        <v>7</v>
      </c>
      <c r="C258" t="s">
        <v>8</v>
      </c>
      <c r="D258" t="s">
        <v>9</v>
      </c>
      <c r="E258">
        <v>45881</v>
      </c>
      <c r="F258">
        <v>0.66666666666666696</v>
      </c>
      <c r="G258" t="s">
        <v>2478</v>
      </c>
      <c r="H258" t="s">
        <v>2479</v>
      </c>
      <c r="I258" t="s">
        <v>11</v>
      </c>
      <c r="J258" t="s">
        <v>12</v>
      </c>
      <c r="K258" t="s">
        <v>13</v>
      </c>
      <c r="L258" t="s">
        <v>3660</v>
      </c>
      <c r="M258" t="s">
        <v>3660</v>
      </c>
      <c r="N258" t="s">
        <v>13</v>
      </c>
      <c r="O258">
        <v>1</v>
      </c>
      <c r="P258" t="s">
        <v>3503</v>
      </c>
      <c r="Q258" t="s">
        <v>3737</v>
      </c>
      <c r="R258" t="s">
        <v>3738</v>
      </c>
      <c r="S258" t="s">
        <v>3739</v>
      </c>
      <c r="T258" t="s">
        <v>3740</v>
      </c>
      <c r="U258" t="s">
        <v>10</v>
      </c>
      <c r="V258" t="s">
        <v>3741</v>
      </c>
      <c r="W258" t="s">
        <v>3742</v>
      </c>
    </row>
    <row r="259" spans="1:23">
      <c r="A259">
        <v>378</v>
      </c>
      <c r="B259" t="s">
        <v>7</v>
      </c>
      <c r="C259" t="s">
        <v>8</v>
      </c>
      <c r="D259" t="s">
        <v>9</v>
      </c>
      <c r="E259">
        <v>45873</v>
      </c>
      <c r="F259">
        <v>0.41666666666666702</v>
      </c>
      <c r="G259" t="s">
        <v>2679</v>
      </c>
      <c r="H259" t="s">
        <v>2680</v>
      </c>
      <c r="I259" t="s">
        <v>23</v>
      </c>
      <c r="J259" t="s">
        <v>12</v>
      </c>
      <c r="K259" t="s">
        <v>41</v>
      </c>
      <c r="N259" t="s">
        <v>41</v>
      </c>
      <c r="O259">
        <v>1</v>
      </c>
      <c r="P259" t="s">
        <v>3503</v>
      </c>
      <c r="Q259" t="s">
        <v>3737</v>
      </c>
      <c r="R259" t="s">
        <v>3743</v>
      </c>
      <c r="S259" t="s">
        <v>3744</v>
      </c>
      <c r="T259" t="s">
        <v>3745</v>
      </c>
      <c r="U259" t="s">
        <v>10</v>
      </c>
      <c r="V259" t="s">
        <v>3741</v>
      </c>
      <c r="W259" t="s">
        <v>3746</v>
      </c>
    </row>
    <row r="260" spans="1:23">
      <c r="A260">
        <v>379</v>
      </c>
      <c r="B260" t="s">
        <v>7</v>
      </c>
      <c r="C260" t="s">
        <v>8</v>
      </c>
      <c r="D260" t="s">
        <v>9</v>
      </c>
      <c r="E260">
        <v>45880</v>
      </c>
      <c r="F260">
        <v>0.5</v>
      </c>
      <c r="G260" t="s">
        <v>1719</v>
      </c>
      <c r="H260" t="s">
        <v>1720</v>
      </c>
      <c r="I260" t="s">
        <v>11</v>
      </c>
      <c r="K260" t="s">
        <v>13</v>
      </c>
      <c r="L260" t="s">
        <v>37</v>
      </c>
      <c r="M260" t="s">
        <v>25</v>
      </c>
      <c r="N260" t="s">
        <v>3644</v>
      </c>
      <c r="O260">
        <v>1</v>
      </c>
      <c r="P260" t="s">
        <v>3503</v>
      </c>
      <c r="Q260" t="s">
        <v>3737</v>
      </c>
      <c r="R260" t="s">
        <v>3747</v>
      </c>
      <c r="S260" t="s">
        <v>3748</v>
      </c>
      <c r="T260" t="s">
        <v>3749</v>
      </c>
      <c r="U260" t="s">
        <v>10</v>
      </c>
      <c r="V260" t="s">
        <v>3741</v>
      </c>
      <c r="W260" t="s">
        <v>3750</v>
      </c>
    </row>
    <row r="261" spans="1:23">
      <c r="A261">
        <v>380</v>
      </c>
      <c r="B261" t="s">
        <v>7</v>
      </c>
      <c r="C261" t="s">
        <v>8</v>
      </c>
      <c r="D261" t="s">
        <v>9</v>
      </c>
      <c r="E261">
        <v>45880</v>
      </c>
      <c r="F261">
        <v>0.500694444444444</v>
      </c>
      <c r="G261" t="s">
        <v>192</v>
      </c>
      <c r="H261" t="s">
        <v>193</v>
      </c>
      <c r="I261" t="s">
        <v>11</v>
      </c>
      <c r="K261" t="s">
        <v>13</v>
      </c>
      <c r="L261" t="s">
        <v>37</v>
      </c>
      <c r="M261" t="s">
        <v>25</v>
      </c>
      <c r="N261" t="s">
        <v>3644</v>
      </c>
      <c r="O261">
        <v>1</v>
      </c>
      <c r="P261" t="s">
        <v>3503</v>
      </c>
      <c r="Q261" t="s">
        <v>3737</v>
      </c>
      <c r="R261" t="s">
        <v>3751</v>
      </c>
      <c r="S261" t="s">
        <v>3752</v>
      </c>
      <c r="T261" t="s">
        <v>3749</v>
      </c>
      <c r="U261" t="s">
        <v>10</v>
      </c>
      <c r="V261" t="s">
        <v>3741</v>
      </c>
      <c r="W261" t="s">
        <v>3750</v>
      </c>
    </row>
    <row r="262" spans="1:23">
      <c r="A262">
        <v>381</v>
      </c>
      <c r="B262" t="s">
        <v>7</v>
      </c>
      <c r="C262" t="s">
        <v>8</v>
      </c>
      <c r="D262" t="s">
        <v>9</v>
      </c>
      <c r="E262">
        <v>45880</v>
      </c>
      <c r="F262">
        <v>0.50208333333333299</v>
      </c>
      <c r="G262" t="s">
        <v>1571</v>
      </c>
      <c r="H262" t="s">
        <v>1572</v>
      </c>
      <c r="I262" t="s">
        <v>11</v>
      </c>
      <c r="K262" t="s">
        <v>13</v>
      </c>
      <c r="L262" t="s">
        <v>37</v>
      </c>
      <c r="M262" t="s">
        <v>25</v>
      </c>
      <c r="N262" t="s">
        <v>3644</v>
      </c>
      <c r="O262">
        <v>1</v>
      </c>
      <c r="P262" t="s">
        <v>3503</v>
      </c>
      <c r="Q262" t="s">
        <v>3737</v>
      </c>
      <c r="R262" t="s">
        <v>3753</v>
      </c>
      <c r="S262" t="s">
        <v>3754</v>
      </c>
      <c r="T262" t="s">
        <v>3749</v>
      </c>
      <c r="U262" t="s">
        <v>10</v>
      </c>
      <c r="V262" t="s">
        <v>3741</v>
      </c>
      <c r="W262" t="s">
        <v>3750</v>
      </c>
    </row>
    <row r="263" spans="1:23">
      <c r="A263">
        <v>383</v>
      </c>
      <c r="B263" t="s">
        <v>7</v>
      </c>
      <c r="C263" t="s">
        <v>8</v>
      </c>
      <c r="D263" t="s">
        <v>9</v>
      </c>
      <c r="E263">
        <v>45881</v>
      </c>
      <c r="F263">
        <v>0.66736111111111096</v>
      </c>
      <c r="G263" t="s">
        <v>192</v>
      </c>
      <c r="H263" t="s">
        <v>193</v>
      </c>
      <c r="I263" t="s">
        <v>23</v>
      </c>
      <c r="J263" t="s">
        <v>12</v>
      </c>
      <c r="K263" t="s">
        <v>41</v>
      </c>
      <c r="N263" t="s">
        <v>41</v>
      </c>
      <c r="O263">
        <v>1</v>
      </c>
      <c r="P263" t="s">
        <v>3503</v>
      </c>
      <c r="Q263" t="s">
        <v>3737</v>
      </c>
      <c r="R263" t="s">
        <v>3755</v>
      </c>
      <c r="S263" t="s">
        <v>3756</v>
      </c>
      <c r="T263" t="s">
        <v>3740</v>
      </c>
      <c r="U263" t="s">
        <v>10</v>
      </c>
      <c r="V263" t="s">
        <v>3741</v>
      </c>
      <c r="W263" t="s">
        <v>3757</v>
      </c>
    </row>
    <row r="264" spans="1:23">
      <c r="A264">
        <v>384</v>
      </c>
      <c r="B264" t="s">
        <v>7</v>
      </c>
      <c r="C264" t="s">
        <v>8</v>
      </c>
      <c r="D264" t="s">
        <v>9</v>
      </c>
      <c r="E264">
        <v>45881</v>
      </c>
      <c r="F264">
        <v>0.66805555555555596</v>
      </c>
      <c r="G264" t="s">
        <v>1571</v>
      </c>
      <c r="H264" t="s">
        <v>1572</v>
      </c>
      <c r="I264" t="s">
        <v>23</v>
      </c>
      <c r="J264" t="s">
        <v>12</v>
      </c>
      <c r="K264" t="s">
        <v>41</v>
      </c>
      <c r="N264" t="s">
        <v>41</v>
      </c>
      <c r="O264">
        <v>1</v>
      </c>
      <c r="P264" t="s">
        <v>3503</v>
      </c>
      <c r="Q264" t="s">
        <v>3737</v>
      </c>
      <c r="R264" t="s">
        <v>3758</v>
      </c>
      <c r="S264" t="s">
        <v>3759</v>
      </c>
      <c r="T264" t="s">
        <v>3740</v>
      </c>
      <c r="U264" t="s">
        <v>10</v>
      </c>
      <c r="V264" t="s">
        <v>3741</v>
      </c>
      <c r="W264" t="s">
        <v>3757</v>
      </c>
    </row>
    <row r="265" spans="1:23">
      <c r="A265">
        <v>385</v>
      </c>
      <c r="B265" t="s">
        <v>7</v>
      </c>
      <c r="C265" t="s">
        <v>8</v>
      </c>
      <c r="D265" t="s">
        <v>9</v>
      </c>
      <c r="E265">
        <v>45881</v>
      </c>
      <c r="F265">
        <v>0.72916666666666696</v>
      </c>
      <c r="G265" t="s">
        <v>2042</v>
      </c>
      <c r="H265" t="s">
        <v>2043</v>
      </c>
      <c r="I265" t="s">
        <v>11</v>
      </c>
      <c r="J265" t="s">
        <v>36</v>
      </c>
      <c r="K265" t="s">
        <v>25</v>
      </c>
      <c r="N265" t="s">
        <v>25</v>
      </c>
      <c r="O265">
        <v>1</v>
      </c>
      <c r="P265" t="s">
        <v>3503</v>
      </c>
      <c r="Q265" t="s">
        <v>3737</v>
      </c>
      <c r="R265" t="s">
        <v>3760</v>
      </c>
      <c r="S265" t="s">
        <v>3761</v>
      </c>
      <c r="T265" t="s">
        <v>3740</v>
      </c>
      <c r="U265" t="s">
        <v>10</v>
      </c>
      <c r="V265" t="s">
        <v>3741</v>
      </c>
      <c r="W265" t="s">
        <v>3762</v>
      </c>
    </row>
    <row r="266" spans="1:23">
      <c r="A266">
        <v>386</v>
      </c>
      <c r="B266" t="s">
        <v>7</v>
      </c>
      <c r="C266" t="s">
        <v>8</v>
      </c>
      <c r="D266" t="s">
        <v>9</v>
      </c>
      <c r="E266">
        <v>45853</v>
      </c>
      <c r="F266">
        <v>0.70833333333333304</v>
      </c>
      <c r="G266" t="s">
        <v>240</v>
      </c>
      <c r="H266" t="s">
        <v>241</v>
      </c>
      <c r="I266" t="s">
        <v>17</v>
      </c>
      <c r="J266" t="s">
        <v>12</v>
      </c>
      <c r="K266" t="s">
        <v>49</v>
      </c>
      <c r="N266" t="s">
        <v>49</v>
      </c>
      <c r="O266">
        <v>1</v>
      </c>
      <c r="P266" t="s">
        <v>3503</v>
      </c>
      <c r="Q266" t="s">
        <v>3737</v>
      </c>
      <c r="R266" t="s">
        <v>3763</v>
      </c>
      <c r="S266" t="s">
        <v>3764</v>
      </c>
      <c r="T266" t="s">
        <v>3765</v>
      </c>
      <c r="U266" t="s">
        <v>10</v>
      </c>
      <c r="V266" t="s">
        <v>3741</v>
      </c>
      <c r="W266" t="s">
        <v>3766</v>
      </c>
    </row>
    <row r="267" spans="1:23">
      <c r="A267">
        <v>387</v>
      </c>
      <c r="B267" t="s">
        <v>32</v>
      </c>
      <c r="C267" t="s">
        <v>33</v>
      </c>
      <c r="D267" t="s">
        <v>9</v>
      </c>
      <c r="E267">
        <v>45894</v>
      </c>
      <c r="F267">
        <v>0.73958333333333304</v>
      </c>
      <c r="G267" t="s">
        <v>841</v>
      </c>
      <c r="H267" t="s">
        <v>842</v>
      </c>
      <c r="I267" t="s">
        <v>11</v>
      </c>
      <c r="J267" t="s">
        <v>30</v>
      </c>
      <c r="K267" t="s">
        <v>37</v>
      </c>
      <c r="L267" t="s">
        <v>25</v>
      </c>
      <c r="N267" t="s">
        <v>3526</v>
      </c>
      <c r="O267">
        <v>1</v>
      </c>
      <c r="P267" t="s">
        <v>3503</v>
      </c>
      <c r="Q267" t="s">
        <v>3737</v>
      </c>
      <c r="R267" t="s">
        <v>3767</v>
      </c>
      <c r="S267" t="s">
        <v>3768</v>
      </c>
      <c r="T267" t="s">
        <v>3769</v>
      </c>
      <c r="U267" t="s">
        <v>34</v>
      </c>
      <c r="V267" t="s">
        <v>3741</v>
      </c>
      <c r="W267" t="s">
        <v>3770</v>
      </c>
    </row>
    <row r="268" spans="1:23">
      <c r="A268">
        <v>388</v>
      </c>
      <c r="B268" t="s">
        <v>32</v>
      </c>
      <c r="C268" t="s">
        <v>33</v>
      </c>
      <c r="D268" t="s">
        <v>9</v>
      </c>
      <c r="E268">
        <v>45895</v>
      </c>
      <c r="F268">
        <v>0.5625</v>
      </c>
      <c r="G268" t="s">
        <v>2155</v>
      </c>
      <c r="H268" t="s">
        <v>2156</v>
      </c>
      <c r="I268" t="s">
        <v>17</v>
      </c>
      <c r="J268" t="s">
        <v>12</v>
      </c>
      <c r="K268" t="s">
        <v>49</v>
      </c>
      <c r="N268" t="s">
        <v>49</v>
      </c>
      <c r="O268">
        <v>1</v>
      </c>
      <c r="P268" t="s">
        <v>3503</v>
      </c>
      <c r="Q268" t="s">
        <v>3737</v>
      </c>
      <c r="R268" t="s">
        <v>3771</v>
      </c>
      <c r="S268" t="s">
        <v>3772</v>
      </c>
      <c r="T268" t="s">
        <v>3773</v>
      </c>
      <c r="U268" t="s">
        <v>34</v>
      </c>
      <c r="V268" t="s">
        <v>3741</v>
      </c>
      <c r="W268" t="s">
        <v>3774</v>
      </c>
    </row>
    <row r="269" spans="1:23">
      <c r="A269">
        <v>389</v>
      </c>
      <c r="B269" t="s">
        <v>32</v>
      </c>
      <c r="C269" t="s">
        <v>33</v>
      </c>
      <c r="D269" t="s">
        <v>9</v>
      </c>
      <c r="E269">
        <v>45895</v>
      </c>
      <c r="F269">
        <v>0.58333333333333304</v>
      </c>
      <c r="G269" t="s">
        <v>155</v>
      </c>
      <c r="H269" t="s">
        <v>156</v>
      </c>
      <c r="I269" t="s">
        <v>11</v>
      </c>
      <c r="J269" t="s">
        <v>12</v>
      </c>
      <c r="K269" t="s">
        <v>13</v>
      </c>
      <c r="L269" t="s">
        <v>37</v>
      </c>
      <c r="M269" t="s">
        <v>25</v>
      </c>
      <c r="N269" t="s">
        <v>3644</v>
      </c>
      <c r="O269">
        <v>1</v>
      </c>
      <c r="P269" t="s">
        <v>3503</v>
      </c>
      <c r="Q269" t="s">
        <v>3737</v>
      </c>
      <c r="R269" t="s">
        <v>3775</v>
      </c>
      <c r="S269" t="s">
        <v>3776</v>
      </c>
      <c r="T269" t="s">
        <v>3773</v>
      </c>
      <c r="U269" t="s">
        <v>34</v>
      </c>
      <c r="V269" t="s">
        <v>3741</v>
      </c>
      <c r="W269" t="s">
        <v>3777</v>
      </c>
    </row>
    <row r="270" spans="1:23">
      <c r="A270">
        <v>390</v>
      </c>
      <c r="B270" t="s">
        <v>32</v>
      </c>
      <c r="C270" t="s">
        <v>33</v>
      </c>
      <c r="D270" t="s">
        <v>9</v>
      </c>
      <c r="E270">
        <v>45895</v>
      </c>
      <c r="F270">
        <v>0.59027777777777801</v>
      </c>
      <c r="G270" t="s">
        <v>155</v>
      </c>
      <c r="H270" t="s">
        <v>156</v>
      </c>
      <c r="I270" t="s">
        <v>23</v>
      </c>
      <c r="J270" t="s">
        <v>12</v>
      </c>
      <c r="K270" t="s">
        <v>41</v>
      </c>
      <c r="L270" t="s">
        <v>3660</v>
      </c>
      <c r="M270" t="s">
        <v>3660</v>
      </c>
      <c r="N270" t="s">
        <v>41</v>
      </c>
      <c r="O270">
        <v>1</v>
      </c>
      <c r="P270" t="s">
        <v>3503</v>
      </c>
      <c r="Q270" t="s">
        <v>3737</v>
      </c>
      <c r="R270" t="s">
        <v>3778</v>
      </c>
      <c r="S270" t="s">
        <v>3779</v>
      </c>
      <c r="T270" t="s">
        <v>3773</v>
      </c>
      <c r="U270" t="s">
        <v>34</v>
      </c>
      <c r="V270" t="s">
        <v>3741</v>
      </c>
      <c r="W270" t="s">
        <v>3780</v>
      </c>
    </row>
    <row r="271" spans="1:23">
      <c r="A271">
        <v>391</v>
      </c>
      <c r="B271" t="s">
        <v>32</v>
      </c>
      <c r="C271" t="s">
        <v>33</v>
      </c>
      <c r="D271" t="s">
        <v>9</v>
      </c>
      <c r="E271">
        <v>45896</v>
      </c>
      <c r="F271">
        <v>0.375</v>
      </c>
      <c r="G271" t="s">
        <v>1429</v>
      </c>
      <c r="H271" t="s">
        <v>1430</v>
      </c>
      <c r="I271" t="s">
        <v>11</v>
      </c>
      <c r="J271" t="s">
        <v>30</v>
      </c>
      <c r="K271" t="s">
        <v>37</v>
      </c>
      <c r="L271" t="s">
        <v>25</v>
      </c>
      <c r="N271" t="s">
        <v>3526</v>
      </c>
      <c r="O271">
        <v>1</v>
      </c>
      <c r="P271" t="s">
        <v>3503</v>
      </c>
      <c r="Q271" t="s">
        <v>3737</v>
      </c>
      <c r="R271" t="s">
        <v>3781</v>
      </c>
      <c r="S271" t="s">
        <v>3782</v>
      </c>
      <c r="T271" t="s">
        <v>3783</v>
      </c>
      <c r="U271" t="s">
        <v>34</v>
      </c>
      <c r="V271" t="s">
        <v>3741</v>
      </c>
      <c r="W271" t="s">
        <v>3784</v>
      </c>
    </row>
    <row r="272" spans="1:23">
      <c r="A272">
        <v>392</v>
      </c>
      <c r="B272" t="s">
        <v>32</v>
      </c>
      <c r="C272" t="s">
        <v>33</v>
      </c>
      <c r="D272" t="s">
        <v>9</v>
      </c>
      <c r="E272">
        <v>45896</v>
      </c>
      <c r="F272">
        <v>0.5</v>
      </c>
      <c r="G272" t="s">
        <v>981</v>
      </c>
      <c r="H272" t="s">
        <v>982</v>
      </c>
      <c r="I272" t="s">
        <v>11</v>
      </c>
      <c r="J272" t="s">
        <v>36</v>
      </c>
      <c r="K272" t="s">
        <v>25</v>
      </c>
      <c r="N272" t="s">
        <v>25</v>
      </c>
      <c r="O272">
        <v>1</v>
      </c>
      <c r="P272" t="s">
        <v>3503</v>
      </c>
      <c r="Q272" t="s">
        <v>3737</v>
      </c>
      <c r="R272" t="s">
        <v>3785</v>
      </c>
      <c r="S272" t="s">
        <v>3786</v>
      </c>
      <c r="T272" t="s">
        <v>3783</v>
      </c>
      <c r="U272" t="s">
        <v>34</v>
      </c>
      <c r="V272" t="s">
        <v>3741</v>
      </c>
      <c r="W272" t="s">
        <v>3787</v>
      </c>
    </row>
    <row r="273" spans="1:23">
      <c r="A273">
        <v>393</v>
      </c>
      <c r="B273" t="s">
        <v>7</v>
      </c>
      <c r="C273" t="s">
        <v>8</v>
      </c>
      <c r="D273" t="s">
        <v>9</v>
      </c>
      <c r="E273">
        <v>45898</v>
      </c>
      <c r="F273">
        <v>0.66666666666666696</v>
      </c>
      <c r="G273" t="s">
        <v>3368</v>
      </c>
      <c r="H273" t="s">
        <v>3369</v>
      </c>
      <c r="I273" t="s">
        <v>29</v>
      </c>
      <c r="J273" t="s">
        <v>24</v>
      </c>
      <c r="K273" t="s">
        <v>47</v>
      </c>
      <c r="N273" t="s">
        <v>47</v>
      </c>
      <c r="O273">
        <v>1</v>
      </c>
      <c r="P273" t="s">
        <v>3503</v>
      </c>
      <c r="Q273" t="s">
        <v>3737</v>
      </c>
      <c r="R273" t="s">
        <v>3788</v>
      </c>
      <c r="S273" t="s">
        <v>3789</v>
      </c>
      <c r="T273" t="s">
        <v>3790</v>
      </c>
      <c r="U273" t="s">
        <v>10</v>
      </c>
      <c r="V273" t="s">
        <v>3741</v>
      </c>
      <c r="W273" t="s">
        <v>3791</v>
      </c>
    </row>
    <row r="274" spans="1:23">
      <c r="A274">
        <v>394</v>
      </c>
      <c r="B274" t="s">
        <v>14</v>
      </c>
      <c r="C274" t="s">
        <v>15</v>
      </c>
      <c r="D274" t="s">
        <v>9</v>
      </c>
      <c r="E274">
        <v>45898</v>
      </c>
      <c r="F274">
        <v>0.46180555555555602</v>
      </c>
      <c r="G274" t="s">
        <v>3091</v>
      </c>
      <c r="H274" t="s">
        <v>3092</v>
      </c>
      <c r="I274" t="s">
        <v>11</v>
      </c>
      <c r="J274" t="s">
        <v>24</v>
      </c>
      <c r="K274" t="s">
        <v>19</v>
      </c>
      <c r="L274" t="s">
        <v>13</v>
      </c>
      <c r="N274" t="s">
        <v>3548</v>
      </c>
      <c r="O274">
        <v>1</v>
      </c>
      <c r="P274" t="s">
        <v>3503</v>
      </c>
      <c r="Q274" t="s">
        <v>3737</v>
      </c>
      <c r="R274" t="s">
        <v>3792</v>
      </c>
      <c r="S274" t="s">
        <v>3793</v>
      </c>
      <c r="T274" t="s">
        <v>3790</v>
      </c>
      <c r="U274" t="s">
        <v>16</v>
      </c>
      <c r="V274" t="s">
        <v>3741</v>
      </c>
      <c r="W274" t="s">
        <v>3794</v>
      </c>
    </row>
    <row r="275" spans="1:23">
      <c r="A275">
        <v>395</v>
      </c>
      <c r="B275" t="s">
        <v>14</v>
      </c>
      <c r="C275" t="s">
        <v>15</v>
      </c>
      <c r="D275" t="s">
        <v>9</v>
      </c>
      <c r="E275">
        <v>45898</v>
      </c>
      <c r="F275">
        <v>0.46319444444444402</v>
      </c>
      <c r="G275" t="s">
        <v>3091</v>
      </c>
      <c r="H275" t="s">
        <v>3092</v>
      </c>
      <c r="I275" t="s">
        <v>29</v>
      </c>
      <c r="J275" t="s">
        <v>24</v>
      </c>
      <c r="K275" t="s">
        <v>46</v>
      </c>
      <c r="L275" t="s">
        <v>47</v>
      </c>
      <c r="N275" t="s">
        <v>3521</v>
      </c>
      <c r="O275">
        <v>1</v>
      </c>
      <c r="P275" t="s">
        <v>3503</v>
      </c>
      <c r="Q275" t="s">
        <v>3737</v>
      </c>
      <c r="R275" t="s">
        <v>3795</v>
      </c>
      <c r="S275" t="s">
        <v>3796</v>
      </c>
      <c r="T275" t="s">
        <v>3790</v>
      </c>
      <c r="U275" t="s">
        <v>16</v>
      </c>
      <c r="V275" t="s">
        <v>3741</v>
      </c>
      <c r="W275" t="s">
        <v>3797</v>
      </c>
    </row>
    <row r="276" spans="1:23">
      <c r="A276">
        <v>396</v>
      </c>
      <c r="B276" t="s">
        <v>14</v>
      </c>
      <c r="C276" t="s">
        <v>15</v>
      </c>
      <c r="D276" t="s">
        <v>9</v>
      </c>
      <c r="E276">
        <v>45898</v>
      </c>
      <c r="F276">
        <v>0.46527777777777801</v>
      </c>
      <c r="G276" t="s">
        <v>3091</v>
      </c>
      <c r="H276" t="s">
        <v>3092</v>
      </c>
      <c r="I276" t="s">
        <v>23</v>
      </c>
      <c r="J276" t="s">
        <v>24</v>
      </c>
      <c r="K276" t="s">
        <v>44</v>
      </c>
      <c r="L276" t="s">
        <v>41</v>
      </c>
      <c r="N276" t="s">
        <v>3798</v>
      </c>
      <c r="O276">
        <v>1</v>
      </c>
      <c r="P276" t="s">
        <v>3503</v>
      </c>
      <c r="Q276" t="s">
        <v>3737</v>
      </c>
      <c r="R276" t="s">
        <v>3799</v>
      </c>
      <c r="S276" t="s">
        <v>3800</v>
      </c>
      <c r="T276" t="s">
        <v>3790</v>
      </c>
      <c r="U276" t="s">
        <v>16</v>
      </c>
      <c r="V276" t="s">
        <v>3741</v>
      </c>
      <c r="W276" t="s">
        <v>3801</v>
      </c>
    </row>
    <row r="277" spans="1:23">
      <c r="A277">
        <v>397</v>
      </c>
      <c r="B277" t="s">
        <v>14</v>
      </c>
      <c r="C277" t="s">
        <v>15</v>
      </c>
      <c r="D277" t="s">
        <v>9</v>
      </c>
      <c r="E277">
        <v>45853</v>
      </c>
      <c r="F277">
        <v>0.71180555555555602</v>
      </c>
      <c r="G277" t="s">
        <v>1721</v>
      </c>
      <c r="H277" t="s">
        <v>1722</v>
      </c>
      <c r="I277" t="s">
        <v>11</v>
      </c>
      <c r="J277" t="s">
        <v>24</v>
      </c>
      <c r="K277" t="s">
        <v>19</v>
      </c>
      <c r="L277" t="s">
        <v>13</v>
      </c>
      <c r="N277" t="s">
        <v>3548</v>
      </c>
      <c r="O277">
        <v>1</v>
      </c>
      <c r="P277" t="s">
        <v>3503</v>
      </c>
      <c r="Q277" t="s">
        <v>3737</v>
      </c>
      <c r="R277" t="s">
        <v>3802</v>
      </c>
      <c r="S277" t="s">
        <v>3803</v>
      </c>
      <c r="T277" t="s">
        <v>3765</v>
      </c>
      <c r="U277" t="s">
        <v>16</v>
      </c>
      <c r="V277" t="s">
        <v>3741</v>
      </c>
      <c r="W277" t="s">
        <v>3804</v>
      </c>
    </row>
    <row r="278" spans="1:23">
      <c r="A278">
        <v>398</v>
      </c>
      <c r="B278" t="s">
        <v>14</v>
      </c>
      <c r="C278" t="s">
        <v>15</v>
      </c>
      <c r="D278" t="s">
        <v>9</v>
      </c>
      <c r="E278">
        <v>45853</v>
      </c>
      <c r="F278">
        <v>0.71527777777777801</v>
      </c>
      <c r="G278" t="s">
        <v>1721</v>
      </c>
      <c r="H278" t="s">
        <v>1722</v>
      </c>
      <c r="I278" t="s">
        <v>29</v>
      </c>
      <c r="J278" t="s">
        <v>24</v>
      </c>
      <c r="K278" t="s">
        <v>46</v>
      </c>
      <c r="L278" t="s">
        <v>47</v>
      </c>
      <c r="N278" t="s">
        <v>3521</v>
      </c>
      <c r="O278">
        <v>1</v>
      </c>
      <c r="P278" t="s">
        <v>3503</v>
      </c>
      <c r="Q278" t="s">
        <v>3737</v>
      </c>
      <c r="R278" t="s">
        <v>3805</v>
      </c>
      <c r="S278" t="s">
        <v>3806</v>
      </c>
      <c r="T278" t="s">
        <v>3765</v>
      </c>
      <c r="U278" t="s">
        <v>16</v>
      </c>
      <c r="V278" t="s">
        <v>3741</v>
      </c>
      <c r="W278" t="s">
        <v>3804</v>
      </c>
    </row>
    <row r="279" spans="1:23">
      <c r="A279">
        <v>399</v>
      </c>
      <c r="B279" t="s">
        <v>14</v>
      </c>
      <c r="C279" t="s">
        <v>15</v>
      </c>
      <c r="D279" t="s">
        <v>9</v>
      </c>
      <c r="E279">
        <v>45863</v>
      </c>
      <c r="F279">
        <v>0.68055555555555602</v>
      </c>
      <c r="G279" t="s">
        <v>3807</v>
      </c>
      <c r="H279" t="s">
        <v>3808</v>
      </c>
      <c r="I279" t="s">
        <v>11</v>
      </c>
      <c r="J279" t="s">
        <v>12</v>
      </c>
      <c r="K279" t="s">
        <v>13</v>
      </c>
      <c r="N279" t="s">
        <v>13</v>
      </c>
      <c r="O279">
        <v>1</v>
      </c>
      <c r="P279" t="s">
        <v>3503</v>
      </c>
      <c r="Q279" t="s">
        <v>3737</v>
      </c>
      <c r="R279" t="s">
        <v>3809</v>
      </c>
      <c r="S279" t="s">
        <v>3810</v>
      </c>
      <c r="T279" t="s">
        <v>3811</v>
      </c>
      <c r="U279" t="s">
        <v>16</v>
      </c>
      <c r="V279" t="s">
        <v>3741</v>
      </c>
      <c r="W279" t="s">
        <v>3812</v>
      </c>
    </row>
    <row r="280" spans="1:23">
      <c r="A280">
        <v>400</v>
      </c>
      <c r="B280" t="s">
        <v>7</v>
      </c>
      <c r="C280" t="s">
        <v>8</v>
      </c>
      <c r="D280" t="s">
        <v>9</v>
      </c>
      <c r="E280">
        <v>45881</v>
      </c>
      <c r="F280">
        <v>0.70833333333333304</v>
      </c>
      <c r="G280" t="s">
        <v>769</v>
      </c>
      <c r="H280" t="s">
        <v>3808</v>
      </c>
      <c r="I280" t="s">
        <v>11</v>
      </c>
      <c r="J280" t="s">
        <v>36</v>
      </c>
      <c r="K280" t="s">
        <v>25</v>
      </c>
      <c r="N280" t="s">
        <v>25</v>
      </c>
      <c r="O280">
        <v>1</v>
      </c>
      <c r="P280" t="s">
        <v>3503</v>
      </c>
      <c r="Q280" t="s">
        <v>3737</v>
      </c>
      <c r="R280" t="s">
        <v>3813</v>
      </c>
      <c r="S280" t="s">
        <v>3814</v>
      </c>
      <c r="T280" t="s">
        <v>3740</v>
      </c>
      <c r="U280" t="s">
        <v>10</v>
      </c>
      <c r="V280" t="s">
        <v>3741</v>
      </c>
      <c r="W280" t="s">
        <v>3815</v>
      </c>
    </row>
    <row r="281" spans="1:23">
      <c r="A281">
        <v>401</v>
      </c>
      <c r="B281" t="s">
        <v>7</v>
      </c>
      <c r="C281" t="s">
        <v>8</v>
      </c>
      <c r="D281" t="s">
        <v>9</v>
      </c>
      <c r="E281">
        <v>45881</v>
      </c>
      <c r="F281">
        <v>0.70902777777777803</v>
      </c>
      <c r="G281" t="s">
        <v>2199</v>
      </c>
      <c r="H281" t="s">
        <v>2200</v>
      </c>
      <c r="I281" t="s">
        <v>11</v>
      </c>
      <c r="J281" t="s">
        <v>36</v>
      </c>
      <c r="K281" t="s">
        <v>25</v>
      </c>
      <c r="N281" t="s">
        <v>25</v>
      </c>
      <c r="O281">
        <v>1</v>
      </c>
      <c r="P281" t="s">
        <v>3503</v>
      </c>
      <c r="Q281" t="s">
        <v>3737</v>
      </c>
      <c r="R281" t="s">
        <v>3816</v>
      </c>
      <c r="S281" t="s">
        <v>3817</v>
      </c>
      <c r="T281" t="s">
        <v>3740</v>
      </c>
      <c r="U281" t="s">
        <v>10</v>
      </c>
      <c r="V281" t="s">
        <v>3741</v>
      </c>
      <c r="W281" t="s">
        <v>3815</v>
      </c>
    </row>
    <row r="282" spans="1:23">
      <c r="A282">
        <v>402</v>
      </c>
      <c r="B282" t="s">
        <v>7</v>
      </c>
      <c r="C282" t="s">
        <v>8</v>
      </c>
      <c r="D282" t="s">
        <v>9</v>
      </c>
      <c r="E282">
        <v>45881</v>
      </c>
      <c r="F282">
        <v>0.71180555555555602</v>
      </c>
      <c r="G282" t="s">
        <v>2938</v>
      </c>
      <c r="H282" t="s">
        <v>2939</v>
      </c>
      <c r="I282" t="s">
        <v>11</v>
      </c>
      <c r="J282" t="s">
        <v>36</v>
      </c>
      <c r="K282" t="s">
        <v>25</v>
      </c>
      <c r="N282" t="s">
        <v>25</v>
      </c>
      <c r="O282">
        <v>1</v>
      </c>
      <c r="P282" t="s">
        <v>3503</v>
      </c>
      <c r="Q282" t="s">
        <v>3737</v>
      </c>
      <c r="R282" t="s">
        <v>3818</v>
      </c>
      <c r="S282" t="s">
        <v>3819</v>
      </c>
      <c r="T282" t="s">
        <v>3740</v>
      </c>
      <c r="U282" t="s">
        <v>10</v>
      </c>
      <c r="V282" t="s">
        <v>3741</v>
      </c>
      <c r="W282" t="s">
        <v>3815</v>
      </c>
    </row>
    <row r="283" spans="1:23">
      <c r="A283">
        <v>403</v>
      </c>
      <c r="B283" t="s">
        <v>7</v>
      </c>
      <c r="C283" t="s">
        <v>8</v>
      </c>
      <c r="D283" t="s">
        <v>9</v>
      </c>
      <c r="E283">
        <v>45881</v>
      </c>
      <c r="F283">
        <v>0.71527777777777801</v>
      </c>
      <c r="G283" t="s">
        <v>2940</v>
      </c>
      <c r="H283" t="s">
        <v>2941</v>
      </c>
      <c r="I283" t="s">
        <v>11</v>
      </c>
      <c r="J283" t="s">
        <v>36</v>
      </c>
      <c r="K283" t="s">
        <v>25</v>
      </c>
      <c r="N283" t="s">
        <v>25</v>
      </c>
      <c r="O283">
        <v>1</v>
      </c>
      <c r="P283" t="s">
        <v>3503</v>
      </c>
      <c r="Q283" t="s">
        <v>3737</v>
      </c>
      <c r="R283" t="s">
        <v>3820</v>
      </c>
      <c r="S283" t="s">
        <v>3821</v>
      </c>
      <c r="T283" t="s">
        <v>3740</v>
      </c>
      <c r="U283" t="s">
        <v>10</v>
      </c>
      <c r="V283" t="s">
        <v>3741</v>
      </c>
      <c r="W283" t="s">
        <v>3815</v>
      </c>
    </row>
    <row r="284" spans="1:23">
      <c r="A284">
        <v>404</v>
      </c>
      <c r="B284" t="s">
        <v>7</v>
      </c>
      <c r="C284" t="s">
        <v>8</v>
      </c>
      <c r="D284" t="s">
        <v>9</v>
      </c>
      <c r="E284">
        <v>45881</v>
      </c>
      <c r="F284">
        <v>0.71527777777777801</v>
      </c>
      <c r="G284" t="s">
        <v>3021</v>
      </c>
      <c r="H284" t="s">
        <v>3022</v>
      </c>
      <c r="I284" t="s">
        <v>11</v>
      </c>
      <c r="J284" t="s">
        <v>36</v>
      </c>
      <c r="K284" t="s">
        <v>25</v>
      </c>
      <c r="N284" t="s">
        <v>25</v>
      </c>
      <c r="O284">
        <v>1</v>
      </c>
      <c r="P284" t="s">
        <v>3503</v>
      </c>
      <c r="Q284" t="s">
        <v>3737</v>
      </c>
      <c r="R284" t="s">
        <v>3820</v>
      </c>
      <c r="S284" t="s">
        <v>3822</v>
      </c>
      <c r="T284" t="s">
        <v>3740</v>
      </c>
      <c r="U284" t="s">
        <v>10</v>
      </c>
      <c r="V284" t="s">
        <v>3741</v>
      </c>
      <c r="W284" t="s">
        <v>3815</v>
      </c>
    </row>
    <row r="285" spans="1:23">
      <c r="A285">
        <v>405</v>
      </c>
      <c r="B285" t="s">
        <v>7</v>
      </c>
      <c r="C285" t="s">
        <v>8</v>
      </c>
      <c r="D285" t="s">
        <v>9</v>
      </c>
      <c r="E285">
        <v>45881</v>
      </c>
      <c r="F285">
        <v>0.75</v>
      </c>
      <c r="G285" t="s">
        <v>2350</v>
      </c>
      <c r="H285" t="s">
        <v>2351</v>
      </c>
      <c r="I285" t="s">
        <v>11</v>
      </c>
      <c r="J285" t="s">
        <v>36</v>
      </c>
      <c r="K285" t="s">
        <v>25</v>
      </c>
      <c r="N285" t="s">
        <v>25</v>
      </c>
      <c r="O285">
        <v>1</v>
      </c>
      <c r="P285" t="s">
        <v>3503</v>
      </c>
      <c r="Q285" t="s">
        <v>3737</v>
      </c>
      <c r="R285" t="s">
        <v>3823</v>
      </c>
      <c r="S285" t="s">
        <v>3824</v>
      </c>
      <c r="T285" t="s">
        <v>3740</v>
      </c>
      <c r="U285" t="s">
        <v>10</v>
      </c>
      <c r="V285" t="s">
        <v>3741</v>
      </c>
      <c r="W285" t="s">
        <v>3815</v>
      </c>
    </row>
    <row r="286" spans="1:23">
      <c r="A286">
        <v>406</v>
      </c>
      <c r="B286" t="s">
        <v>14</v>
      </c>
      <c r="C286" t="s">
        <v>15</v>
      </c>
      <c r="D286" t="s">
        <v>9</v>
      </c>
      <c r="E286">
        <v>45881</v>
      </c>
      <c r="F286">
        <v>0.45694444444444399</v>
      </c>
      <c r="G286" t="s">
        <v>2790</v>
      </c>
      <c r="H286" t="s">
        <v>2791</v>
      </c>
      <c r="I286" t="s">
        <v>23</v>
      </c>
      <c r="J286" t="s">
        <v>24</v>
      </c>
      <c r="K286" t="s">
        <v>41</v>
      </c>
      <c r="L286" t="s">
        <v>44</v>
      </c>
      <c r="M286" t="s">
        <v>45</v>
      </c>
      <c r="N286" t="s">
        <v>3719</v>
      </c>
      <c r="O286">
        <v>1</v>
      </c>
      <c r="P286" t="s">
        <v>3503</v>
      </c>
      <c r="Q286" t="s">
        <v>3737</v>
      </c>
      <c r="R286" t="s">
        <v>3825</v>
      </c>
      <c r="S286" t="s">
        <v>3826</v>
      </c>
      <c r="T286" t="s">
        <v>3740</v>
      </c>
      <c r="U286" t="s">
        <v>16</v>
      </c>
      <c r="V286" t="s">
        <v>3741</v>
      </c>
      <c r="W286" t="s">
        <v>3827</v>
      </c>
    </row>
    <row r="287" spans="1:23">
      <c r="A287">
        <v>407</v>
      </c>
      <c r="B287" t="s">
        <v>14</v>
      </c>
      <c r="C287" t="s">
        <v>15</v>
      </c>
      <c r="D287" t="s">
        <v>9</v>
      </c>
      <c r="E287">
        <v>45881</v>
      </c>
      <c r="F287">
        <v>0.45972222222222198</v>
      </c>
      <c r="G287" t="s">
        <v>2790</v>
      </c>
      <c r="H287" t="s">
        <v>2791</v>
      </c>
      <c r="I287" t="s">
        <v>29</v>
      </c>
      <c r="J287" t="s">
        <v>24</v>
      </c>
      <c r="K287" t="s">
        <v>46</v>
      </c>
      <c r="L287" t="s">
        <v>47</v>
      </c>
      <c r="N287" t="s">
        <v>3521</v>
      </c>
      <c r="O287">
        <v>1</v>
      </c>
      <c r="P287" t="s">
        <v>3503</v>
      </c>
      <c r="Q287" t="s">
        <v>3737</v>
      </c>
      <c r="R287" t="s">
        <v>3828</v>
      </c>
      <c r="S287" t="s">
        <v>3829</v>
      </c>
      <c r="T287" t="s">
        <v>3740</v>
      </c>
      <c r="U287" t="s">
        <v>16</v>
      </c>
      <c r="V287" t="s">
        <v>3741</v>
      </c>
      <c r="W287" t="s">
        <v>3827</v>
      </c>
    </row>
    <row r="288" spans="1:23">
      <c r="A288">
        <v>408</v>
      </c>
      <c r="B288" t="s">
        <v>7</v>
      </c>
      <c r="C288" t="s">
        <v>8</v>
      </c>
      <c r="D288" t="s">
        <v>9</v>
      </c>
      <c r="E288">
        <v>45903</v>
      </c>
      <c r="F288">
        <v>0.70833333333333304</v>
      </c>
      <c r="G288" t="s">
        <v>1896</v>
      </c>
      <c r="H288" t="s">
        <v>1897</v>
      </c>
      <c r="I288" t="s">
        <v>17</v>
      </c>
      <c r="J288" t="s">
        <v>12</v>
      </c>
      <c r="K288" t="s">
        <v>49</v>
      </c>
      <c r="L288" t="s">
        <v>3660</v>
      </c>
      <c r="M288" t="s">
        <v>3660</v>
      </c>
      <c r="N288" t="s">
        <v>49</v>
      </c>
      <c r="O288">
        <v>1</v>
      </c>
      <c r="P288" t="s">
        <v>3503</v>
      </c>
      <c r="Q288" t="s">
        <v>3737</v>
      </c>
      <c r="R288" t="s">
        <v>3830</v>
      </c>
      <c r="S288" t="s">
        <v>3831</v>
      </c>
      <c r="T288" t="s">
        <v>3832</v>
      </c>
      <c r="U288" t="s">
        <v>10</v>
      </c>
      <c r="V288" t="s">
        <v>3741</v>
      </c>
      <c r="W288" t="s">
        <v>3833</v>
      </c>
    </row>
    <row r="289" spans="1:23">
      <c r="A289">
        <v>409</v>
      </c>
      <c r="B289" t="s">
        <v>7</v>
      </c>
      <c r="C289" t="s">
        <v>8</v>
      </c>
      <c r="D289" t="s">
        <v>9</v>
      </c>
      <c r="E289">
        <v>45903</v>
      </c>
      <c r="F289">
        <v>0.66666666666666696</v>
      </c>
      <c r="G289" t="s">
        <v>3834</v>
      </c>
      <c r="H289" t="s">
        <v>3835</v>
      </c>
      <c r="I289" t="s">
        <v>11</v>
      </c>
      <c r="J289" t="s">
        <v>36</v>
      </c>
      <c r="K289" t="s">
        <v>25</v>
      </c>
      <c r="N289" t="s">
        <v>25</v>
      </c>
      <c r="O289">
        <v>1</v>
      </c>
      <c r="P289" t="s">
        <v>3503</v>
      </c>
      <c r="Q289" t="s">
        <v>3737</v>
      </c>
      <c r="R289" t="s">
        <v>3836</v>
      </c>
      <c r="S289" t="s">
        <v>3837</v>
      </c>
      <c r="T289" t="s">
        <v>3832</v>
      </c>
      <c r="U289" t="s">
        <v>10</v>
      </c>
      <c r="V289" t="s">
        <v>3741</v>
      </c>
      <c r="W289" t="s">
        <v>3838</v>
      </c>
    </row>
    <row r="290" spans="1:23">
      <c r="A290">
        <v>410</v>
      </c>
      <c r="B290" t="s">
        <v>32</v>
      </c>
      <c r="C290" t="s">
        <v>33</v>
      </c>
      <c r="D290" t="s">
        <v>9</v>
      </c>
      <c r="E290">
        <v>45903</v>
      </c>
      <c r="F290">
        <v>0.75</v>
      </c>
      <c r="G290" t="s">
        <v>2013</v>
      </c>
      <c r="H290" t="s">
        <v>2014</v>
      </c>
      <c r="I290" t="s">
        <v>11</v>
      </c>
      <c r="J290" t="s">
        <v>12</v>
      </c>
      <c r="K290" t="s">
        <v>13</v>
      </c>
      <c r="L290" t="s">
        <v>25</v>
      </c>
      <c r="N290" t="s">
        <v>3579</v>
      </c>
      <c r="O290">
        <v>1</v>
      </c>
      <c r="P290" t="s">
        <v>3503</v>
      </c>
      <c r="Q290" t="s">
        <v>3737</v>
      </c>
      <c r="R290" t="s">
        <v>3839</v>
      </c>
      <c r="S290" t="s">
        <v>3840</v>
      </c>
      <c r="T290" t="s">
        <v>3832</v>
      </c>
      <c r="U290" t="s">
        <v>34</v>
      </c>
      <c r="V290" t="s">
        <v>3741</v>
      </c>
      <c r="W290" t="s">
        <v>3841</v>
      </c>
    </row>
    <row r="291" spans="1:23">
      <c r="A291">
        <v>411</v>
      </c>
      <c r="B291" t="s">
        <v>32</v>
      </c>
      <c r="C291" t="s">
        <v>33</v>
      </c>
      <c r="D291" t="s">
        <v>9</v>
      </c>
      <c r="E291">
        <v>45903</v>
      </c>
      <c r="F291">
        <v>0.75694444444444398</v>
      </c>
      <c r="G291" t="s">
        <v>2013</v>
      </c>
      <c r="H291" t="s">
        <v>2014</v>
      </c>
      <c r="I291" t="s">
        <v>23</v>
      </c>
      <c r="J291" t="s">
        <v>12</v>
      </c>
      <c r="K291" t="s">
        <v>41</v>
      </c>
      <c r="L291" t="s">
        <v>43</v>
      </c>
      <c r="N291" t="s">
        <v>3612</v>
      </c>
      <c r="O291">
        <v>1</v>
      </c>
      <c r="P291" t="s">
        <v>3503</v>
      </c>
      <c r="Q291" t="s">
        <v>3737</v>
      </c>
      <c r="R291" t="s">
        <v>3842</v>
      </c>
      <c r="S291" t="s">
        <v>3843</v>
      </c>
      <c r="T291" t="s">
        <v>3832</v>
      </c>
      <c r="U291" t="s">
        <v>34</v>
      </c>
      <c r="V291" t="s">
        <v>3741</v>
      </c>
      <c r="W291" t="s">
        <v>3844</v>
      </c>
    </row>
    <row r="292" spans="1:23">
      <c r="A292">
        <v>412</v>
      </c>
      <c r="B292" t="s">
        <v>32</v>
      </c>
      <c r="C292" t="s">
        <v>33</v>
      </c>
      <c r="D292" t="s">
        <v>9</v>
      </c>
      <c r="E292">
        <v>45904</v>
      </c>
      <c r="F292">
        <v>0.41666666666666702</v>
      </c>
      <c r="G292" t="s">
        <v>3845</v>
      </c>
      <c r="H292" t="s">
        <v>3846</v>
      </c>
      <c r="I292" t="s">
        <v>11</v>
      </c>
      <c r="J292" t="s">
        <v>24</v>
      </c>
      <c r="K292" t="s">
        <v>19</v>
      </c>
      <c r="L292" t="s">
        <v>25</v>
      </c>
      <c r="M292" t="s">
        <v>37</v>
      </c>
      <c r="N292" t="s">
        <v>3847</v>
      </c>
      <c r="O292">
        <v>1</v>
      </c>
      <c r="P292" t="s">
        <v>3503</v>
      </c>
      <c r="Q292" t="s">
        <v>3737</v>
      </c>
      <c r="R292" t="s">
        <v>3848</v>
      </c>
      <c r="S292" t="s">
        <v>3849</v>
      </c>
      <c r="T292" t="s">
        <v>3850</v>
      </c>
      <c r="U292" t="s">
        <v>34</v>
      </c>
      <c r="V292" t="s">
        <v>3741</v>
      </c>
      <c r="W292" t="s">
        <v>3851</v>
      </c>
    </row>
    <row r="293" spans="1:23">
      <c r="A293">
        <v>413</v>
      </c>
      <c r="B293" t="s">
        <v>32</v>
      </c>
      <c r="C293" t="s">
        <v>33</v>
      </c>
      <c r="D293" t="s">
        <v>9</v>
      </c>
      <c r="E293">
        <v>45904</v>
      </c>
      <c r="F293">
        <v>0.43055555555555602</v>
      </c>
      <c r="G293" t="s">
        <v>3845</v>
      </c>
      <c r="H293" t="s">
        <v>3846</v>
      </c>
      <c r="I293" t="s">
        <v>23</v>
      </c>
      <c r="J293" t="s">
        <v>24</v>
      </c>
      <c r="K293" t="s">
        <v>44</v>
      </c>
      <c r="L293" t="s">
        <v>45</v>
      </c>
      <c r="M293" t="s">
        <v>43</v>
      </c>
      <c r="N293" t="s">
        <v>3852</v>
      </c>
      <c r="O293">
        <v>1</v>
      </c>
      <c r="P293" t="s">
        <v>3503</v>
      </c>
      <c r="Q293" t="s">
        <v>3737</v>
      </c>
      <c r="R293" t="s">
        <v>3853</v>
      </c>
      <c r="S293" t="s">
        <v>3854</v>
      </c>
      <c r="T293" t="s">
        <v>3850</v>
      </c>
      <c r="U293" t="s">
        <v>34</v>
      </c>
      <c r="V293" t="s">
        <v>3741</v>
      </c>
      <c r="W293" t="s">
        <v>3855</v>
      </c>
    </row>
    <row r="294" spans="1:23">
      <c r="A294">
        <v>414</v>
      </c>
      <c r="B294" t="s">
        <v>32</v>
      </c>
      <c r="C294" t="s">
        <v>33</v>
      </c>
      <c r="D294" t="s">
        <v>9</v>
      </c>
      <c r="E294">
        <v>45904</v>
      </c>
      <c r="F294">
        <v>0.4375</v>
      </c>
      <c r="G294" t="s">
        <v>3845</v>
      </c>
      <c r="H294" t="s">
        <v>3846</v>
      </c>
      <c r="I294" t="s">
        <v>29</v>
      </c>
      <c r="J294" t="s">
        <v>24</v>
      </c>
      <c r="K294" t="s">
        <v>46</v>
      </c>
      <c r="L294" t="s">
        <v>47</v>
      </c>
      <c r="N294" t="s">
        <v>3521</v>
      </c>
      <c r="O294">
        <v>1</v>
      </c>
      <c r="P294" t="s">
        <v>3503</v>
      </c>
      <c r="Q294" t="s">
        <v>3737</v>
      </c>
      <c r="R294" t="s">
        <v>3856</v>
      </c>
      <c r="S294" t="s">
        <v>3857</v>
      </c>
      <c r="T294" t="s">
        <v>3850</v>
      </c>
      <c r="U294" t="s">
        <v>34</v>
      </c>
      <c r="V294" t="s">
        <v>3741</v>
      </c>
      <c r="W294" t="s">
        <v>3858</v>
      </c>
    </row>
    <row r="295" spans="1:23">
      <c r="A295">
        <v>415</v>
      </c>
      <c r="B295" t="s">
        <v>14</v>
      </c>
      <c r="C295" t="s">
        <v>15</v>
      </c>
      <c r="D295" t="s">
        <v>9</v>
      </c>
      <c r="E295">
        <v>45903</v>
      </c>
      <c r="F295">
        <v>0.50416666666666698</v>
      </c>
      <c r="G295" t="s">
        <v>3859</v>
      </c>
      <c r="H295" t="s">
        <v>3860</v>
      </c>
      <c r="I295" t="s">
        <v>11</v>
      </c>
      <c r="J295" t="s">
        <v>24</v>
      </c>
      <c r="K295" t="s">
        <v>19</v>
      </c>
      <c r="L295" t="s">
        <v>13</v>
      </c>
      <c r="N295" t="s">
        <v>3548</v>
      </c>
      <c r="O295">
        <v>1</v>
      </c>
      <c r="P295" t="s">
        <v>3503</v>
      </c>
      <c r="Q295" t="s">
        <v>3737</v>
      </c>
      <c r="R295" t="s">
        <v>3861</v>
      </c>
      <c r="S295" t="s">
        <v>3862</v>
      </c>
      <c r="T295" t="s">
        <v>3832</v>
      </c>
      <c r="U295" t="s">
        <v>16</v>
      </c>
      <c r="V295" t="s">
        <v>3741</v>
      </c>
      <c r="W295" t="s">
        <v>3863</v>
      </c>
    </row>
    <row r="296" spans="1:23">
      <c r="A296">
        <v>416</v>
      </c>
      <c r="B296" t="s">
        <v>14</v>
      </c>
      <c r="C296" t="s">
        <v>15</v>
      </c>
      <c r="D296" t="s">
        <v>9</v>
      </c>
      <c r="E296">
        <v>45903</v>
      </c>
      <c r="F296">
        <v>0.50486111111111098</v>
      </c>
      <c r="G296" t="s">
        <v>3859</v>
      </c>
      <c r="H296" t="s">
        <v>3860</v>
      </c>
      <c r="I296" t="s">
        <v>29</v>
      </c>
      <c r="J296" t="s">
        <v>24</v>
      </c>
      <c r="K296" t="s">
        <v>47</v>
      </c>
      <c r="L296" t="s">
        <v>46</v>
      </c>
      <c r="N296" t="s">
        <v>3574</v>
      </c>
      <c r="O296">
        <v>1</v>
      </c>
      <c r="P296" t="s">
        <v>3503</v>
      </c>
      <c r="Q296" t="s">
        <v>3737</v>
      </c>
      <c r="R296" t="s">
        <v>3864</v>
      </c>
      <c r="S296" t="s">
        <v>3865</v>
      </c>
      <c r="T296" t="s">
        <v>3832</v>
      </c>
      <c r="U296" t="s">
        <v>16</v>
      </c>
      <c r="V296" t="s">
        <v>3741</v>
      </c>
      <c r="W296" t="s">
        <v>3866</v>
      </c>
    </row>
    <row r="297" spans="1:23">
      <c r="A297">
        <v>417</v>
      </c>
      <c r="B297" t="s">
        <v>14</v>
      </c>
      <c r="C297" t="s">
        <v>15</v>
      </c>
      <c r="D297" t="s">
        <v>9</v>
      </c>
      <c r="E297">
        <v>45903</v>
      </c>
      <c r="F297">
        <v>0.50624999999999998</v>
      </c>
      <c r="G297" t="s">
        <v>3859</v>
      </c>
      <c r="H297" t="s">
        <v>1297</v>
      </c>
      <c r="I297" t="s">
        <v>23</v>
      </c>
      <c r="J297" t="s">
        <v>24</v>
      </c>
      <c r="K297" t="s">
        <v>44</v>
      </c>
      <c r="L297" t="s">
        <v>45</v>
      </c>
      <c r="M297" t="s">
        <v>41</v>
      </c>
      <c r="N297" t="s">
        <v>3647</v>
      </c>
      <c r="O297">
        <v>1</v>
      </c>
      <c r="P297" t="s">
        <v>3503</v>
      </c>
      <c r="Q297" t="s">
        <v>3737</v>
      </c>
      <c r="R297" t="s">
        <v>3867</v>
      </c>
      <c r="S297" t="s">
        <v>3868</v>
      </c>
      <c r="T297" t="s">
        <v>3832</v>
      </c>
      <c r="U297" t="s">
        <v>16</v>
      </c>
      <c r="V297" t="s">
        <v>3741</v>
      </c>
      <c r="W297" t="s">
        <v>3866</v>
      </c>
    </row>
    <row r="298" spans="1:23">
      <c r="A298">
        <v>418</v>
      </c>
      <c r="B298" t="s">
        <v>7</v>
      </c>
      <c r="C298" t="s">
        <v>8</v>
      </c>
      <c r="D298" t="s">
        <v>9</v>
      </c>
      <c r="E298">
        <v>45905</v>
      </c>
      <c r="F298">
        <v>0.69791666666666696</v>
      </c>
      <c r="G298" t="s">
        <v>3869</v>
      </c>
      <c r="H298" t="s">
        <v>3870</v>
      </c>
      <c r="I298" t="s">
        <v>11</v>
      </c>
      <c r="J298" t="s">
        <v>36</v>
      </c>
      <c r="K298" t="s">
        <v>25</v>
      </c>
      <c r="N298" t="s">
        <v>25</v>
      </c>
      <c r="O298">
        <v>1</v>
      </c>
      <c r="P298" t="s">
        <v>3503</v>
      </c>
      <c r="Q298" t="s">
        <v>3737</v>
      </c>
      <c r="R298" t="s">
        <v>3871</v>
      </c>
      <c r="S298" t="s">
        <v>3872</v>
      </c>
      <c r="T298" t="s">
        <v>3873</v>
      </c>
      <c r="U298" t="s">
        <v>10</v>
      </c>
      <c r="V298" t="s">
        <v>3741</v>
      </c>
      <c r="W298" t="s">
        <v>3874</v>
      </c>
    </row>
    <row r="299" spans="1:23">
      <c r="A299">
        <v>419</v>
      </c>
      <c r="B299" t="s">
        <v>7</v>
      </c>
      <c r="C299" t="s">
        <v>8</v>
      </c>
      <c r="D299" t="s">
        <v>9</v>
      </c>
      <c r="E299">
        <v>45915</v>
      </c>
      <c r="F299">
        <v>0.70486111111111105</v>
      </c>
      <c r="G299" t="s">
        <v>3875</v>
      </c>
      <c r="H299" t="s">
        <v>3876</v>
      </c>
      <c r="I299" t="s">
        <v>17</v>
      </c>
      <c r="J299" t="s">
        <v>12</v>
      </c>
      <c r="K299" t="s">
        <v>49</v>
      </c>
      <c r="N299" t="s">
        <v>49</v>
      </c>
      <c r="O299">
        <v>1</v>
      </c>
      <c r="P299" t="s">
        <v>3503</v>
      </c>
      <c r="Q299" t="s">
        <v>3737</v>
      </c>
      <c r="R299" t="s">
        <v>3877</v>
      </c>
      <c r="S299" t="s">
        <v>3878</v>
      </c>
      <c r="T299" t="s">
        <v>3879</v>
      </c>
      <c r="U299" t="s">
        <v>10</v>
      </c>
      <c r="V299" t="s">
        <v>3741</v>
      </c>
      <c r="W299" t="s">
        <v>3880</v>
      </c>
    </row>
    <row r="300" spans="1:23">
      <c r="A300">
        <v>420</v>
      </c>
      <c r="B300" t="s">
        <v>7</v>
      </c>
      <c r="C300" t="s">
        <v>8</v>
      </c>
      <c r="D300" t="s">
        <v>9</v>
      </c>
      <c r="E300">
        <v>45911</v>
      </c>
      <c r="F300">
        <v>0.625</v>
      </c>
      <c r="G300" t="s">
        <v>3875</v>
      </c>
      <c r="H300" t="s">
        <v>3876</v>
      </c>
      <c r="I300" t="s">
        <v>23</v>
      </c>
      <c r="J300" t="s">
        <v>12</v>
      </c>
      <c r="K300" t="s">
        <v>41</v>
      </c>
      <c r="N300" t="s">
        <v>41</v>
      </c>
      <c r="O300">
        <v>1</v>
      </c>
      <c r="P300" t="s">
        <v>3503</v>
      </c>
      <c r="Q300" t="s">
        <v>3737</v>
      </c>
      <c r="R300" t="s">
        <v>3881</v>
      </c>
      <c r="S300" t="s">
        <v>3882</v>
      </c>
      <c r="T300" t="s">
        <v>3883</v>
      </c>
      <c r="U300" t="s">
        <v>10</v>
      </c>
      <c r="V300" t="s">
        <v>3741</v>
      </c>
      <c r="W300" t="s">
        <v>3880</v>
      </c>
    </row>
    <row r="301" spans="1:23">
      <c r="A301">
        <v>421</v>
      </c>
      <c r="B301" t="s">
        <v>7</v>
      </c>
      <c r="C301" t="s">
        <v>8</v>
      </c>
      <c r="D301" t="s">
        <v>9</v>
      </c>
      <c r="G301" t="s">
        <v>3875</v>
      </c>
      <c r="H301" t="s">
        <v>3876</v>
      </c>
      <c r="I301" t="s">
        <v>11</v>
      </c>
      <c r="J301" t="s">
        <v>12</v>
      </c>
      <c r="K301" t="s">
        <v>13</v>
      </c>
      <c r="L301" t="s">
        <v>37</v>
      </c>
      <c r="M301" t="s">
        <v>25</v>
      </c>
      <c r="N301" t="s">
        <v>3644</v>
      </c>
      <c r="O301">
        <v>1</v>
      </c>
      <c r="P301" t="s">
        <v>3503</v>
      </c>
      <c r="Q301" t="s">
        <v>3737</v>
      </c>
      <c r="R301" t="s">
        <v>3660</v>
      </c>
      <c r="S301" t="s">
        <v>3884</v>
      </c>
      <c r="T301" t="s">
        <v>3885</v>
      </c>
      <c r="U301" t="s">
        <v>10</v>
      </c>
      <c r="V301" t="s">
        <v>3741</v>
      </c>
      <c r="W301" t="s">
        <v>3880</v>
      </c>
    </row>
    <row r="302" spans="1:23">
      <c r="A302">
        <v>422</v>
      </c>
      <c r="B302" t="s">
        <v>14</v>
      </c>
      <c r="C302" t="s">
        <v>15</v>
      </c>
      <c r="D302" t="s">
        <v>9</v>
      </c>
      <c r="E302">
        <v>45911</v>
      </c>
      <c r="F302">
        <v>0.73263888888888895</v>
      </c>
      <c r="G302" t="s">
        <v>1713</v>
      </c>
      <c r="H302" t="s">
        <v>1714</v>
      </c>
      <c r="I302" t="s">
        <v>11</v>
      </c>
      <c r="J302" t="s">
        <v>24</v>
      </c>
      <c r="K302" t="s">
        <v>19</v>
      </c>
      <c r="L302" t="s">
        <v>13</v>
      </c>
      <c r="N302" t="s">
        <v>3548</v>
      </c>
      <c r="O302">
        <v>1</v>
      </c>
      <c r="P302" t="s">
        <v>3503</v>
      </c>
      <c r="Q302" t="s">
        <v>3737</v>
      </c>
      <c r="R302" t="s">
        <v>3886</v>
      </c>
      <c r="S302" t="s">
        <v>3887</v>
      </c>
      <c r="T302" t="s">
        <v>3883</v>
      </c>
      <c r="U302" t="s">
        <v>16</v>
      </c>
      <c r="V302" t="s">
        <v>3741</v>
      </c>
      <c r="W302" t="s">
        <v>3888</v>
      </c>
    </row>
    <row r="303" spans="1:23">
      <c r="A303">
        <v>423</v>
      </c>
      <c r="B303" t="s">
        <v>14</v>
      </c>
      <c r="C303" t="s">
        <v>15</v>
      </c>
      <c r="D303" t="s">
        <v>9</v>
      </c>
      <c r="E303">
        <v>45911</v>
      </c>
      <c r="F303">
        <v>0.73402777777777795</v>
      </c>
      <c r="G303" t="s">
        <v>1713</v>
      </c>
      <c r="H303" t="s">
        <v>1714</v>
      </c>
      <c r="I303" t="s">
        <v>29</v>
      </c>
      <c r="J303" t="s">
        <v>24</v>
      </c>
      <c r="K303" t="s">
        <v>47</v>
      </c>
      <c r="L303" t="s">
        <v>46</v>
      </c>
      <c r="N303" t="s">
        <v>3574</v>
      </c>
      <c r="O303">
        <v>1</v>
      </c>
      <c r="P303" t="s">
        <v>3503</v>
      </c>
      <c r="Q303" t="s">
        <v>3737</v>
      </c>
      <c r="R303" t="s">
        <v>3889</v>
      </c>
      <c r="S303" t="s">
        <v>3890</v>
      </c>
      <c r="T303" t="s">
        <v>3883</v>
      </c>
      <c r="U303" t="s">
        <v>16</v>
      </c>
      <c r="V303" t="s">
        <v>3741</v>
      </c>
      <c r="W303" t="s">
        <v>3888</v>
      </c>
    </row>
    <row r="304" spans="1:23">
      <c r="A304">
        <v>424</v>
      </c>
      <c r="B304" t="s">
        <v>14</v>
      </c>
      <c r="C304" t="s">
        <v>15</v>
      </c>
      <c r="D304" t="s">
        <v>9</v>
      </c>
      <c r="E304">
        <v>45911</v>
      </c>
      <c r="F304">
        <v>0.73541666666666705</v>
      </c>
      <c r="G304" t="s">
        <v>1713</v>
      </c>
      <c r="H304" t="s">
        <v>1714</v>
      </c>
      <c r="I304" t="s">
        <v>23</v>
      </c>
      <c r="J304" t="s">
        <v>24</v>
      </c>
      <c r="K304" t="s">
        <v>44</v>
      </c>
      <c r="L304" t="s">
        <v>45</v>
      </c>
      <c r="M304" t="s">
        <v>41</v>
      </c>
      <c r="N304" t="s">
        <v>3647</v>
      </c>
      <c r="O304">
        <v>1</v>
      </c>
      <c r="P304" t="s">
        <v>3503</v>
      </c>
      <c r="Q304" t="s">
        <v>3737</v>
      </c>
      <c r="R304" t="s">
        <v>3891</v>
      </c>
      <c r="S304" t="s">
        <v>3892</v>
      </c>
      <c r="T304" t="s">
        <v>3883</v>
      </c>
      <c r="U304" t="s">
        <v>16</v>
      </c>
      <c r="V304" t="s">
        <v>3741</v>
      </c>
      <c r="W304" t="s">
        <v>3888</v>
      </c>
    </row>
    <row r="305" spans="1:23">
      <c r="A305">
        <v>425</v>
      </c>
      <c r="B305" t="s">
        <v>14</v>
      </c>
      <c r="C305" t="s">
        <v>15</v>
      </c>
      <c r="D305" t="s">
        <v>9</v>
      </c>
      <c r="E305">
        <v>45916</v>
      </c>
      <c r="F305">
        <v>0.72222222222222199</v>
      </c>
      <c r="G305" t="s">
        <v>3445</v>
      </c>
      <c r="H305" t="s">
        <v>3446</v>
      </c>
      <c r="I305" t="s">
        <v>11</v>
      </c>
      <c r="J305" t="s">
        <v>24</v>
      </c>
      <c r="K305" t="s">
        <v>19</v>
      </c>
      <c r="L305" t="s">
        <v>13</v>
      </c>
      <c r="N305" t="s">
        <v>3548</v>
      </c>
      <c r="O305">
        <v>1</v>
      </c>
      <c r="P305" t="s">
        <v>3503</v>
      </c>
      <c r="Q305" t="s">
        <v>3737</v>
      </c>
      <c r="R305" t="s">
        <v>3893</v>
      </c>
      <c r="S305" t="s">
        <v>3894</v>
      </c>
      <c r="T305" t="s">
        <v>3895</v>
      </c>
      <c r="U305" t="s">
        <v>16</v>
      </c>
      <c r="V305" t="s">
        <v>3741</v>
      </c>
      <c r="W305" t="s">
        <v>3896</v>
      </c>
    </row>
    <row r="306" spans="1:23">
      <c r="A306">
        <v>426</v>
      </c>
      <c r="B306" t="s">
        <v>14</v>
      </c>
      <c r="C306" t="s">
        <v>15</v>
      </c>
      <c r="D306" t="s">
        <v>9</v>
      </c>
      <c r="E306">
        <v>45916</v>
      </c>
      <c r="F306">
        <v>0.72430555555555598</v>
      </c>
      <c r="G306" t="s">
        <v>3445</v>
      </c>
      <c r="H306" t="s">
        <v>3446</v>
      </c>
      <c r="I306" t="s">
        <v>23</v>
      </c>
      <c r="J306" t="s">
        <v>24</v>
      </c>
      <c r="K306" t="s">
        <v>44</v>
      </c>
      <c r="L306" t="s">
        <v>45</v>
      </c>
      <c r="M306" t="s">
        <v>41</v>
      </c>
      <c r="N306" t="s">
        <v>3647</v>
      </c>
      <c r="O306">
        <v>1</v>
      </c>
      <c r="P306" t="s">
        <v>3503</v>
      </c>
      <c r="Q306" t="s">
        <v>3737</v>
      </c>
      <c r="R306" t="s">
        <v>3897</v>
      </c>
      <c r="S306" t="s">
        <v>3898</v>
      </c>
      <c r="T306" t="s">
        <v>3895</v>
      </c>
      <c r="U306" t="s">
        <v>16</v>
      </c>
      <c r="V306" t="s">
        <v>3741</v>
      </c>
      <c r="W306" t="s">
        <v>3896</v>
      </c>
    </row>
    <row r="307" spans="1:23">
      <c r="A307">
        <v>427</v>
      </c>
      <c r="B307" t="s">
        <v>14</v>
      </c>
      <c r="C307" t="s">
        <v>15</v>
      </c>
      <c r="D307" t="s">
        <v>9</v>
      </c>
      <c r="E307">
        <v>45916</v>
      </c>
      <c r="F307">
        <v>0.71875</v>
      </c>
      <c r="G307" t="s">
        <v>3445</v>
      </c>
      <c r="H307" t="s">
        <v>3446</v>
      </c>
      <c r="I307" t="s">
        <v>29</v>
      </c>
      <c r="J307" t="s">
        <v>24</v>
      </c>
      <c r="K307" t="s">
        <v>47</v>
      </c>
      <c r="L307" t="s">
        <v>46</v>
      </c>
      <c r="N307" t="s">
        <v>3574</v>
      </c>
      <c r="O307">
        <v>1</v>
      </c>
      <c r="P307" t="s">
        <v>3503</v>
      </c>
      <c r="Q307" t="s">
        <v>3737</v>
      </c>
      <c r="R307" t="s">
        <v>3899</v>
      </c>
      <c r="S307" t="s">
        <v>3900</v>
      </c>
      <c r="T307" t="s">
        <v>3895</v>
      </c>
      <c r="U307" t="s">
        <v>16</v>
      </c>
      <c r="V307" t="s">
        <v>3741</v>
      </c>
      <c r="W307" t="s">
        <v>3896</v>
      </c>
    </row>
    <row r="308" spans="1:23">
      <c r="A308">
        <v>428</v>
      </c>
      <c r="B308" t="s">
        <v>7</v>
      </c>
      <c r="C308" t="s">
        <v>8</v>
      </c>
      <c r="D308" t="s">
        <v>9</v>
      </c>
      <c r="E308">
        <v>45917</v>
      </c>
      <c r="F308">
        <v>0.45833333333333298</v>
      </c>
      <c r="H308" t="s">
        <v>3446</v>
      </c>
      <c r="O308" t="s">
        <v>3507</v>
      </c>
      <c r="P308" t="s">
        <v>3503</v>
      </c>
      <c r="Q308" t="s">
        <v>3901</v>
      </c>
      <c r="R308" t="s">
        <v>3902</v>
      </c>
      <c r="S308" t="s">
        <v>3903</v>
      </c>
      <c r="T308" t="s">
        <v>3904</v>
      </c>
      <c r="U308" t="s">
        <v>10</v>
      </c>
      <c r="V308" t="s">
        <v>3507</v>
      </c>
      <c r="W308" t="s">
        <v>3905</v>
      </c>
    </row>
    <row r="309" spans="1:23">
      <c r="A309">
        <v>429</v>
      </c>
      <c r="B309" t="s">
        <v>7</v>
      </c>
      <c r="C309" t="s">
        <v>8</v>
      </c>
      <c r="D309" t="s">
        <v>9</v>
      </c>
      <c r="E309">
        <v>45917</v>
      </c>
      <c r="F309">
        <v>0.46180555555555602</v>
      </c>
      <c r="O309" t="s">
        <v>3507</v>
      </c>
      <c r="P309" t="s">
        <v>3503</v>
      </c>
      <c r="Q309" t="s">
        <v>3901</v>
      </c>
      <c r="R309" t="s">
        <v>3906</v>
      </c>
      <c r="S309" t="s">
        <v>3907</v>
      </c>
      <c r="T309" t="s">
        <v>3904</v>
      </c>
      <c r="U309" t="s">
        <v>10</v>
      </c>
      <c r="V309" t="s">
        <v>3507</v>
      </c>
      <c r="W309" t="s">
        <v>3905</v>
      </c>
    </row>
    <row r="310" spans="1:23">
      <c r="A310">
        <v>430</v>
      </c>
      <c r="B310" t="s">
        <v>14</v>
      </c>
      <c r="C310" t="s">
        <v>15</v>
      </c>
      <c r="D310" t="s">
        <v>9</v>
      </c>
      <c r="E310">
        <v>45898</v>
      </c>
      <c r="F310">
        <v>0.47083333333333299</v>
      </c>
      <c r="G310" t="s">
        <v>208</v>
      </c>
      <c r="H310" t="s">
        <v>209</v>
      </c>
      <c r="I310" t="s">
        <v>11</v>
      </c>
      <c r="J310" t="s">
        <v>24</v>
      </c>
      <c r="K310" t="s">
        <v>19</v>
      </c>
      <c r="L310" t="s">
        <v>13</v>
      </c>
      <c r="N310" t="s">
        <v>3548</v>
      </c>
      <c r="O310">
        <v>1</v>
      </c>
      <c r="P310" t="s">
        <v>3503</v>
      </c>
      <c r="Q310" t="s">
        <v>3737</v>
      </c>
      <c r="R310" t="s">
        <v>3908</v>
      </c>
      <c r="S310" t="s">
        <v>3909</v>
      </c>
      <c r="T310" t="s">
        <v>3790</v>
      </c>
      <c r="U310" t="s">
        <v>16</v>
      </c>
      <c r="V310" t="s">
        <v>3741</v>
      </c>
      <c r="W310" t="s">
        <v>3905</v>
      </c>
    </row>
    <row r="311" spans="1:23">
      <c r="A311">
        <v>431</v>
      </c>
      <c r="B311" t="s">
        <v>14</v>
      </c>
      <c r="C311" t="s">
        <v>15</v>
      </c>
      <c r="D311" t="s">
        <v>3910</v>
      </c>
      <c r="E311">
        <v>45898</v>
      </c>
      <c r="F311">
        <v>0.47222222222222199</v>
      </c>
      <c r="G311" t="s">
        <v>208</v>
      </c>
      <c r="H311" t="s">
        <v>209</v>
      </c>
      <c r="I311" t="s">
        <v>29</v>
      </c>
      <c r="J311" t="s">
        <v>24</v>
      </c>
      <c r="K311" t="s">
        <v>47</v>
      </c>
      <c r="L311" t="s">
        <v>46</v>
      </c>
      <c r="N311" t="s">
        <v>3574</v>
      </c>
      <c r="O311">
        <v>1</v>
      </c>
      <c r="P311" t="s">
        <v>3503</v>
      </c>
      <c r="Q311" t="s">
        <v>3737</v>
      </c>
      <c r="R311" t="s">
        <v>3911</v>
      </c>
      <c r="S311" t="s">
        <v>3912</v>
      </c>
      <c r="T311" t="s">
        <v>3790</v>
      </c>
      <c r="U311" t="s">
        <v>16</v>
      </c>
      <c r="V311" t="s">
        <v>3741</v>
      </c>
      <c r="W311" t="s">
        <v>3905</v>
      </c>
    </row>
    <row r="312" spans="1:23">
      <c r="A312">
        <v>432</v>
      </c>
      <c r="B312" t="s">
        <v>14</v>
      </c>
      <c r="C312" t="s">
        <v>15</v>
      </c>
      <c r="D312" t="s">
        <v>9</v>
      </c>
      <c r="E312">
        <v>45898</v>
      </c>
      <c r="F312">
        <v>0.47430555555555598</v>
      </c>
      <c r="G312" t="s">
        <v>208</v>
      </c>
      <c r="H312" t="s">
        <v>209</v>
      </c>
      <c r="I312" t="s">
        <v>23</v>
      </c>
      <c r="J312" t="s">
        <v>24</v>
      </c>
      <c r="K312" t="s">
        <v>44</v>
      </c>
      <c r="L312" t="s">
        <v>45</v>
      </c>
      <c r="M312" t="s">
        <v>41</v>
      </c>
      <c r="N312" t="s">
        <v>3647</v>
      </c>
      <c r="O312">
        <v>1</v>
      </c>
      <c r="P312" t="s">
        <v>3503</v>
      </c>
      <c r="Q312" t="s">
        <v>3737</v>
      </c>
      <c r="R312" t="s">
        <v>3913</v>
      </c>
      <c r="S312" t="s">
        <v>3914</v>
      </c>
      <c r="T312" t="s">
        <v>3790</v>
      </c>
      <c r="U312" t="s">
        <v>16</v>
      </c>
      <c r="V312" t="s">
        <v>3741</v>
      </c>
      <c r="W312" t="s">
        <v>3905</v>
      </c>
    </row>
    <row r="313" spans="1:23">
      <c r="A313">
        <v>433</v>
      </c>
      <c r="B313" t="s">
        <v>7</v>
      </c>
      <c r="C313" t="s">
        <v>8</v>
      </c>
      <c r="D313" t="s">
        <v>9</v>
      </c>
      <c r="E313">
        <v>45917</v>
      </c>
      <c r="F313">
        <v>0.47916666666666702</v>
      </c>
      <c r="G313" t="s">
        <v>1685</v>
      </c>
      <c r="H313" t="s">
        <v>3915</v>
      </c>
      <c r="I313" t="s">
        <v>11</v>
      </c>
      <c r="J313" t="s">
        <v>36</v>
      </c>
      <c r="K313" t="s">
        <v>25</v>
      </c>
      <c r="N313" t="s">
        <v>25</v>
      </c>
      <c r="O313">
        <v>1</v>
      </c>
      <c r="P313" t="s">
        <v>3503</v>
      </c>
      <c r="Q313" t="s">
        <v>3737</v>
      </c>
      <c r="R313" t="s">
        <v>3916</v>
      </c>
      <c r="S313" t="s">
        <v>3917</v>
      </c>
      <c r="T313" t="s">
        <v>3904</v>
      </c>
      <c r="U313" t="s">
        <v>10</v>
      </c>
      <c r="V313" t="s">
        <v>3741</v>
      </c>
      <c r="W313" t="s">
        <v>3918</v>
      </c>
    </row>
    <row r="314" spans="1:23">
      <c r="A314">
        <v>434</v>
      </c>
      <c r="B314" t="s">
        <v>7</v>
      </c>
      <c r="C314" t="s">
        <v>8</v>
      </c>
      <c r="D314" t="s">
        <v>9</v>
      </c>
      <c r="E314">
        <v>45917</v>
      </c>
      <c r="F314">
        <v>0.48611111111111099</v>
      </c>
      <c r="G314" t="s">
        <v>1755</v>
      </c>
      <c r="H314" t="s">
        <v>1756</v>
      </c>
      <c r="I314" t="s">
        <v>11</v>
      </c>
      <c r="J314" t="s">
        <v>36</v>
      </c>
      <c r="K314" t="s">
        <v>25</v>
      </c>
      <c r="N314" t="s">
        <v>25</v>
      </c>
      <c r="O314">
        <v>1</v>
      </c>
      <c r="P314" t="s">
        <v>3503</v>
      </c>
      <c r="Q314" t="s">
        <v>3737</v>
      </c>
      <c r="R314" t="s">
        <v>3919</v>
      </c>
      <c r="S314" t="s">
        <v>3920</v>
      </c>
      <c r="T314" t="s">
        <v>3904</v>
      </c>
      <c r="U314" t="s">
        <v>10</v>
      </c>
      <c r="V314" t="s">
        <v>3741</v>
      </c>
      <c r="W314" t="s">
        <v>3918</v>
      </c>
    </row>
    <row r="315" spans="1:23">
      <c r="A315">
        <v>435</v>
      </c>
      <c r="C315" t="s">
        <v>15</v>
      </c>
      <c r="D315" t="s">
        <v>3910</v>
      </c>
      <c r="O315" t="s">
        <v>3507</v>
      </c>
      <c r="P315" t="s">
        <v>3503</v>
      </c>
      <c r="Q315" t="s">
        <v>3901</v>
      </c>
      <c r="R315" t="s">
        <v>3660</v>
      </c>
      <c r="S315" t="s">
        <v>3921</v>
      </c>
      <c r="T315" t="s">
        <v>3885</v>
      </c>
      <c r="U315">
        <v>0</v>
      </c>
      <c r="V315" t="s">
        <v>3507</v>
      </c>
      <c r="W315" t="s">
        <v>3918</v>
      </c>
    </row>
    <row r="316" spans="1:23">
      <c r="A316">
        <v>436</v>
      </c>
      <c r="B316" t="s">
        <v>14</v>
      </c>
      <c r="C316" t="s">
        <v>15</v>
      </c>
      <c r="D316" t="s">
        <v>9</v>
      </c>
      <c r="E316">
        <v>45898</v>
      </c>
      <c r="F316">
        <v>0.52777777777777801</v>
      </c>
      <c r="G316" t="s">
        <v>3922</v>
      </c>
      <c r="H316" t="s">
        <v>3923</v>
      </c>
      <c r="I316" t="s">
        <v>11</v>
      </c>
      <c r="J316" t="s">
        <v>24</v>
      </c>
      <c r="K316" t="s">
        <v>19</v>
      </c>
      <c r="L316" t="s">
        <v>13</v>
      </c>
      <c r="N316" t="s">
        <v>3548</v>
      </c>
      <c r="O316">
        <v>1</v>
      </c>
      <c r="P316" t="s">
        <v>3503</v>
      </c>
      <c r="Q316" t="s">
        <v>3737</v>
      </c>
      <c r="R316" t="s">
        <v>3924</v>
      </c>
      <c r="S316" t="s">
        <v>3925</v>
      </c>
      <c r="T316" t="s">
        <v>3790</v>
      </c>
      <c r="U316" t="s">
        <v>16</v>
      </c>
      <c r="V316" t="s">
        <v>3741</v>
      </c>
      <c r="W316" t="s">
        <v>3926</v>
      </c>
    </row>
    <row r="317" spans="1:23">
      <c r="A317">
        <v>437</v>
      </c>
      <c r="B317" t="s">
        <v>14</v>
      </c>
      <c r="C317" t="s">
        <v>15</v>
      </c>
      <c r="D317" t="s">
        <v>9</v>
      </c>
      <c r="E317">
        <v>45898</v>
      </c>
      <c r="F317">
        <v>0.52916666666666701</v>
      </c>
      <c r="G317" t="s">
        <v>3922</v>
      </c>
      <c r="H317" t="s">
        <v>3923</v>
      </c>
      <c r="I317" t="s">
        <v>23</v>
      </c>
      <c r="J317" t="s">
        <v>24</v>
      </c>
      <c r="K317" t="s">
        <v>44</v>
      </c>
      <c r="L317" t="s">
        <v>44</v>
      </c>
      <c r="M317" t="s">
        <v>41</v>
      </c>
      <c r="N317" t="s">
        <v>3927</v>
      </c>
      <c r="O317">
        <v>1</v>
      </c>
      <c r="P317" t="s">
        <v>3503</v>
      </c>
      <c r="Q317" t="s">
        <v>3737</v>
      </c>
      <c r="R317" t="s">
        <v>3928</v>
      </c>
      <c r="S317" t="s">
        <v>3929</v>
      </c>
      <c r="T317" t="s">
        <v>3790</v>
      </c>
      <c r="U317" t="s">
        <v>16</v>
      </c>
      <c r="V317" t="s">
        <v>3741</v>
      </c>
      <c r="W317" t="s">
        <v>3926</v>
      </c>
    </row>
    <row r="318" spans="1:23">
      <c r="A318">
        <v>438</v>
      </c>
      <c r="B318" t="s">
        <v>14</v>
      </c>
      <c r="C318" t="s">
        <v>15</v>
      </c>
      <c r="D318" t="s">
        <v>9</v>
      </c>
      <c r="E318">
        <v>45898</v>
      </c>
      <c r="F318">
        <v>0.531944444444444</v>
      </c>
      <c r="G318" t="s">
        <v>3922</v>
      </c>
      <c r="H318" t="s">
        <v>3923</v>
      </c>
      <c r="I318" t="s">
        <v>29</v>
      </c>
      <c r="J318" t="s">
        <v>24</v>
      </c>
      <c r="K318" t="s">
        <v>47</v>
      </c>
      <c r="L318" t="s">
        <v>46</v>
      </c>
      <c r="N318" t="s">
        <v>3574</v>
      </c>
      <c r="O318">
        <v>1</v>
      </c>
      <c r="P318" t="s">
        <v>3503</v>
      </c>
      <c r="Q318" t="s">
        <v>3737</v>
      </c>
      <c r="R318" t="s">
        <v>3930</v>
      </c>
      <c r="S318" t="s">
        <v>3931</v>
      </c>
      <c r="T318" t="s">
        <v>3790</v>
      </c>
      <c r="U318" t="s">
        <v>16</v>
      </c>
      <c r="V318" t="s">
        <v>3741</v>
      </c>
      <c r="W318" t="s">
        <v>3926</v>
      </c>
    </row>
    <row r="319" spans="1:23">
      <c r="A319">
        <v>439</v>
      </c>
      <c r="B319" t="s">
        <v>14</v>
      </c>
      <c r="C319" t="s">
        <v>15</v>
      </c>
      <c r="D319" t="s">
        <v>9</v>
      </c>
      <c r="E319">
        <v>45882</v>
      </c>
      <c r="F319">
        <v>0.54166666666666696</v>
      </c>
      <c r="G319" t="s">
        <v>656</v>
      </c>
      <c r="H319" t="s">
        <v>657</v>
      </c>
      <c r="I319" t="s">
        <v>11</v>
      </c>
      <c r="J319" t="s">
        <v>24</v>
      </c>
      <c r="K319" t="s">
        <v>19</v>
      </c>
      <c r="L319" t="s">
        <v>13</v>
      </c>
      <c r="N319" t="s">
        <v>3548</v>
      </c>
      <c r="O319">
        <v>1</v>
      </c>
      <c r="P319" t="s">
        <v>3503</v>
      </c>
      <c r="Q319" t="s">
        <v>3737</v>
      </c>
      <c r="R319" t="s">
        <v>3932</v>
      </c>
      <c r="S319" t="s">
        <v>3933</v>
      </c>
      <c r="T319" t="s">
        <v>3934</v>
      </c>
      <c r="U319" t="s">
        <v>16</v>
      </c>
      <c r="V319" t="s">
        <v>3741</v>
      </c>
      <c r="W319" t="s">
        <v>3935</v>
      </c>
    </row>
    <row r="320" spans="1:23">
      <c r="A320">
        <v>440</v>
      </c>
      <c r="B320" t="s">
        <v>14</v>
      </c>
      <c r="C320" t="s">
        <v>15</v>
      </c>
      <c r="D320" t="s">
        <v>9</v>
      </c>
      <c r="E320">
        <v>45882</v>
      </c>
      <c r="F320">
        <v>0.54374999999999996</v>
      </c>
      <c r="G320" t="s">
        <v>656</v>
      </c>
      <c r="H320" t="s">
        <v>657</v>
      </c>
      <c r="I320" t="s">
        <v>23</v>
      </c>
      <c r="J320" t="s">
        <v>24</v>
      </c>
      <c r="K320" t="s">
        <v>44</v>
      </c>
      <c r="L320" t="s">
        <v>45</v>
      </c>
      <c r="M320" t="s">
        <v>41</v>
      </c>
      <c r="N320" t="s">
        <v>3647</v>
      </c>
      <c r="O320">
        <v>1</v>
      </c>
      <c r="P320" t="s">
        <v>3503</v>
      </c>
      <c r="Q320" t="s">
        <v>3737</v>
      </c>
      <c r="R320" t="s">
        <v>3936</v>
      </c>
      <c r="S320" t="s">
        <v>3937</v>
      </c>
      <c r="T320" t="s">
        <v>3934</v>
      </c>
      <c r="U320" t="s">
        <v>16</v>
      </c>
      <c r="V320" t="s">
        <v>3741</v>
      </c>
      <c r="W320" t="s">
        <v>3935</v>
      </c>
    </row>
    <row r="321" spans="1:23">
      <c r="A321">
        <v>441</v>
      </c>
      <c r="B321" t="s">
        <v>14</v>
      </c>
      <c r="C321" t="s">
        <v>15</v>
      </c>
      <c r="D321" t="s">
        <v>9</v>
      </c>
      <c r="E321">
        <v>45882</v>
      </c>
      <c r="F321">
        <v>0.54583333333333295</v>
      </c>
      <c r="G321" t="s">
        <v>656</v>
      </c>
      <c r="H321" t="s">
        <v>657</v>
      </c>
      <c r="I321" t="s">
        <v>29</v>
      </c>
      <c r="J321" t="s">
        <v>24</v>
      </c>
      <c r="K321" t="s">
        <v>47</v>
      </c>
      <c r="L321" t="s">
        <v>46</v>
      </c>
      <c r="N321" t="s">
        <v>3574</v>
      </c>
      <c r="O321">
        <v>1</v>
      </c>
      <c r="P321" t="s">
        <v>3503</v>
      </c>
      <c r="Q321" t="s">
        <v>3737</v>
      </c>
      <c r="R321" t="s">
        <v>3938</v>
      </c>
      <c r="S321" t="s">
        <v>3939</v>
      </c>
      <c r="T321" t="s">
        <v>3934</v>
      </c>
      <c r="U321" t="s">
        <v>16</v>
      </c>
      <c r="V321" t="s">
        <v>3741</v>
      </c>
      <c r="W321" t="s">
        <v>3935</v>
      </c>
    </row>
    <row r="322" spans="1:23">
      <c r="A322">
        <v>442</v>
      </c>
      <c r="B322" t="s">
        <v>32</v>
      </c>
      <c r="C322" t="s">
        <v>33</v>
      </c>
      <c r="D322" t="s">
        <v>9</v>
      </c>
      <c r="E322">
        <v>45897</v>
      </c>
      <c r="F322">
        <v>0.41666666666666702</v>
      </c>
      <c r="G322" t="s">
        <v>3940</v>
      </c>
      <c r="H322" t="s">
        <v>3941</v>
      </c>
      <c r="I322" t="s">
        <v>11</v>
      </c>
      <c r="J322" t="s">
        <v>12</v>
      </c>
      <c r="K322" t="s">
        <v>13</v>
      </c>
      <c r="L322" t="s">
        <v>25</v>
      </c>
      <c r="N322" t="s">
        <v>3579</v>
      </c>
      <c r="O322">
        <v>1</v>
      </c>
      <c r="P322" t="s">
        <v>3503</v>
      </c>
      <c r="Q322" t="s">
        <v>3737</v>
      </c>
      <c r="R322" t="s">
        <v>3942</v>
      </c>
      <c r="S322" t="s">
        <v>3943</v>
      </c>
      <c r="T322" t="s">
        <v>3944</v>
      </c>
      <c r="U322" t="s">
        <v>34</v>
      </c>
      <c r="V322" t="s">
        <v>3741</v>
      </c>
      <c r="W322" t="s">
        <v>3945</v>
      </c>
    </row>
    <row r="323" spans="1:23">
      <c r="A323">
        <v>443</v>
      </c>
      <c r="B323" t="s">
        <v>32</v>
      </c>
      <c r="C323" t="s">
        <v>33</v>
      </c>
      <c r="D323" t="s">
        <v>9</v>
      </c>
      <c r="E323">
        <v>45897</v>
      </c>
      <c r="F323">
        <v>0.4375</v>
      </c>
      <c r="G323" t="s">
        <v>3940</v>
      </c>
      <c r="H323" t="s">
        <v>3941</v>
      </c>
      <c r="I323" t="s">
        <v>23</v>
      </c>
      <c r="J323" t="s">
        <v>12</v>
      </c>
      <c r="K323" t="s">
        <v>41</v>
      </c>
      <c r="N323" t="s">
        <v>41</v>
      </c>
      <c r="O323">
        <v>1</v>
      </c>
      <c r="P323" t="s">
        <v>3503</v>
      </c>
      <c r="Q323" t="s">
        <v>3737</v>
      </c>
      <c r="R323" t="s">
        <v>3946</v>
      </c>
      <c r="S323" t="s">
        <v>3947</v>
      </c>
      <c r="T323" t="s">
        <v>3944</v>
      </c>
      <c r="U323" t="s">
        <v>34</v>
      </c>
      <c r="V323" t="s">
        <v>3741</v>
      </c>
      <c r="W323" t="s">
        <v>3948</v>
      </c>
    </row>
    <row r="324" spans="1:23">
      <c r="A324">
        <v>444</v>
      </c>
      <c r="B324" t="s">
        <v>32</v>
      </c>
      <c r="C324" t="s">
        <v>33</v>
      </c>
      <c r="D324" t="s">
        <v>9</v>
      </c>
      <c r="E324">
        <v>45904</v>
      </c>
      <c r="F324">
        <v>0.41666666666666702</v>
      </c>
      <c r="G324" t="s">
        <v>3949</v>
      </c>
      <c r="H324" t="s">
        <v>3950</v>
      </c>
      <c r="I324" t="s">
        <v>11</v>
      </c>
      <c r="J324" t="s">
        <v>12</v>
      </c>
      <c r="K324" t="s">
        <v>13</v>
      </c>
      <c r="L324" t="s">
        <v>25</v>
      </c>
      <c r="N324" t="s">
        <v>3579</v>
      </c>
      <c r="O324">
        <v>1</v>
      </c>
      <c r="P324" t="s">
        <v>3503</v>
      </c>
      <c r="Q324" t="s">
        <v>3737</v>
      </c>
      <c r="R324" t="s">
        <v>3848</v>
      </c>
      <c r="S324" t="s">
        <v>3951</v>
      </c>
      <c r="T324" t="s">
        <v>3850</v>
      </c>
      <c r="U324" t="s">
        <v>34</v>
      </c>
      <c r="V324" t="s">
        <v>3741</v>
      </c>
      <c r="W324" t="s">
        <v>3952</v>
      </c>
    </row>
    <row r="325" spans="1:23">
      <c r="A325">
        <v>445</v>
      </c>
      <c r="B325" t="s">
        <v>32</v>
      </c>
      <c r="C325" t="s">
        <v>33</v>
      </c>
      <c r="D325" t="s">
        <v>9</v>
      </c>
      <c r="E325">
        <v>45904</v>
      </c>
      <c r="F325">
        <v>0.41666666666666702</v>
      </c>
      <c r="G325" t="s">
        <v>3949</v>
      </c>
      <c r="H325" t="s">
        <v>3950</v>
      </c>
      <c r="I325" t="s">
        <v>23</v>
      </c>
      <c r="J325" t="s">
        <v>12</v>
      </c>
      <c r="K325" t="s">
        <v>41</v>
      </c>
      <c r="L325" t="s">
        <v>43</v>
      </c>
      <c r="N325" t="s">
        <v>3612</v>
      </c>
      <c r="O325">
        <v>1</v>
      </c>
      <c r="P325" t="s">
        <v>3503</v>
      </c>
      <c r="Q325" t="s">
        <v>3737</v>
      </c>
      <c r="R325" t="s">
        <v>3848</v>
      </c>
      <c r="S325" t="s">
        <v>3953</v>
      </c>
      <c r="T325" t="s">
        <v>3850</v>
      </c>
      <c r="U325" t="s">
        <v>34</v>
      </c>
      <c r="V325" t="s">
        <v>3741</v>
      </c>
      <c r="W325" t="s">
        <v>3954</v>
      </c>
    </row>
    <row r="326" spans="1:23">
      <c r="A326">
        <v>446</v>
      </c>
      <c r="B326" t="s">
        <v>32</v>
      </c>
      <c r="C326" t="s">
        <v>33</v>
      </c>
      <c r="D326" t="s">
        <v>9</v>
      </c>
      <c r="E326">
        <v>45904</v>
      </c>
      <c r="F326">
        <v>0.41666666666666702</v>
      </c>
      <c r="G326" t="s">
        <v>3949</v>
      </c>
      <c r="H326" t="s">
        <v>3950</v>
      </c>
      <c r="I326" t="s">
        <v>38</v>
      </c>
      <c r="J326" t="s">
        <v>36</v>
      </c>
      <c r="K326" t="s">
        <v>48</v>
      </c>
      <c r="N326" t="s">
        <v>48</v>
      </c>
      <c r="O326">
        <v>1</v>
      </c>
      <c r="P326" t="s">
        <v>3955</v>
      </c>
      <c r="Q326" t="s">
        <v>3737</v>
      </c>
      <c r="R326" t="s">
        <v>3848</v>
      </c>
      <c r="S326" t="s">
        <v>3956</v>
      </c>
      <c r="T326" t="s">
        <v>3850</v>
      </c>
      <c r="U326" t="s">
        <v>34</v>
      </c>
      <c r="V326" t="s">
        <v>3741</v>
      </c>
      <c r="W326" t="s">
        <v>3957</v>
      </c>
    </row>
    <row r="327" spans="1:23">
      <c r="A327">
        <v>447</v>
      </c>
      <c r="B327" t="s">
        <v>7</v>
      </c>
      <c r="C327" t="s">
        <v>8</v>
      </c>
      <c r="D327" t="s">
        <v>9</v>
      </c>
      <c r="E327">
        <v>45922</v>
      </c>
      <c r="F327">
        <v>0.44097222222222199</v>
      </c>
      <c r="G327" t="s">
        <v>3021</v>
      </c>
      <c r="H327" t="s">
        <v>3958</v>
      </c>
      <c r="I327" t="s">
        <v>11</v>
      </c>
      <c r="J327" t="s">
        <v>30</v>
      </c>
      <c r="K327" t="s">
        <v>25</v>
      </c>
      <c r="L327" t="s">
        <v>37</v>
      </c>
      <c r="N327" t="s">
        <v>3959</v>
      </c>
      <c r="O327">
        <v>1</v>
      </c>
      <c r="P327" t="s">
        <v>3503</v>
      </c>
      <c r="Q327" t="s">
        <v>3737</v>
      </c>
      <c r="R327" t="s">
        <v>3960</v>
      </c>
      <c r="S327" t="s">
        <v>3961</v>
      </c>
      <c r="T327" t="s">
        <v>3962</v>
      </c>
      <c r="U327" t="s">
        <v>10</v>
      </c>
      <c r="V327" t="s">
        <v>3741</v>
      </c>
      <c r="W327" t="s">
        <v>3963</v>
      </c>
    </row>
    <row r="328" spans="1:23">
      <c r="A328">
        <v>448</v>
      </c>
      <c r="B328" t="s">
        <v>7</v>
      </c>
      <c r="C328" t="s">
        <v>8</v>
      </c>
      <c r="D328" t="s">
        <v>9</v>
      </c>
      <c r="E328">
        <v>45929</v>
      </c>
      <c r="F328">
        <v>0.53472222222222199</v>
      </c>
      <c r="G328" t="s">
        <v>2645</v>
      </c>
      <c r="H328" t="s">
        <v>3964</v>
      </c>
      <c r="I328" t="s">
        <v>11</v>
      </c>
      <c r="J328" t="s">
        <v>36</v>
      </c>
      <c r="K328" t="s">
        <v>25</v>
      </c>
      <c r="N328" t="s">
        <v>25</v>
      </c>
      <c r="O328">
        <v>1</v>
      </c>
      <c r="P328" t="s">
        <v>3503</v>
      </c>
      <c r="Q328" t="s">
        <v>3737</v>
      </c>
      <c r="R328" t="s">
        <v>3965</v>
      </c>
      <c r="S328" t="s">
        <v>3966</v>
      </c>
      <c r="T328" t="s">
        <v>3967</v>
      </c>
      <c r="U328" t="s">
        <v>10</v>
      </c>
      <c r="V328" t="s">
        <v>3741</v>
      </c>
      <c r="W328" t="s">
        <v>3968</v>
      </c>
    </row>
    <row r="329" spans="1:23">
      <c r="A329">
        <v>449</v>
      </c>
      <c r="B329" t="s">
        <v>7</v>
      </c>
      <c r="C329" t="s">
        <v>8</v>
      </c>
      <c r="D329" t="s">
        <v>9</v>
      </c>
      <c r="E329">
        <v>45923</v>
      </c>
      <c r="F329">
        <v>0.625</v>
      </c>
      <c r="G329" t="s">
        <v>2645</v>
      </c>
      <c r="H329" t="s">
        <v>3964</v>
      </c>
      <c r="I329" t="s">
        <v>11</v>
      </c>
      <c r="J329" t="s">
        <v>36</v>
      </c>
      <c r="K329" t="s">
        <v>25</v>
      </c>
      <c r="N329" t="s">
        <v>25</v>
      </c>
      <c r="O329">
        <v>1</v>
      </c>
      <c r="P329" t="s">
        <v>3503</v>
      </c>
      <c r="Q329" t="s">
        <v>3737</v>
      </c>
      <c r="R329" t="s">
        <v>3969</v>
      </c>
      <c r="S329" t="s">
        <v>3970</v>
      </c>
      <c r="T329" t="s">
        <v>3971</v>
      </c>
      <c r="U329" t="s">
        <v>10</v>
      </c>
      <c r="V329" t="s">
        <v>3741</v>
      </c>
      <c r="W329" t="s">
        <v>3972</v>
      </c>
    </row>
    <row r="330" spans="1:23">
      <c r="A330">
        <v>450</v>
      </c>
      <c r="B330" t="s">
        <v>14</v>
      </c>
      <c r="C330" t="s">
        <v>15</v>
      </c>
      <c r="D330" t="s">
        <v>9</v>
      </c>
      <c r="E330">
        <v>45926</v>
      </c>
      <c r="F330">
        <v>0.42708333333333298</v>
      </c>
      <c r="G330" t="s">
        <v>838</v>
      </c>
      <c r="H330" t="s">
        <v>839</v>
      </c>
      <c r="I330" t="s">
        <v>11</v>
      </c>
      <c r="J330" t="s">
        <v>24</v>
      </c>
      <c r="K330" t="s">
        <v>19</v>
      </c>
      <c r="L330" t="s">
        <v>13</v>
      </c>
      <c r="N330" t="s">
        <v>3548</v>
      </c>
      <c r="O330">
        <v>1</v>
      </c>
      <c r="P330" t="s">
        <v>3503</v>
      </c>
      <c r="Q330" t="s">
        <v>3737</v>
      </c>
      <c r="R330" t="s">
        <v>3973</v>
      </c>
      <c r="S330" t="s">
        <v>3974</v>
      </c>
      <c r="T330" t="s">
        <v>3975</v>
      </c>
      <c r="U330" t="s">
        <v>16</v>
      </c>
      <c r="V330" t="s">
        <v>3741</v>
      </c>
      <c r="W330" t="s">
        <v>3976</v>
      </c>
    </row>
    <row r="331" spans="1:23">
      <c r="A331">
        <v>451</v>
      </c>
      <c r="B331" t="s">
        <v>14</v>
      </c>
      <c r="C331" t="s">
        <v>15</v>
      </c>
      <c r="D331" t="s">
        <v>9</v>
      </c>
      <c r="E331">
        <v>45926</v>
      </c>
      <c r="F331">
        <v>0.42777777777777798</v>
      </c>
      <c r="G331" t="s">
        <v>838</v>
      </c>
      <c r="H331" t="s">
        <v>839</v>
      </c>
      <c r="I331" t="s">
        <v>23</v>
      </c>
      <c r="J331" t="s">
        <v>24</v>
      </c>
      <c r="K331" t="s">
        <v>44</v>
      </c>
      <c r="L331" t="s">
        <v>45</v>
      </c>
      <c r="N331" t="s">
        <v>3550</v>
      </c>
      <c r="O331">
        <v>1</v>
      </c>
      <c r="P331" t="s">
        <v>3503</v>
      </c>
      <c r="Q331" t="s">
        <v>3737</v>
      </c>
      <c r="R331" t="s">
        <v>3977</v>
      </c>
      <c r="S331" t="s">
        <v>3978</v>
      </c>
      <c r="T331" t="s">
        <v>3975</v>
      </c>
      <c r="U331" t="s">
        <v>16</v>
      </c>
      <c r="V331" t="s">
        <v>3741</v>
      </c>
      <c r="W331" t="s">
        <v>3976</v>
      </c>
    </row>
    <row r="332" spans="1:23">
      <c r="A332">
        <v>452</v>
      </c>
      <c r="B332" t="s">
        <v>14</v>
      </c>
      <c r="C332" t="s">
        <v>15</v>
      </c>
      <c r="D332" t="s">
        <v>9</v>
      </c>
      <c r="E332">
        <v>45926</v>
      </c>
      <c r="F332">
        <v>0.42847222222222198</v>
      </c>
      <c r="G332" t="s">
        <v>838</v>
      </c>
      <c r="H332" t="s">
        <v>839</v>
      </c>
      <c r="I332" t="s">
        <v>29</v>
      </c>
      <c r="J332" t="s">
        <v>24</v>
      </c>
      <c r="K332" t="s">
        <v>47</v>
      </c>
      <c r="L332" t="s">
        <v>46</v>
      </c>
      <c r="N332" t="s">
        <v>3574</v>
      </c>
      <c r="O332">
        <v>1</v>
      </c>
      <c r="P332" t="s">
        <v>3503</v>
      </c>
      <c r="Q332" t="s">
        <v>3737</v>
      </c>
      <c r="R332" t="s">
        <v>3979</v>
      </c>
      <c r="S332" t="s">
        <v>3980</v>
      </c>
      <c r="T332" t="s">
        <v>3975</v>
      </c>
      <c r="U332" t="s">
        <v>16</v>
      </c>
      <c r="V332" t="s">
        <v>3741</v>
      </c>
      <c r="W332" t="s">
        <v>3976</v>
      </c>
    </row>
    <row r="333" spans="1:23">
      <c r="A333">
        <v>453</v>
      </c>
      <c r="B333" t="s">
        <v>14</v>
      </c>
      <c r="C333" t="s">
        <v>15</v>
      </c>
      <c r="D333" t="s">
        <v>3981</v>
      </c>
      <c r="E333">
        <v>45926</v>
      </c>
      <c r="F333">
        <v>0.42916666666666697</v>
      </c>
      <c r="G333" t="s">
        <v>2946</v>
      </c>
      <c r="H333" t="s">
        <v>2947</v>
      </c>
      <c r="I333" t="s">
        <v>11</v>
      </c>
      <c r="J333" t="s">
        <v>24</v>
      </c>
      <c r="K333" t="s">
        <v>19</v>
      </c>
      <c r="L333" t="s">
        <v>13</v>
      </c>
      <c r="N333" t="s">
        <v>3548</v>
      </c>
      <c r="O333">
        <v>1</v>
      </c>
      <c r="P333" t="s">
        <v>3503</v>
      </c>
      <c r="Q333" t="s">
        <v>3737</v>
      </c>
      <c r="R333" t="s">
        <v>3982</v>
      </c>
      <c r="S333" t="s">
        <v>3983</v>
      </c>
      <c r="T333" t="s">
        <v>3975</v>
      </c>
      <c r="U333" t="s">
        <v>16</v>
      </c>
      <c r="V333" t="s">
        <v>3741</v>
      </c>
      <c r="W333" t="s">
        <v>3976</v>
      </c>
    </row>
    <row r="334" spans="1:23">
      <c r="A334">
        <v>454</v>
      </c>
      <c r="B334" t="s">
        <v>14</v>
      </c>
      <c r="C334" t="s">
        <v>15</v>
      </c>
      <c r="D334" t="s">
        <v>9</v>
      </c>
      <c r="E334">
        <v>45926</v>
      </c>
      <c r="F334">
        <v>0.42986111111111103</v>
      </c>
      <c r="G334" t="s">
        <v>2946</v>
      </c>
      <c r="H334" t="s">
        <v>2947</v>
      </c>
      <c r="I334" t="s">
        <v>23</v>
      </c>
      <c r="J334" t="s">
        <v>24</v>
      </c>
      <c r="K334" t="s">
        <v>44</v>
      </c>
      <c r="L334" t="s">
        <v>45</v>
      </c>
      <c r="N334" t="s">
        <v>3550</v>
      </c>
      <c r="O334">
        <v>1</v>
      </c>
      <c r="P334" t="s">
        <v>3503</v>
      </c>
      <c r="Q334" t="s">
        <v>3737</v>
      </c>
      <c r="R334" t="s">
        <v>3984</v>
      </c>
      <c r="S334" t="s">
        <v>3985</v>
      </c>
      <c r="T334" t="s">
        <v>3975</v>
      </c>
      <c r="U334" t="s">
        <v>16</v>
      </c>
      <c r="V334" t="s">
        <v>3741</v>
      </c>
      <c r="W334" t="s">
        <v>3976</v>
      </c>
    </row>
    <row r="335" spans="1:23">
      <c r="A335">
        <v>455</v>
      </c>
      <c r="B335" t="s">
        <v>14</v>
      </c>
      <c r="C335" t="s">
        <v>15</v>
      </c>
      <c r="D335" t="s">
        <v>9</v>
      </c>
      <c r="E335">
        <v>45926</v>
      </c>
      <c r="F335">
        <v>0.43055555555555602</v>
      </c>
      <c r="G335" t="s">
        <v>2946</v>
      </c>
      <c r="H335" t="s">
        <v>2947</v>
      </c>
      <c r="I335" t="s">
        <v>29</v>
      </c>
      <c r="J335" t="s">
        <v>24</v>
      </c>
      <c r="K335" t="s">
        <v>47</v>
      </c>
      <c r="L335" t="s">
        <v>46</v>
      </c>
      <c r="N335" t="s">
        <v>3574</v>
      </c>
      <c r="O335">
        <v>1</v>
      </c>
      <c r="P335" t="s">
        <v>3503</v>
      </c>
      <c r="Q335" t="s">
        <v>3737</v>
      </c>
      <c r="R335" t="s">
        <v>3986</v>
      </c>
      <c r="S335" t="s">
        <v>3987</v>
      </c>
      <c r="T335" t="s">
        <v>3975</v>
      </c>
      <c r="U335" t="s">
        <v>16</v>
      </c>
      <c r="V335" t="s">
        <v>3741</v>
      </c>
      <c r="W335" t="s">
        <v>3976</v>
      </c>
    </row>
    <row r="336" spans="1:23">
      <c r="A336">
        <v>456</v>
      </c>
      <c r="B336" t="s">
        <v>14</v>
      </c>
      <c r="C336" t="s">
        <v>15</v>
      </c>
      <c r="D336" t="s">
        <v>9</v>
      </c>
      <c r="E336">
        <v>45938</v>
      </c>
      <c r="F336">
        <v>0.41666666666666702</v>
      </c>
      <c r="G336" t="s">
        <v>1975</v>
      </c>
      <c r="H336" t="s">
        <v>1976</v>
      </c>
      <c r="I336" t="s">
        <v>17</v>
      </c>
      <c r="J336" t="s">
        <v>12</v>
      </c>
      <c r="K336" t="s">
        <v>49</v>
      </c>
      <c r="L336" t="s">
        <v>3660</v>
      </c>
      <c r="M336" t="s">
        <v>3660</v>
      </c>
      <c r="N336" t="s">
        <v>49</v>
      </c>
      <c r="O336">
        <v>1</v>
      </c>
      <c r="P336" t="s">
        <v>3503</v>
      </c>
      <c r="Q336" t="s">
        <v>3737</v>
      </c>
      <c r="R336" t="s">
        <v>3988</v>
      </c>
      <c r="S336" t="s">
        <v>3989</v>
      </c>
      <c r="T336" t="s">
        <v>3990</v>
      </c>
      <c r="U336" t="s">
        <v>16</v>
      </c>
      <c r="V336" t="s">
        <v>3741</v>
      </c>
      <c r="W336" t="s">
        <v>3991</v>
      </c>
    </row>
    <row r="337" spans="1:23">
      <c r="A337">
        <v>457</v>
      </c>
      <c r="B337" t="s">
        <v>14</v>
      </c>
      <c r="C337" t="s">
        <v>15</v>
      </c>
      <c r="D337" t="s">
        <v>9</v>
      </c>
      <c r="E337">
        <v>45938</v>
      </c>
      <c r="F337">
        <v>0.41666666666666702</v>
      </c>
      <c r="G337" t="s">
        <v>1433</v>
      </c>
      <c r="H337" t="s">
        <v>1434</v>
      </c>
      <c r="I337" t="s">
        <v>17</v>
      </c>
      <c r="J337" t="s">
        <v>12</v>
      </c>
      <c r="K337" t="s">
        <v>49</v>
      </c>
      <c r="L337" t="s">
        <v>3660</v>
      </c>
      <c r="M337" t="s">
        <v>3660</v>
      </c>
      <c r="N337" t="s">
        <v>49</v>
      </c>
      <c r="O337">
        <v>1</v>
      </c>
      <c r="P337" t="s">
        <v>3503</v>
      </c>
      <c r="Q337" t="s">
        <v>3737</v>
      </c>
      <c r="R337" t="s">
        <v>3988</v>
      </c>
      <c r="S337" t="s">
        <v>3992</v>
      </c>
      <c r="T337" t="s">
        <v>3990</v>
      </c>
      <c r="U337" t="s">
        <v>16</v>
      </c>
      <c r="V337" t="s">
        <v>3741</v>
      </c>
      <c r="W337" t="s">
        <v>3991</v>
      </c>
    </row>
    <row r="338" spans="1:23">
      <c r="A338">
        <v>458</v>
      </c>
      <c r="B338" t="s">
        <v>14</v>
      </c>
      <c r="C338" t="s">
        <v>15</v>
      </c>
      <c r="D338" t="s">
        <v>9</v>
      </c>
      <c r="E338">
        <v>45938</v>
      </c>
      <c r="F338">
        <v>0.625</v>
      </c>
      <c r="G338" t="s">
        <v>2260</v>
      </c>
      <c r="H338" t="s">
        <v>2261</v>
      </c>
      <c r="I338" t="s">
        <v>11</v>
      </c>
      <c r="J338" t="s">
        <v>30</v>
      </c>
      <c r="K338" t="s">
        <v>37</v>
      </c>
      <c r="L338" t="s">
        <v>3660</v>
      </c>
      <c r="M338" t="s">
        <v>3660</v>
      </c>
      <c r="N338" t="s">
        <v>37</v>
      </c>
      <c r="O338">
        <v>1</v>
      </c>
      <c r="P338" t="s">
        <v>3503</v>
      </c>
      <c r="Q338" t="s">
        <v>3737</v>
      </c>
      <c r="R338" t="s">
        <v>3993</v>
      </c>
      <c r="S338" t="s">
        <v>3994</v>
      </c>
      <c r="T338" t="s">
        <v>3990</v>
      </c>
      <c r="U338" t="s">
        <v>16</v>
      </c>
      <c r="V338" t="s">
        <v>3741</v>
      </c>
      <c r="W338" t="s">
        <v>3991</v>
      </c>
    </row>
    <row r="339" spans="1:23">
      <c r="A339">
        <v>459</v>
      </c>
      <c r="B339" t="s">
        <v>14</v>
      </c>
      <c r="C339" t="s">
        <v>15</v>
      </c>
      <c r="D339" t="s">
        <v>9</v>
      </c>
      <c r="E339">
        <v>45938</v>
      </c>
      <c r="F339">
        <v>0.625</v>
      </c>
      <c r="G339" t="s">
        <v>3433</v>
      </c>
      <c r="H339" t="s">
        <v>3434</v>
      </c>
      <c r="I339" t="s">
        <v>11</v>
      </c>
      <c r="J339" t="s">
        <v>30</v>
      </c>
      <c r="K339" t="s">
        <v>37</v>
      </c>
      <c r="L339" t="s">
        <v>3660</v>
      </c>
      <c r="M339" t="s">
        <v>3660</v>
      </c>
      <c r="N339" t="s">
        <v>37</v>
      </c>
      <c r="O339">
        <v>1</v>
      </c>
      <c r="P339" t="s">
        <v>3503</v>
      </c>
      <c r="Q339" t="s">
        <v>3737</v>
      </c>
      <c r="R339" t="s">
        <v>3993</v>
      </c>
      <c r="S339" t="s">
        <v>3995</v>
      </c>
      <c r="T339" t="s">
        <v>3990</v>
      </c>
      <c r="U339" t="s">
        <v>16</v>
      </c>
      <c r="V339" t="s">
        <v>3741</v>
      </c>
      <c r="W339" t="s">
        <v>3991</v>
      </c>
    </row>
    <row r="340" spans="1:23">
      <c r="A340">
        <v>460</v>
      </c>
      <c r="B340" t="s">
        <v>14</v>
      </c>
      <c r="C340" t="s">
        <v>15</v>
      </c>
      <c r="D340" t="s">
        <v>9</v>
      </c>
      <c r="E340">
        <v>45938</v>
      </c>
      <c r="F340">
        <v>0.41666666666666702</v>
      </c>
      <c r="G340" t="s">
        <v>1975</v>
      </c>
      <c r="H340" t="s">
        <v>1976</v>
      </c>
      <c r="I340" t="s">
        <v>11</v>
      </c>
      <c r="J340" t="s">
        <v>30</v>
      </c>
      <c r="K340" t="s">
        <v>37</v>
      </c>
      <c r="L340" t="s">
        <v>3660</v>
      </c>
      <c r="M340" t="s">
        <v>3660</v>
      </c>
      <c r="N340" t="s">
        <v>37</v>
      </c>
      <c r="O340">
        <v>1</v>
      </c>
      <c r="P340" t="s">
        <v>3503</v>
      </c>
      <c r="Q340" t="s">
        <v>3737</v>
      </c>
      <c r="R340" t="s">
        <v>3988</v>
      </c>
      <c r="S340" t="s">
        <v>3996</v>
      </c>
      <c r="T340" t="s">
        <v>3990</v>
      </c>
      <c r="U340" t="s">
        <v>16</v>
      </c>
      <c r="V340" t="s">
        <v>3741</v>
      </c>
      <c r="W340" t="s">
        <v>3991</v>
      </c>
    </row>
    <row r="341" spans="1:23">
      <c r="A341">
        <v>461</v>
      </c>
      <c r="B341" t="s">
        <v>14</v>
      </c>
      <c r="C341" t="s">
        <v>15</v>
      </c>
      <c r="D341" t="s">
        <v>9</v>
      </c>
      <c r="E341">
        <v>45938</v>
      </c>
      <c r="F341">
        <v>0.41666666666666702</v>
      </c>
      <c r="G341" t="s">
        <v>1975</v>
      </c>
      <c r="H341" t="s">
        <v>1976</v>
      </c>
      <c r="I341" t="s">
        <v>11</v>
      </c>
      <c r="J341" t="s">
        <v>36</v>
      </c>
      <c r="K341" t="s">
        <v>25</v>
      </c>
      <c r="L341" t="s">
        <v>3660</v>
      </c>
      <c r="M341" t="s">
        <v>3660</v>
      </c>
      <c r="N341" t="s">
        <v>25</v>
      </c>
      <c r="O341">
        <v>1</v>
      </c>
      <c r="P341" t="s">
        <v>3503</v>
      </c>
      <c r="Q341" t="s">
        <v>3737</v>
      </c>
      <c r="R341" t="s">
        <v>3988</v>
      </c>
      <c r="S341" t="s">
        <v>3997</v>
      </c>
      <c r="T341" t="s">
        <v>3990</v>
      </c>
      <c r="U341" t="s">
        <v>16</v>
      </c>
      <c r="V341" t="s">
        <v>3741</v>
      </c>
      <c r="W341" t="s">
        <v>3991</v>
      </c>
    </row>
    <row r="342" spans="1:23">
      <c r="A342">
        <v>462</v>
      </c>
      <c r="B342" t="s">
        <v>14</v>
      </c>
      <c r="C342" t="s">
        <v>15</v>
      </c>
      <c r="D342" t="s">
        <v>9</v>
      </c>
      <c r="E342">
        <v>45938</v>
      </c>
      <c r="F342">
        <v>0.41666666666666702</v>
      </c>
      <c r="G342" t="s">
        <v>1975</v>
      </c>
      <c r="H342" t="s">
        <v>1976</v>
      </c>
      <c r="I342" t="s">
        <v>11</v>
      </c>
      <c r="J342" t="s">
        <v>12</v>
      </c>
      <c r="K342" t="s">
        <v>13</v>
      </c>
      <c r="L342" t="s">
        <v>3660</v>
      </c>
      <c r="M342" t="s">
        <v>3660</v>
      </c>
      <c r="N342" t="s">
        <v>13</v>
      </c>
      <c r="O342">
        <v>1</v>
      </c>
      <c r="P342" t="s">
        <v>3503</v>
      </c>
      <c r="Q342" t="s">
        <v>3737</v>
      </c>
      <c r="R342" t="s">
        <v>3988</v>
      </c>
      <c r="S342" t="s">
        <v>3998</v>
      </c>
      <c r="T342" t="s">
        <v>3990</v>
      </c>
      <c r="U342" t="s">
        <v>16</v>
      </c>
      <c r="V342" t="s">
        <v>3741</v>
      </c>
      <c r="W342" t="s">
        <v>3991</v>
      </c>
    </row>
    <row r="343" spans="1:23">
      <c r="A343">
        <v>463</v>
      </c>
      <c r="B343" t="s">
        <v>14</v>
      </c>
      <c r="C343" t="s">
        <v>15</v>
      </c>
      <c r="D343" t="s">
        <v>9</v>
      </c>
      <c r="E343">
        <v>45938</v>
      </c>
      <c r="F343">
        <v>0.41666666666666702</v>
      </c>
      <c r="G343" t="s">
        <v>1433</v>
      </c>
      <c r="H343" t="s">
        <v>1434</v>
      </c>
      <c r="I343" t="s">
        <v>11</v>
      </c>
      <c r="J343" t="s">
        <v>30</v>
      </c>
      <c r="K343" t="s">
        <v>37</v>
      </c>
      <c r="L343" t="s">
        <v>3660</v>
      </c>
      <c r="M343" t="s">
        <v>3660</v>
      </c>
      <c r="N343" t="s">
        <v>37</v>
      </c>
      <c r="O343">
        <v>1</v>
      </c>
      <c r="P343" t="s">
        <v>3503</v>
      </c>
      <c r="Q343" t="s">
        <v>3737</v>
      </c>
      <c r="R343" t="s">
        <v>3988</v>
      </c>
      <c r="S343" t="s">
        <v>3999</v>
      </c>
      <c r="T343" t="s">
        <v>3990</v>
      </c>
      <c r="U343" t="s">
        <v>16</v>
      </c>
      <c r="V343" t="s">
        <v>3741</v>
      </c>
      <c r="W343" t="s">
        <v>3991</v>
      </c>
    </row>
    <row r="344" spans="1:23">
      <c r="A344">
        <v>464</v>
      </c>
      <c r="B344" t="s">
        <v>14</v>
      </c>
      <c r="C344" t="s">
        <v>15</v>
      </c>
      <c r="D344" t="s">
        <v>9</v>
      </c>
      <c r="E344">
        <v>45938</v>
      </c>
      <c r="F344">
        <v>0.41666666666666702</v>
      </c>
      <c r="G344" t="s">
        <v>1433</v>
      </c>
      <c r="H344" t="s">
        <v>1434</v>
      </c>
      <c r="I344" t="s">
        <v>11</v>
      </c>
      <c r="J344" t="s">
        <v>36</v>
      </c>
      <c r="K344" t="s">
        <v>25</v>
      </c>
      <c r="L344" t="s">
        <v>3660</v>
      </c>
      <c r="M344" t="s">
        <v>3660</v>
      </c>
      <c r="N344" t="s">
        <v>25</v>
      </c>
      <c r="O344">
        <v>1</v>
      </c>
      <c r="P344" t="s">
        <v>3503</v>
      </c>
      <c r="Q344" t="s">
        <v>3737</v>
      </c>
      <c r="R344" t="s">
        <v>3988</v>
      </c>
      <c r="S344" t="s">
        <v>4000</v>
      </c>
      <c r="T344" t="s">
        <v>3990</v>
      </c>
      <c r="U344" t="s">
        <v>16</v>
      </c>
      <c r="V344" t="s">
        <v>3741</v>
      </c>
      <c r="W344" t="s">
        <v>3991</v>
      </c>
    </row>
    <row r="345" spans="1:23">
      <c r="A345">
        <v>465</v>
      </c>
      <c r="B345" t="s">
        <v>14</v>
      </c>
      <c r="C345" t="s">
        <v>15</v>
      </c>
      <c r="D345" t="s">
        <v>9</v>
      </c>
      <c r="E345">
        <v>45938</v>
      </c>
      <c r="F345">
        <v>0.41666666666666702</v>
      </c>
      <c r="G345" t="s">
        <v>1433</v>
      </c>
      <c r="H345" t="s">
        <v>1434</v>
      </c>
      <c r="I345" t="s">
        <v>11</v>
      </c>
      <c r="J345" t="s">
        <v>12</v>
      </c>
      <c r="K345" t="s">
        <v>13</v>
      </c>
      <c r="L345" t="s">
        <v>3660</v>
      </c>
      <c r="M345" t="s">
        <v>3660</v>
      </c>
      <c r="N345" t="s">
        <v>13</v>
      </c>
      <c r="O345">
        <v>1</v>
      </c>
      <c r="P345" t="s">
        <v>3503</v>
      </c>
      <c r="Q345" t="s">
        <v>3737</v>
      </c>
      <c r="R345" t="s">
        <v>3988</v>
      </c>
      <c r="S345" t="s">
        <v>4001</v>
      </c>
      <c r="T345" t="s">
        <v>3990</v>
      </c>
      <c r="U345" t="s">
        <v>16</v>
      </c>
      <c r="V345" t="s">
        <v>3741</v>
      </c>
      <c r="W345" t="s">
        <v>3991</v>
      </c>
    </row>
    <row r="346" spans="1:23">
      <c r="A346">
        <v>466</v>
      </c>
      <c r="B346" t="s">
        <v>14</v>
      </c>
      <c r="C346" t="s">
        <v>15</v>
      </c>
      <c r="D346" t="s">
        <v>9</v>
      </c>
      <c r="E346">
        <v>45938</v>
      </c>
      <c r="F346">
        <v>0.625</v>
      </c>
      <c r="G346" t="s">
        <v>2260</v>
      </c>
      <c r="H346" t="s">
        <v>2261</v>
      </c>
      <c r="I346" t="s">
        <v>11</v>
      </c>
      <c r="J346" t="s">
        <v>36</v>
      </c>
      <c r="K346" t="s">
        <v>25</v>
      </c>
      <c r="L346" t="s">
        <v>3660</v>
      </c>
      <c r="M346" t="s">
        <v>3660</v>
      </c>
      <c r="N346" t="s">
        <v>25</v>
      </c>
      <c r="O346">
        <v>1</v>
      </c>
      <c r="P346" t="s">
        <v>3503</v>
      </c>
      <c r="Q346" t="s">
        <v>3737</v>
      </c>
      <c r="R346" t="s">
        <v>3993</v>
      </c>
      <c r="S346" t="s">
        <v>4002</v>
      </c>
      <c r="T346" t="s">
        <v>3990</v>
      </c>
      <c r="U346" t="s">
        <v>16</v>
      </c>
      <c r="V346" t="s">
        <v>3741</v>
      </c>
      <c r="W346" t="s">
        <v>3991</v>
      </c>
    </row>
    <row r="347" spans="1:23">
      <c r="A347">
        <v>467</v>
      </c>
      <c r="B347" t="s">
        <v>14</v>
      </c>
      <c r="C347" t="s">
        <v>15</v>
      </c>
      <c r="D347" t="s">
        <v>9</v>
      </c>
      <c r="E347">
        <v>45938</v>
      </c>
      <c r="F347">
        <v>0.625</v>
      </c>
      <c r="G347" t="s">
        <v>3433</v>
      </c>
      <c r="H347" t="s">
        <v>3434</v>
      </c>
      <c r="I347" t="s">
        <v>11</v>
      </c>
      <c r="J347" t="s">
        <v>36</v>
      </c>
      <c r="K347" t="s">
        <v>25</v>
      </c>
      <c r="L347" t="s">
        <v>3660</v>
      </c>
      <c r="M347" t="s">
        <v>3660</v>
      </c>
      <c r="N347" t="s">
        <v>25</v>
      </c>
      <c r="O347">
        <v>1</v>
      </c>
      <c r="P347" t="s">
        <v>3503</v>
      </c>
      <c r="Q347" t="s">
        <v>3737</v>
      </c>
      <c r="R347" t="s">
        <v>3993</v>
      </c>
      <c r="S347" t="s">
        <v>4003</v>
      </c>
      <c r="T347" t="s">
        <v>3990</v>
      </c>
      <c r="U347" t="s">
        <v>16</v>
      </c>
      <c r="V347" t="s">
        <v>3741</v>
      </c>
      <c r="W347" t="s">
        <v>3991</v>
      </c>
    </row>
    <row r="348" spans="1:23">
      <c r="A348">
        <v>468</v>
      </c>
      <c r="B348" t="s">
        <v>14</v>
      </c>
      <c r="C348" t="s">
        <v>15</v>
      </c>
      <c r="D348" t="s">
        <v>9</v>
      </c>
      <c r="E348">
        <v>45938</v>
      </c>
      <c r="F348">
        <v>0.5625</v>
      </c>
      <c r="G348" t="s">
        <v>4004</v>
      </c>
      <c r="H348" t="s">
        <v>4005</v>
      </c>
      <c r="I348" t="s">
        <v>11</v>
      </c>
      <c r="J348" t="s">
        <v>36</v>
      </c>
      <c r="K348" t="s">
        <v>25</v>
      </c>
      <c r="N348" t="s">
        <v>25</v>
      </c>
      <c r="O348">
        <v>1</v>
      </c>
      <c r="P348" t="s">
        <v>3503</v>
      </c>
      <c r="Q348" t="s">
        <v>3737</v>
      </c>
      <c r="R348" t="s">
        <v>4006</v>
      </c>
      <c r="S348" t="s">
        <v>4007</v>
      </c>
      <c r="T348" t="s">
        <v>3990</v>
      </c>
      <c r="U348" t="s">
        <v>16</v>
      </c>
      <c r="V348" t="s">
        <v>3741</v>
      </c>
      <c r="W348" t="s">
        <v>4008</v>
      </c>
    </row>
    <row r="349" spans="1:23">
      <c r="A349">
        <v>469</v>
      </c>
      <c r="B349" t="s">
        <v>14</v>
      </c>
      <c r="C349" t="s">
        <v>15</v>
      </c>
      <c r="D349" t="s">
        <v>9</v>
      </c>
      <c r="E349">
        <v>45939</v>
      </c>
      <c r="F349">
        <v>0.65972222222222199</v>
      </c>
      <c r="G349" t="s">
        <v>999</v>
      </c>
      <c r="H349" t="s">
        <v>1000</v>
      </c>
      <c r="I349" t="s">
        <v>11</v>
      </c>
      <c r="J349" t="s">
        <v>36</v>
      </c>
      <c r="K349" t="s">
        <v>25</v>
      </c>
      <c r="N349" t="s">
        <v>25</v>
      </c>
      <c r="O349">
        <v>1</v>
      </c>
      <c r="P349" t="s">
        <v>3503</v>
      </c>
      <c r="Q349" t="s">
        <v>3737</v>
      </c>
      <c r="R349" t="s">
        <v>4009</v>
      </c>
      <c r="S349" t="s">
        <v>4010</v>
      </c>
      <c r="T349" t="s">
        <v>4011</v>
      </c>
      <c r="U349" t="s">
        <v>16</v>
      </c>
      <c r="V349" t="s">
        <v>3741</v>
      </c>
      <c r="W349" t="s">
        <v>4012</v>
      </c>
    </row>
    <row r="350" spans="1:23">
      <c r="A350">
        <v>470</v>
      </c>
      <c r="B350" t="s">
        <v>32</v>
      </c>
      <c r="C350" t="s">
        <v>33</v>
      </c>
      <c r="D350" t="s">
        <v>9</v>
      </c>
      <c r="E350">
        <v>45944</v>
      </c>
      <c r="F350">
        <v>0.75</v>
      </c>
      <c r="G350" t="s">
        <v>2653</v>
      </c>
      <c r="H350" t="s">
        <v>2654</v>
      </c>
      <c r="I350" t="s">
        <v>11</v>
      </c>
      <c r="J350" t="s">
        <v>36</v>
      </c>
      <c r="K350" t="s">
        <v>25</v>
      </c>
      <c r="N350" t="s">
        <v>25</v>
      </c>
      <c r="O350">
        <v>1</v>
      </c>
      <c r="P350" t="s">
        <v>3503</v>
      </c>
      <c r="Q350" t="s">
        <v>3737</v>
      </c>
      <c r="R350" t="s">
        <v>4013</v>
      </c>
      <c r="S350" t="s">
        <v>4014</v>
      </c>
      <c r="T350" t="s">
        <v>4015</v>
      </c>
      <c r="U350" t="s">
        <v>34</v>
      </c>
      <c r="V350" t="s">
        <v>3741</v>
      </c>
      <c r="W350" t="s">
        <v>4016</v>
      </c>
    </row>
    <row r="351" spans="1:23">
      <c r="A351">
        <v>471</v>
      </c>
      <c r="B351" t="s">
        <v>32</v>
      </c>
      <c r="C351" t="s">
        <v>33</v>
      </c>
      <c r="D351" t="s">
        <v>9</v>
      </c>
      <c r="E351">
        <v>45946</v>
      </c>
      <c r="F351">
        <v>0.33333333333333298</v>
      </c>
      <c r="G351" t="s">
        <v>3295</v>
      </c>
      <c r="H351" t="s">
        <v>3296</v>
      </c>
      <c r="I351" t="s">
        <v>17</v>
      </c>
      <c r="J351" t="s">
        <v>12</v>
      </c>
      <c r="K351" t="s">
        <v>49</v>
      </c>
      <c r="N351" t="s">
        <v>49</v>
      </c>
      <c r="O351">
        <v>1</v>
      </c>
      <c r="P351" t="s">
        <v>3503</v>
      </c>
      <c r="Q351" t="s">
        <v>3737</v>
      </c>
      <c r="R351" t="s">
        <v>4017</v>
      </c>
      <c r="S351" t="s">
        <v>4018</v>
      </c>
      <c r="T351" t="s">
        <v>4019</v>
      </c>
      <c r="U351" t="s">
        <v>34</v>
      </c>
      <c r="V351" t="s">
        <v>3741</v>
      </c>
      <c r="W351" t="s">
        <v>4020</v>
      </c>
    </row>
    <row r="352" spans="1:23">
      <c r="A352">
        <v>472</v>
      </c>
      <c r="B352" t="s">
        <v>32</v>
      </c>
      <c r="C352" t="s">
        <v>33</v>
      </c>
      <c r="D352" t="s">
        <v>9</v>
      </c>
      <c r="E352">
        <v>45946</v>
      </c>
      <c r="F352">
        <v>0.33333333333333298</v>
      </c>
      <c r="G352" t="s">
        <v>3125</v>
      </c>
      <c r="H352" t="s">
        <v>3126</v>
      </c>
      <c r="I352" t="s">
        <v>17</v>
      </c>
      <c r="J352" t="s">
        <v>12</v>
      </c>
      <c r="K352" t="s">
        <v>49</v>
      </c>
      <c r="N352" t="s">
        <v>49</v>
      </c>
      <c r="O352">
        <v>1</v>
      </c>
      <c r="P352" t="s">
        <v>3503</v>
      </c>
      <c r="Q352" t="s">
        <v>3737</v>
      </c>
      <c r="R352" t="s">
        <v>4017</v>
      </c>
      <c r="S352" t="s">
        <v>4021</v>
      </c>
      <c r="T352" t="s">
        <v>4019</v>
      </c>
      <c r="U352" t="s">
        <v>34</v>
      </c>
      <c r="V352" t="s">
        <v>3741</v>
      </c>
      <c r="W352" t="s">
        <v>4022</v>
      </c>
    </row>
    <row r="353" spans="1:23">
      <c r="A353">
        <v>473</v>
      </c>
      <c r="B353" t="s">
        <v>32</v>
      </c>
      <c r="C353" t="s">
        <v>33</v>
      </c>
      <c r="D353" t="s">
        <v>9</v>
      </c>
      <c r="E353">
        <v>45946</v>
      </c>
      <c r="F353">
        <v>0.33333333333333298</v>
      </c>
      <c r="G353" t="s">
        <v>917</v>
      </c>
      <c r="H353" t="s">
        <v>918</v>
      </c>
      <c r="I353" t="s">
        <v>17</v>
      </c>
      <c r="J353" t="s">
        <v>12</v>
      </c>
      <c r="K353" t="s">
        <v>49</v>
      </c>
      <c r="N353" t="s">
        <v>49</v>
      </c>
      <c r="O353">
        <v>1</v>
      </c>
      <c r="P353" t="s">
        <v>3503</v>
      </c>
      <c r="Q353" t="s">
        <v>3737</v>
      </c>
      <c r="R353" t="s">
        <v>4017</v>
      </c>
      <c r="S353" t="s">
        <v>4023</v>
      </c>
      <c r="T353" t="s">
        <v>4019</v>
      </c>
      <c r="U353" t="s">
        <v>34</v>
      </c>
      <c r="V353" t="s">
        <v>3741</v>
      </c>
      <c r="W353" t="s">
        <v>4024</v>
      </c>
    </row>
    <row r="354" spans="1:23">
      <c r="A354">
        <v>474</v>
      </c>
      <c r="B354" t="s">
        <v>32</v>
      </c>
      <c r="C354" t="s">
        <v>33</v>
      </c>
      <c r="D354" t="s">
        <v>9</v>
      </c>
      <c r="E354">
        <v>45946</v>
      </c>
      <c r="F354">
        <v>0.33333333333333298</v>
      </c>
      <c r="G354" t="s">
        <v>1423</v>
      </c>
      <c r="H354" t="s">
        <v>1424</v>
      </c>
      <c r="I354" t="s">
        <v>11</v>
      </c>
      <c r="J354" t="s">
        <v>12</v>
      </c>
      <c r="K354" t="s">
        <v>13</v>
      </c>
      <c r="L354" t="s">
        <v>25</v>
      </c>
      <c r="N354" t="s">
        <v>3579</v>
      </c>
      <c r="O354">
        <v>1</v>
      </c>
      <c r="P354" t="s">
        <v>3503</v>
      </c>
      <c r="Q354" t="s">
        <v>3737</v>
      </c>
      <c r="R354" t="s">
        <v>4017</v>
      </c>
      <c r="S354" t="s">
        <v>4025</v>
      </c>
      <c r="T354" t="s">
        <v>4019</v>
      </c>
      <c r="U354" t="s">
        <v>34</v>
      </c>
      <c r="V354" t="s">
        <v>3741</v>
      </c>
      <c r="W354" t="s">
        <v>4026</v>
      </c>
    </row>
    <row r="355" spans="1:23">
      <c r="A355">
        <v>475</v>
      </c>
      <c r="B355" t="s">
        <v>32</v>
      </c>
      <c r="C355" t="s">
        <v>33</v>
      </c>
      <c r="D355" t="s">
        <v>9</v>
      </c>
      <c r="E355">
        <v>45946</v>
      </c>
      <c r="F355">
        <v>0.5</v>
      </c>
      <c r="G355" t="s">
        <v>1423</v>
      </c>
      <c r="H355" t="s">
        <v>1424</v>
      </c>
      <c r="I355" t="s">
        <v>23</v>
      </c>
      <c r="J355" t="s">
        <v>12</v>
      </c>
      <c r="K355" t="s">
        <v>41</v>
      </c>
      <c r="N355" t="s">
        <v>41</v>
      </c>
      <c r="O355">
        <v>1</v>
      </c>
      <c r="P355" t="s">
        <v>3503</v>
      </c>
      <c r="Q355" t="s">
        <v>3737</v>
      </c>
      <c r="R355" t="s">
        <v>4027</v>
      </c>
      <c r="S355" t="s">
        <v>4028</v>
      </c>
      <c r="T355" t="s">
        <v>4019</v>
      </c>
      <c r="U355" t="s">
        <v>34</v>
      </c>
      <c r="V355" t="s">
        <v>3741</v>
      </c>
      <c r="W355" t="s">
        <v>4029</v>
      </c>
    </row>
    <row r="356" spans="1:23">
      <c r="A356">
        <v>476</v>
      </c>
      <c r="B356" t="s">
        <v>32</v>
      </c>
      <c r="C356" t="s">
        <v>33</v>
      </c>
      <c r="D356" t="s">
        <v>9</v>
      </c>
      <c r="E356">
        <v>45946</v>
      </c>
      <c r="F356">
        <v>0.625</v>
      </c>
      <c r="G356" t="s">
        <v>4030</v>
      </c>
      <c r="H356" t="s">
        <v>4031</v>
      </c>
      <c r="I356" t="s">
        <v>11</v>
      </c>
      <c r="J356" t="s">
        <v>12</v>
      </c>
      <c r="K356" t="s">
        <v>13</v>
      </c>
      <c r="L356" t="s">
        <v>37</v>
      </c>
      <c r="M356" t="s">
        <v>25</v>
      </c>
      <c r="N356" t="s">
        <v>3644</v>
      </c>
      <c r="O356">
        <v>1</v>
      </c>
      <c r="P356" t="s">
        <v>3503</v>
      </c>
      <c r="Q356" t="s">
        <v>3737</v>
      </c>
      <c r="R356" t="s">
        <v>4032</v>
      </c>
      <c r="S356" t="s">
        <v>4033</v>
      </c>
      <c r="T356" t="s">
        <v>4019</v>
      </c>
      <c r="U356" t="s">
        <v>34</v>
      </c>
      <c r="V356" t="s">
        <v>3741</v>
      </c>
      <c r="W356" t="s">
        <v>4034</v>
      </c>
    </row>
    <row r="357" spans="1:23">
      <c r="A357">
        <v>477</v>
      </c>
      <c r="B357" t="s">
        <v>32</v>
      </c>
      <c r="C357" t="s">
        <v>33</v>
      </c>
      <c r="D357" t="s">
        <v>9</v>
      </c>
      <c r="E357">
        <v>45946</v>
      </c>
      <c r="F357">
        <v>0.375</v>
      </c>
      <c r="G357" t="s">
        <v>4035</v>
      </c>
      <c r="H357" t="s">
        <v>4036</v>
      </c>
      <c r="I357" t="s">
        <v>17</v>
      </c>
      <c r="J357" t="s">
        <v>12</v>
      </c>
      <c r="K357" t="s">
        <v>49</v>
      </c>
      <c r="N357" t="s">
        <v>49</v>
      </c>
      <c r="O357">
        <v>1</v>
      </c>
      <c r="P357" t="s">
        <v>3503</v>
      </c>
      <c r="Q357" t="s">
        <v>3737</v>
      </c>
      <c r="R357" t="s">
        <v>4037</v>
      </c>
      <c r="S357" t="s">
        <v>4038</v>
      </c>
      <c r="T357" t="s">
        <v>4019</v>
      </c>
      <c r="U357" t="s">
        <v>34</v>
      </c>
      <c r="V357" t="s">
        <v>3741</v>
      </c>
      <c r="W357" t="s">
        <v>4039</v>
      </c>
    </row>
    <row r="358" spans="1:23">
      <c r="A358">
        <v>478</v>
      </c>
      <c r="B358" t="s">
        <v>32</v>
      </c>
      <c r="C358" t="s">
        <v>33</v>
      </c>
      <c r="D358" t="s">
        <v>9</v>
      </c>
      <c r="E358">
        <v>45946</v>
      </c>
      <c r="F358">
        <v>0.375</v>
      </c>
      <c r="G358" t="s">
        <v>4030</v>
      </c>
      <c r="H358" t="s">
        <v>4040</v>
      </c>
      <c r="I358" t="s">
        <v>23</v>
      </c>
      <c r="J358" t="s">
        <v>12</v>
      </c>
      <c r="K358" t="s">
        <v>41</v>
      </c>
      <c r="N358" t="s">
        <v>41</v>
      </c>
      <c r="O358">
        <v>1</v>
      </c>
      <c r="P358" t="s">
        <v>3503</v>
      </c>
      <c r="Q358" t="s">
        <v>3737</v>
      </c>
      <c r="R358" t="s">
        <v>4037</v>
      </c>
      <c r="S358" t="s">
        <v>4041</v>
      </c>
      <c r="T358" t="s">
        <v>4019</v>
      </c>
      <c r="U358" t="s">
        <v>34</v>
      </c>
      <c r="V358" t="s">
        <v>3741</v>
      </c>
      <c r="W358" t="s">
        <v>4042</v>
      </c>
    </row>
    <row r="359" spans="1:23">
      <c r="A359">
        <v>479</v>
      </c>
      <c r="B359" t="s">
        <v>32</v>
      </c>
      <c r="C359" t="s">
        <v>33</v>
      </c>
      <c r="D359" t="s">
        <v>9</v>
      </c>
      <c r="E359">
        <v>45946</v>
      </c>
      <c r="F359">
        <v>0.375</v>
      </c>
      <c r="G359" t="s">
        <v>4043</v>
      </c>
      <c r="H359" t="s">
        <v>4044</v>
      </c>
      <c r="I359" t="s">
        <v>11</v>
      </c>
      <c r="J359" t="s">
        <v>12</v>
      </c>
      <c r="K359" t="s">
        <v>13</v>
      </c>
      <c r="L359" t="s">
        <v>37</v>
      </c>
      <c r="M359" t="s">
        <v>25</v>
      </c>
      <c r="N359" t="s">
        <v>3644</v>
      </c>
      <c r="O359">
        <v>1</v>
      </c>
      <c r="P359" t="s">
        <v>3503</v>
      </c>
      <c r="Q359" t="s">
        <v>3737</v>
      </c>
      <c r="R359" t="s">
        <v>4037</v>
      </c>
      <c r="S359" t="s">
        <v>4045</v>
      </c>
      <c r="T359" t="s">
        <v>4019</v>
      </c>
      <c r="U359" t="s">
        <v>34</v>
      </c>
      <c r="V359" t="s">
        <v>3741</v>
      </c>
      <c r="W359" t="s">
        <v>4046</v>
      </c>
    </row>
    <row r="360" spans="1:23">
      <c r="A360">
        <v>480</v>
      </c>
      <c r="B360" t="s">
        <v>32</v>
      </c>
      <c r="C360" t="s">
        <v>33</v>
      </c>
      <c r="D360" t="s">
        <v>9</v>
      </c>
      <c r="E360">
        <v>45946</v>
      </c>
      <c r="F360">
        <v>0.375</v>
      </c>
      <c r="G360" t="s">
        <v>4043</v>
      </c>
      <c r="H360" t="s">
        <v>4044</v>
      </c>
      <c r="I360" t="s">
        <v>23</v>
      </c>
      <c r="J360" t="s">
        <v>12</v>
      </c>
      <c r="K360" t="s">
        <v>41</v>
      </c>
      <c r="N360" t="s">
        <v>41</v>
      </c>
      <c r="O360">
        <v>1</v>
      </c>
      <c r="P360" t="s">
        <v>3503</v>
      </c>
      <c r="Q360" t="s">
        <v>3737</v>
      </c>
      <c r="R360" t="s">
        <v>4037</v>
      </c>
      <c r="S360" t="s">
        <v>4047</v>
      </c>
      <c r="T360" t="s">
        <v>4019</v>
      </c>
      <c r="U360" t="s">
        <v>34</v>
      </c>
      <c r="V360" t="s">
        <v>3741</v>
      </c>
      <c r="W360" t="s">
        <v>4048</v>
      </c>
    </row>
    <row r="361" spans="1:23">
      <c r="A361">
        <v>481</v>
      </c>
      <c r="B361" t="s">
        <v>32</v>
      </c>
      <c r="C361" t="s">
        <v>33</v>
      </c>
      <c r="D361" t="s">
        <v>9</v>
      </c>
      <c r="E361">
        <v>45946</v>
      </c>
      <c r="F361">
        <v>0.41666666666666702</v>
      </c>
      <c r="G361" t="s">
        <v>723</v>
      </c>
      <c r="H361" t="s">
        <v>724</v>
      </c>
      <c r="I361" t="s">
        <v>11</v>
      </c>
      <c r="J361" t="s">
        <v>30</v>
      </c>
      <c r="K361" t="s">
        <v>37</v>
      </c>
      <c r="L361" t="s">
        <v>25</v>
      </c>
      <c r="N361" t="s">
        <v>3526</v>
      </c>
      <c r="O361">
        <v>1</v>
      </c>
      <c r="P361" t="s">
        <v>3503</v>
      </c>
      <c r="Q361" t="s">
        <v>3737</v>
      </c>
      <c r="R361" t="s">
        <v>4049</v>
      </c>
      <c r="S361" t="s">
        <v>4050</v>
      </c>
      <c r="T361" t="s">
        <v>4019</v>
      </c>
      <c r="U361" t="s">
        <v>34</v>
      </c>
      <c r="V361" t="s">
        <v>3741</v>
      </c>
      <c r="W361" t="s">
        <v>4051</v>
      </c>
    </row>
    <row r="362" spans="1:23">
      <c r="A362">
        <v>482</v>
      </c>
      <c r="B362" t="s">
        <v>32</v>
      </c>
      <c r="C362" t="s">
        <v>33</v>
      </c>
      <c r="D362" t="s">
        <v>9</v>
      </c>
      <c r="E362">
        <v>45946</v>
      </c>
      <c r="F362">
        <v>0.5</v>
      </c>
      <c r="G362" t="s">
        <v>3178</v>
      </c>
      <c r="H362" t="s">
        <v>4052</v>
      </c>
      <c r="I362" t="s">
        <v>11</v>
      </c>
      <c r="J362" t="s">
        <v>36</v>
      </c>
      <c r="K362" t="s">
        <v>25</v>
      </c>
      <c r="N362" t="s">
        <v>25</v>
      </c>
      <c r="O362">
        <v>1</v>
      </c>
      <c r="P362" t="s">
        <v>3503</v>
      </c>
      <c r="Q362" t="s">
        <v>3737</v>
      </c>
      <c r="R362" t="s">
        <v>4027</v>
      </c>
      <c r="S362" t="s">
        <v>4053</v>
      </c>
      <c r="T362" t="s">
        <v>4019</v>
      </c>
      <c r="U362" t="s">
        <v>34</v>
      </c>
      <c r="V362" t="s">
        <v>3741</v>
      </c>
      <c r="W362" t="s">
        <v>4054</v>
      </c>
    </row>
    <row r="363" spans="1:23">
      <c r="A363">
        <v>483</v>
      </c>
      <c r="B363" t="s">
        <v>32</v>
      </c>
      <c r="C363" t="s">
        <v>33</v>
      </c>
      <c r="D363" t="s">
        <v>9</v>
      </c>
      <c r="E363">
        <v>45946</v>
      </c>
      <c r="F363">
        <v>0.41666666666666702</v>
      </c>
      <c r="G363" t="s">
        <v>4055</v>
      </c>
      <c r="H363" t="s">
        <v>4056</v>
      </c>
      <c r="I363" t="s">
        <v>11</v>
      </c>
      <c r="J363" t="s">
        <v>12</v>
      </c>
      <c r="K363" t="s">
        <v>13</v>
      </c>
      <c r="L363" t="s">
        <v>25</v>
      </c>
      <c r="N363" t="s">
        <v>3579</v>
      </c>
      <c r="O363">
        <v>1</v>
      </c>
      <c r="P363" t="s">
        <v>3503</v>
      </c>
      <c r="Q363" t="s">
        <v>3737</v>
      </c>
      <c r="R363" t="s">
        <v>4049</v>
      </c>
      <c r="S363" t="s">
        <v>4057</v>
      </c>
      <c r="T363" t="s">
        <v>4019</v>
      </c>
      <c r="U363" t="s">
        <v>34</v>
      </c>
      <c r="V363" t="s">
        <v>3741</v>
      </c>
      <c r="W363" t="s">
        <v>4058</v>
      </c>
    </row>
    <row r="364" spans="1:23">
      <c r="A364">
        <v>484</v>
      </c>
      <c r="B364" t="s">
        <v>32</v>
      </c>
      <c r="C364" t="s">
        <v>33</v>
      </c>
      <c r="D364" t="s">
        <v>9</v>
      </c>
      <c r="E364">
        <v>45946</v>
      </c>
      <c r="F364">
        <v>0.41666666666666702</v>
      </c>
      <c r="G364" t="s">
        <v>4055</v>
      </c>
      <c r="H364" t="s">
        <v>4056</v>
      </c>
      <c r="I364" t="s">
        <v>23</v>
      </c>
      <c r="J364" t="s">
        <v>12</v>
      </c>
      <c r="K364" t="s">
        <v>41</v>
      </c>
      <c r="N364" t="s">
        <v>41</v>
      </c>
      <c r="O364">
        <v>1</v>
      </c>
      <c r="P364" t="s">
        <v>3503</v>
      </c>
      <c r="Q364" t="s">
        <v>3737</v>
      </c>
      <c r="R364" t="s">
        <v>4049</v>
      </c>
      <c r="S364" t="s">
        <v>4059</v>
      </c>
      <c r="T364" t="s">
        <v>4019</v>
      </c>
      <c r="U364" t="s">
        <v>34</v>
      </c>
      <c r="V364" t="s">
        <v>3741</v>
      </c>
      <c r="W364" t="s">
        <v>4060</v>
      </c>
    </row>
    <row r="365" spans="1:23">
      <c r="A365">
        <v>485</v>
      </c>
      <c r="B365" t="s">
        <v>32</v>
      </c>
      <c r="C365" t="s">
        <v>33</v>
      </c>
      <c r="D365" t="s">
        <v>9</v>
      </c>
      <c r="E365">
        <v>45946</v>
      </c>
      <c r="F365">
        <v>0.41666666666666702</v>
      </c>
      <c r="G365" t="s">
        <v>635</v>
      </c>
      <c r="H365" t="s">
        <v>636</v>
      </c>
      <c r="I365" t="s">
        <v>11</v>
      </c>
      <c r="J365" t="s">
        <v>12</v>
      </c>
      <c r="K365" t="s">
        <v>13</v>
      </c>
      <c r="L365" t="s">
        <v>25</v>
      </c>
      <c r="N365" t="s">
        <v>3579</v>
      </c>
      <c r="O365">
        <v>1</v>
      </c>
      <c r="P365" t="s">
        <v>3503</v>
      </c>
      <c r="Q365" t="s">
        <v>3737</v>
      </c>
      <c r="R365" t="s">
        <v>4049</v>
      </c>
      <c r="S365" t="s">
        <v>4061</v>
      </c>
      <c r="T365" t="s">
        <v>4019</v>
      </c>
      <c r="U365" t="s">
        <v>34</v>
      </c>
      <c r="V365" t="s">
        <v>3741</v>
      </c>
      <c r="W365" t="s">
        <v>4062</v>
      </c>
    </row>
    <row r="366" spans="1:23">
      <c r="A366">
        <v>486</v>
      </c>
      <c r="B366" t="s">
        <v>32</v>
      </c>
      <c r="C366" t="s">
        <v>33</v>
      </c>
      <c r="D366" t="s">
        <v>9</v>
      </c>
      <c r="E366">
        <v>45946</v>
      </c>
      <c r="F366">
        <v>0.41666666666666702</v>
      </c>
      <c r="G366" t="s">
        <v>635</v>
      </c>
      <c r="H366" t="s">
        <v>636</v>
      </c>
      <c r="I366" t="s">
        <v>23</v>
      </c>
      <c r="J366" t="s">
        <v>12</v>
      </c>
      <c r="K366" t="s">
        <v>41</v>
      </c>
      <c r="N366" t="s">
        <v>41</v>
      </c>
      <c r="O366">
        <v>1</v>
      </c>
      <c r="P366" t="s">
        <v>3503</v>
      </c>
      <c r="Q366" t="s">
        <v>3737</v>
      </c>
      <c r="R366" t="s">
        <v>4049</v>
      </c>
      <c r="S366" t="s">
        <v>4063</v>
      </c>
      <c r="T366" t="s">
        <v>4019</v>
      </c>
      <c r="U366" t="s">
        <v>34</v>
      </c>
      <c r="V366" t="s">
        <v>3741</v>
      </c>
      <c r="W366" t="s">
        <v>4062</v>
      </c>
    </row>
    <row r="367" spans="1:23">
      <c r="A367">
        <v>487</v>
      </c>
      <c r="B367" t="s">
        <v>32</v>
      </c>
      <c r="C367" t="s">
        <v>33</v>
      </c>
      <c r="D367" t="s">
        <v>9</v>
      </c>
      <c r="E367">
        <v>45946</v>
      </c>
      <c r="F367">
        <v>0.41666666666666702</v>
      </c>
      <c r="G367" t="s">
        <v>3270</v>
      </c>
      <c r="H367" t="s">
        <v>3271</v>
      </c>
      <c r="I367" t="s">
        <v>11</v>
      </c>
      <c r="J367" t="s">
        <v>12</v>
      </c>
      <c r="K367" t="s">
        <v>13</v>
      </c>
      <c r="L367" t="s">
        <v>25</v>
      </c>
      <c r="N367" t="s">
        <v>3579</v>
      </c>
      <c r="O367">
        <v>1</v>
      </c>
      <c r="P367" t="s">
        <v>3503</v>
      </c>
      <c r="Q367" t="s">
        <v>3737</v>
      </c>
      <c r="R367" t="s">
        <v>4049</v>
      </c>
      <c r="S367" t="s">
        <v>4064</v>
      </c>
      <c r="T367" t="s">
        <v>4019</v>
      </c>
      <c r="U367" t="s">
        <v>34</v>
      </c>
      <c r="V367" t="s">
        <v>3741</v>
      </c>
      <c r="W367" t="s">
        <v>4065</v>
      </c>
    </row>
    <row r="368" spans="1:23">
      <c r="A368">
        <v>488</v>
      </c>
      <c r="B368" t="s">
        <v>32</v>
      </c>
      <c r="C368" t="s">
        <v>33</v>
      </c>
      <c r="D368" t="s">
        <v>9</v>
      </c>
      <c r="E368">
        <v>45946</v>
      </c>
      <c r="F368">
        <v>0.41666666666666702</v>
      </c>
      <c r="G368" t="s">
        <v>3270</v>
      </c>
      <c r="H368" t="s">
        <v>3271</v>
      </c>
      <c r="I368" t="s">
        <v>23</v>
      </c>
      <c r="J368" t="s">
        <v>12</v>
      </c>
      <c r="K368" t="s">
        <v>41</v>
      </c>
      <c r="N368" t="s">
        <v>41</v>
      </c>
      <c r="O368">
        <v>1</v>
      </c>
      <c r="P368" t="s">
        <v>3503</v>
      </c>
      <c r="Q368" t="s">
        <v>3737</v>
      </c>
      <c r="R368" t="s">
        <v>4049</v>
      </c>
      <c r="S368" t="s">
        <v>4066</v>
      </c>
      <c r="T368" t="s">
        <v>4019</v>
      </c>
      <c r="U368" t="s">
        <v>34</v>
      </c>
      <c r="V368" t="s">
        <v>3741</v>
      </c>
      <c r="W368" t="s">
        <v>4067</v>
      </c>
    </row>
    <row r="369" spans="1:23">
      <c r="A369">
        <v>489</v>
      </c>
      <c r="B369" t="s">
        <v>7</v>
      </c>
      <c r="C369" t="s">
        <v>8</v>
      </c>
      <c r="D369" t="s">
        <v>9</v>
      </c>
      <c r="E369">
        <v>45951</v>
      </c>
      <c r="F369">
        <v>0.5</v>
      </c>
      <c r="G369" t="s">
        <v>1376</v>
      </c>
      <c r="H369" t="s">
        <v>3271</v>
      </c>
      <c r="I369" t="s">
        <v>11</v>
      </c>
      <c r="J369" t="s">
        <v>36</v>
      </c>
      <c r="K369" t="s">
        <v>25</v>
      </c>
      <c r="N369" t="s">
        <v>25</v>
      </c>
      <c r="O369">
        <v>1</v>
      </c>
      <c r="P369" t="s">
        <v>3503</v>
      </c>
      <c r="Q369" t="s">
        <v>3737</v>
      </c>
      <c r="R369" t="s">
        <v>4068</v>
      </c>
      <c r="S369" t="s">
        <v>4069</v>
      </c>
      <c r="T369" t="s">
        <v>4070</v>
      </c>
      <c r="U369" t="s">
        <v>10</v>
      </c>
      <c r="V369" t="s">
        <v>3741</v>
      </c>
      <c r="W369" t="s">
        <v>4071</v>
      </c>
    </row>
    <row r="370" spans="1:23">
      <c r="A370">
        <v>490</v>
      </c>
      <c r="B370" t="s">
        <v>32</v>
      </c>
      <c r="C370" t="s">
        <v>33</v>
      </c>
      <c r="D370" t="s">
        <v>9</v>
      </c>
      <c r="E370">
        <v>45951</v>
      </c>
      <c r="F370">
        <v>0.625</v>
      </c>
      <c r="G370" t="s">
        <v>2514</v>
      </c>
      <c r="H370" t="s">
        <v>2515</v>
      </c>
      <c r="I370" t="s">
        <v>11</v>
      </c>
      <c r="J370" t="s">
        <v>12</v>
      </c>
      <c r="K370" t="s">
        <v>13</v>
      </c>
      <c r="L370" t="s">
        <v>25</v>
      </c>
      <c r="N370" t="s">
        <v>3579</v>
      </c>
      <c r="O370">
        <v>1</v>
      </c>
      <c r="P370" t="s">
        <v>3503</v>
      </c>
      <c r="Q370" t="s">
        <v>3737</v>
      </c>
      <c r="R370" t="s">
        <v>4072</v>
      </c>
      <c r="S370" t="s">
        <v>4073</v>
      </c>
      <c r="T370" t="s">
        <v>4070</v>
      </c>
      <c r="U370" t="s">
        <v>34</v>
      </c>
      <c r="V370" t="s">
        <v>3741</v>
      </c>
      <c r="W370" t="s">
        <v>4074</v>
      </c>
    </row>
    <row r="371" spans="1:23">
      <c r="A371">
        <v>491</v>
      </c>
      <c r="B371" t="s">
        <v>32</v>
      </c>
      <c r="C371" t="s">
        <v>33</v>
      </c>
      <c r="D371" t="s">
        <v>9</v>
      </c>
      <c r="E371">
        <v>45951</v>
      </c>
      <c r="F371">
        <v>0.625</v>
      </c>
      <c r="G371" t="s">
        <v>2514</v>
      </c>
      <c r="H371" t="s">
        <v>2515</v>
      </c>
      <c r="I371" t="s">
        <v>23</v>
      </c>
      <c r="J371" t="s">
        <v>12</v>
      </c>
      <c r="K371" t="s">
        <v>41</v>
      </c>
      <c r="N371" t="s">
        <v>41</v>
      </c>
      <c r="O371">
        <v>1</v>
      </c>
      <c r="P371" t="s">
        <v>3503</v>
      </c>
      <c r="Q371" t="s">
        <v>3737</v>
      </c>
      <c r="R371" t="s">
        <v>4072</v>
      </c>
      <c r="S371" t="s">
        <v>4075</v>
      </c>
      <c r="T371" t="s">
        <v>4070</v>
      </c>
      <c r="U371" t="s">
        <v>34</v>
      </c>
      <c r="V371" t="s">
        <v>3741</v>
      </c>
      <c r="W371" t="s">
        <v>4076</v>
      </c>
    </row>
    <row r="372" spans="1:23">
      <c r="A372">
        <v>492</v>
      </c>
      <c r="B372" t="s">
        <v>7</v>
      </c>
      <c r="C372" t="s">
        <v>8</v>
      </c>
      <c r="D372" t="s">
        <v>9</v>
      </c>
      <c r="E372">
        <v>45952</v>
      </c>
      <c r="F372">
        <v>0.625</v>
      </c>
      <c r="G372" t="s">
        <v>1962</v>
      </c>
      <c r="H372" t="s">
        <v>21</v>
      </c>
      <c r="I372" t="s">
        <v>11</v>
      </c>
      <c r="J372" t="s">
        <v>12</v>
      </c>
      <c r="K372" t="s">
        <v>13</v>
      </c>
      <c r="L372" t="s">
        <v>31</v>
      </c>
      <c r="M372" t="s">
        <v>37</v>
      </c>
      <c r="N372" t="s">
        <v>4077</v>
      </c>
      <c r="O372">
        <v>1</v>
      </c>
      <c r="P372" t="s">
        <v>3503</v>
      </c>
      <c r="Q372" t="s">
        <v>3737</v>
      </c>
      <c r="R372" t="s">
        <v>4078</v>
      </c>
      <c r="S372" t="s">
        <v>4079</v>
      </c>
      <c r="T372" t="s">
        <v>4080</v>
      </c>
      <c r="U372" t="s">
        <v>10</v>
      </c>
      <c r="V372" t="s">
        <v>3741</v>
      </c>
      <c r="W372" t="s">
        <v>4081</v>
      </c>
    </row>
    <row r="373" spans="1:23">
      <c r="A373">
        <v>493</v>
      </c>
      <c r="B373" t="s">
        <v>7</v>
      </c>
      <c r="C373" t="s">
        <v>8</v>
      </c>
      <c r="D373" t="s">
        <v>9</v>
      </c>
      <c r="E373">
        <v>45952</v>
      </c>
      <c r="F373">
        <v>0.625</v>
      </c>
      <c r="G373" t="s">
        <v>1962</v>
      </c>
      <c r="H373" t="s">
        <v>21</v>
      </c>
      <c r="I373" t="s">
        <v>11</v>
      </c>
      <c r="J373" t="s">
        <v>18</v>
      </c>
      <c r="K373" t="s">
        <v>19</v>
      </c>
      <c r="N373" t="s">
        <v>19</v>
      </c>
      <c r="O373">
        <v>1</v>
      </c>
      <c r="P373" t="s">
        <v>3503</v>
      </c>
      <c r="Q373" t="s">
        <v>3737</v>
      </c>
      <c r="R373" t="s">
        <v>4078</v>
      </c>
      <c r="S373" t="s">
        <v>4082</v>
      </c>
      <c r="T373" t="s">
        <v>4080</v>
      </c>
      <c r="U373" t="s">
        <v>10</v>
      </c>
      <c r="V373" t="s">
        <v>3741</v>
      </c>
      <c r="W373" t="s">
        <v>4081</v>
      </c>
    </row>
    <row r="374" spans="1:23">
      <c r="A374">
        <v>494</v>
      </c>
      <c r="B374" t="s">
        <v>7</v>
      </c>
      <c r="C374" t="s">
        <v>8</v>
      </c>
      <c r="D374" t="s">
        <v>9</v>
      </c>
      <c r="E374">
        <v>45952</v>
      </c>
      <c r="F374">
        <v>0.625</v>
      </c>
      <c r="G374" t="s">
        <v>1962</v>
      </c>
      <c r="H374" t="s">
        <v>21</v>
      </c>
      <c r="I374" t="s">
        <v>11</v>
      </c>
      <c r="J374" t="s">
        <v>24</v>
      </c>
      <c r="K374" t="s">
        <v>19</v>
      </c>
      <c r="N374" t="s">
        <v>19</v>
      </c>
      <c r="O374">
        <v>1</v>
      </c>
      <c r="P374" t="s">
        <v>3503</v>
      </c>
      <c r="Q374" t="s">
        <v>3737</v>
      </c>
      <c r="R374" t="s">
        <v>4078</v>
      </c>
      <c r="S374" t="s">
        <v>4083</v>
      </c>
      <c r="T374" t="s">
        <v>4080</v>
      </c>
      <c r="U374" t="s">
        <v>10</v>
      </c>
      <c r="V374" t="s">
        <v>3741</v>
      </c>
      <c r="W374" t="s">
        <v>4081</v>
      </c>
    </row>
    <row r="375" spans="1:23">
      <c r="A375">
        <v>495</v>
      </c>
      <c r="B375" t="s">
        <v>7</v>
      </c>
      <c r="C375" t="s">
        <v>8</v>
      </c>
      <c r="D375" t="s">
        <v>9</v>
      </c>
      <c r="E375">
        <v>45952</v>
      </c>
      <c r="F375">
        <v>0.41666666666666702</v>
      </c>
      <c r="G375" t="s">
        <v>1962</v>
      </c>
      <c r="H375" t="s">
        <v>21</v>
      </c>
      <c r="I375" t="s">
        <v>23</v>
      </c>
      <c r="J375" t="s">
        <v>12</v>
      </c>
      <c r="K375" t="s">
        <v>39</v>
      </c>
      <c r="L375" t="s">
        <v>41</v>
      </c>
      <c r="M375" t="s">
        <v>43</v>
      </c>
      <c r="N375" t="s">
        <v>4084</v>
      </c>
      <c r="O375">
        <v>1</v>
      </c>
      <c r="P375" t="s">
        <v>3503</v>
      </c>
      <c r="Q375" t="s">
        <v>3737</v>
      </c>
      <c r="R375" t="s">
        <v>4085</v>
      </c>
      <c r="S375" t="s">
        <v>4086</v>
      </c>
      <c r="T375" t="s">
        <v>4080</v>
      </c>
      <c r="U375" t="s">
        <v>10</v>
      </c>
      <c r="V375" t="s">
        <v>3741</v>
      </c>
      <c r="W375" t="s">
        <v>4087</v>
      </c>
    </row>
    <row r="376" spans="1:23">
      <c r="A376">
        <v>496</v>
      </c>
      <c r="B376" t="s">
        <v>7</v>
      </c>
      <c r="C376" t="s">
        <v>8</v>
      </c>
      <c r="D376" t="s">
        <v>9</v>
      </c>
      <c r="E376">
        <v>45952</v>
      </c>
      <c r="F376">
        <v>0.41666666666666702</v>
      </c>
      <c r="G376" t="s">
        <v>1962</v>
      </c>
      <c r="H376" t="s">
        <v>21</v>
      </c>
      <c r="I376" t="s">
        <v>23</v>
      </c>
      <c r="J376" t="s">
        <v>24</v>
      </c>
      <c r="K376" t="s">
        <v>44</v>
      </c>
      <c r="N376" t="s">
        <v>44</v>
      </c>
      <c r="O376">
        <v>1</v>
      </c>
      <c r="P376" t="s">
        <v>3503</v>
      </c>
      <c r="Q376" t="s">
        <v>3737</v>
      </c>
      <c r="R376" t="s">
        <v>4085</v>
      </c>
      <c r="S376" t="s">
        <v>4088</v>
      </c>
      <c r="T376" t="s">
        <v>4080</v>
      </c>
      <c r="U376" t="s">
        <v>10</v>
      </c>
      <c r="V376" t="s">
        <v>3741</v>
      </c>
      <c r="W376" t="s">
        <v>4087</v>
      </c>
    </row>
    <row r="377" spans="1:23">
      <c r="A377">
        <v>497</v>
      </c>
      <c r="B377" t="s">
        <v>7</v>
      </c>
      <c r="C377" t="s">
        <v>8</v>
      </c>
      <c r="D377" t="s">
        <v>9</v>
      </c>
      <c r="E377">
        <v>45951</v>
      </c>
      <c r="F377">
        <v>0.41666666666666702</v>
      </c>
      <c r="G377" t="s">
        <v>1962</v>
      </c>
      <c r="H377" t="s">
        <v>21</v>
      </c>
      <c r="I377" t="s">
        <v>17</v>
      </c>
      <c r="J377" t="s">
        <v>12</v>
      </c>
      <c r="K377" t="s">
        <v>49</v>
      </c>
      <c r="N377" t="s">
        <v>49</v>
      </c>
      <c r="O377">
        <v>1</v>
      </c>
      <c r="P377" t="s">
        <v>3503</v>
      </c>
      <c r="Q377" t="s">
        <v>3737</v>
      </c>
      <c r="R377" t="s">
        <v>4089</v>
      </c>
      <c r="S377" t="s">
        <v>4090</v>
      </c>
      <c r="T377" t="s">
        <v>4070</v>
      </c>
      <c r="U377" t="s">
        <v>10</v>
      </c>
      <c r="V377" t="s">
        <v>3741</v>
      </c>
      <c r="W377" t="s">
        <v>4091</v>
      </c>
    </row>
    <row r="378" spans="1:23">
      <c r="A378">
        <v>498</v>
      </c>
      <c r="B378" t="s">
        <v>7</v>
      </c>
      <c r="C378" t="s">
        <v>8</v>
      </c>
      <c r="D378" t="s">
        <v>9</v>
      </c>
      <c r="E378">
        <v>45951</v>
      </c>
      <c r="F378">
        <v>0.41666666666666702</v>
      </c>
      <c r="G378" t="s">
        <v>1962</v>
      </c>
      <c r="H378" t="s">
        <v>21</v>
      </c>
      <c r="I378" t="s">
        <v>29</v>
      </c>
      <c r="J378" t="s">
        <v>18</v>
      </c>
      <c r="K378" t="s">
        <v>46</v>
      </c>
      <c r="N378" t="s">
        <v>46</v>
      </c>
      <c r="O378">
        <v>1</v>
      </c>
      <c r="P378" t="s">
        <v>3503</v>
      </c>
      <c r="Q378" t="s">
        <v>3737</v>
      </c>
      <c r="R378" t="s">
        <v>4089</v>
      </c>
      <c r="S378" t="s">
        <v>4092</v>
      </c>
      <c r="T378" t="s">
        <v>4070</v>
      </c>
      <c r="U378" t="s">
        <v>10</v>
      </c>
      <c r="V378" t="s">
        <v>3741</v>
      </c>
      <c r="W378" t="s">
        <v>4093</v>
      </c>
    </row>
    <row r="379" spans="1:23">
      <c r="A379">
        <v>499</v>
      </c>
      <c r="B379" t="s">
        <v>7</v>
      </c>
      <c r="C379" t="s">
        <v>8</v>
      </c>
      <c r="D379" t="s">
        <v>9</v>
      </c>
      <c r="E379">
        <v>45951</v>
      </c>
      <c r="F379">
        <v>0.41666666666666702</v>
      </c>
      <c r="G379" t="s">
        <v>1962</v>
      </c>
      <c r="H379" t="s">
        <v>21</v>
      </c>
      <c r="I379" t="s">
        <v>29</v>
      </c>
      <c r="J379" t="s">
        <v>24</v>
      </c>
      <c r="K379" t="s">
        <v>47</v>
      </c>
      <c r="N379" t="s">
        <v>47</v>
      </c>
      <c r="O379">
        <v>1</v>
      </c>
      <c r="P379" t="s">
        <v>3503</v>
      </c>
      <c r="Q379" t="s">
        <v>3737</v>
      </c>
      <c r="R379" t="s">
        <v>4089</v>
      </c>
      <c r="S379" t="s">
        <v>4094</v>
      </c>
      <c r="T379" t="s">
        <v>4070</v>
      </c>
      <c r="U379" t="s">
        <v>10</v>
      </c>
      <c r="V379" t="s">
        <v>3741</v>
      </c>
      <c r="W379" t="s">
        <v>4093</v>
      </c>
    </row>
    <row r="380" spans="1:23">
      <c r="A380">
        <v>500</v>
      </c>
      <c r="B380" t="s">
        <v>7</v>
      </c>
      <c r="C380" t="s">
        <v>8</v>
      </c>
      <c r="D380" t="s">
        <v>9</v>
      </c>
      <c r="E380">
        <v>45952</v>
      </c>
      <c r="F380">
        <v>0.70138888888888895</v>
      </c>
      <c r="G380" t="s">
        <v>4095</v>
      </c>
      <c r="H380" t="s">
        <v>4096</v>
      </c>
      <c r="I380" t="s">
        <v>17</v>
      </c>
      <c r="J380" t="s">
        <v>12</v>
      </c>
      <c r="K380" t="s">
        <v>49</v>
      </c>
      <c r="N380" t="s">
        <v>49</v>
      </c>
      <c r="O380">
        <v>1</v>
      </c>
      <c r="P380" t="s">
        <v>3503</v>
      </c>
      <c r="Q380" t="s">
        <v>3737</v>
      </c>
      <c r="R380" t="s">
        <v>4097</v>
      </c>
      <c r="S380" t="s">
        <v>4098</v>
      </c>
      <c r="T380" t="s">
        <v>4080</v>
      </c>
      <c r="U380" t="s">
        <v>10</v>
      </c>
      <c r="V380" t="s">
        <v>3741</v>
      </c>
      <c r="W380" t="s">
        <v>4099</v>
      </c>
    </row>
    <row r="381" spans="1:23">
      <c r="A381">
        <v>501</v>
      </c>
      <c r="B381" t="s">
        <v>7</v>
      </c>
      <c r="C381" t="s">
        <v>8</v>
      </c>
      <c r="D381" t="s">
        <v>9</v>
      </c>
      <c r="E381">
        <v>45950</v>
      </c>
      <c r="F381">
        <v>0.625</v>
      </c>
      <c r="G381" t="s">
        <v>1376</v>
      </c>
      <c r="H381" t="s">
        <v>1377</v>
      </c>
      <c r="I381" t="s">
        <v>11</v>
      </c>
      <c r="J381" t="s">
        <v>36</v>
      </c>
      <c r="K381" t="s">
        <v>25</v>
      </c>
      <c r="N381" t="s">
        <v>25</v>
      </c>
      <c r="O381">
        <v>1</v>
      </c>
      <c r="P381" t="s">
        <v>3503</v>
      </c>
      <c r="Q381" t="s">
        <v>3737</v>
      </c>
      <c r="R381" t="s">
        <v>4100</v>
      </c>
      <c r="S381" t="s">
        <v>4101</v>
      </c>
      <c r="T381" t="s">
        <v>4102</v>
      </c>
      <c r="U381" t="s">
        <v>10</v>
      </c>
      <c r="V381" t="s">
        <v>3741</v>
      </c>
      <c r="W381" t="s">
        <v>4099</v>
      </c>
    </row>
    <row r="382" spans="1:23">
      <c r="A382">
        <v>502</v>
      </c>
      <c r="B382" t="s">
        <v>7</v>
      </c>
      <c r="C382" t="s">
        <v>8</v>
      </c>
      <c r="D382" t="s">
        <v>9</v>
      </c>
      <c r="E382">
        <v>45950</v>
      </c>
      <c r="F382">
        <v>0.77083333333333304</v>
      </c>
      <c r="G382" t="s">
        <v>4095</v>
      </c>
      <c r="H382" t="s">
        <v>4096</v>
      </c>
      <c r="I382" t="s">
        <v>11</v>
      </c>
      <c r="J382" t="s">
        <v>12</v>
      </c>
      <c r="K382" t="s">
        <v>13</v>
      </c>
      <c r="L382" t="s">
        <v>37</v>
      </c>
      <c r="M382" t="s">
        <v>25</v>
      </c>
      <c r="N382" t="s">
        <v>3644</v>
      </c>
      <c r="O382">
        <v>1</v>
      </c>
      <c r="P382" t="s">
        <v>3503</v>
      </c>
      <c r="Q382" t="s">
        <v>3737</v>
      </c>
      <c r="R382" t="s">
        <v>4103</v>
      </c>
      <c r="S382" t="s">
        <v>4104</v>
      </c>
      <c r="T382" t="s">
        <v>4102</v>
      </c>
      <c r="U382" t="s">
        <v>10</v>
      </c>
      <c r="V382" t="s">
        <v>3741</v>
      </c>
      <c r="W382" t="s">
        <v>4105</v>
      </c>
    </row>
    <row r="383" spans="1:23">
      <c r="A383">
        <v>503</v>
      </c>
      <c r="B383" t="s">
        <v>7</v>
      </c>
      <c r="C383" t="s">
        <v>8</v>
      </c>
      <c r="D383" t="s">
        <v>9</v>
      </c>
      <c r="E383">
        <v>45957</v>
      </c>
      <c r="F383">
        <v>0.45833333333333298</v>
      </c>
      <c r="G383" t="s">
        <v>2559</v>
      </c>
      <c r="H383" t="s">
        <v>2560</v>
      </c>
      <c r="I383" t="s">
        <v>11</v>
      </c>
      <c r="J383" t="s">
        <v>36</v>
      </c>
      <c r="K383" t="s">
        <v>25</v>
      </c>
      <c r="N383" t="s">
        <v>25</v>
      </c>
      <c r="O383">
        <v>1</v>
      </c>
      <c r="P383" t="s">
        <v>3503</v>
      </c>
      <c r="Q383" t="s">
        <v>3737</v>
      </c>
      <c r="R383" t="s">
        <v>4106</v>
      </c>
      <c r="S383" t="s">
        <v>4107</v>
      </c>
      <c r="T383" t="s">
        <v>4108</v>
      </c>
      <c r="U383" t="s">
        <v>10</v>
      </c>
      <c r="V383" t="s">
        <v>3741</v>
      </c>
      <c r="W383" t="s">
        <v>4109</v>
      </c>
    </row>
    <row r="384" spans="1:23">
      <c r="A384">
        <v>506</v>
      </c>
      <c r="B384" t="s">
        <v>14</v>
      </c>
      <c r="C384" t="s">
        <v>15</v>
      </c>
      <c r="D384" t="s">
        <v>9</v>
      </c>
      <c r="E384">
        <v>45926</v>
      </c>
      <c r="F384">
        <v>0.62847222222222199</v>
      </c>
      <c r="G384" t="s">
        <v>2946</v>
      </c>
      <c r="H384" t="s">
        <v>2947</v>
      </c>
      <c r="I384" t="s">
        <v>23</v>
      </c>
      <c r="J384" t="s">
        <v>24</v>
      </c>
      <c r="K384" t="s">
        <v>44</v>
      </c>
      <c r="L384" t="s">
        <v>45</v>
      </c>
      <c r="M384" t="s">
        <v>41</v>
      </c>
      <c r="N384" t="s">
        <v>3647</v>
      </c>
      <c r="O384">
        <v>1</v>
      </c>
      <c r="P384" t="s">
        <v>3503</v>
      </c>
      <c r="Q384" t="s">
        <v>3737</v>
      </c>
      <c r="R384" t="s">
        <v>4110</v>
      </c>
      <c r="S384" t="s">
        <v>4111</v>
      </c>
      <c r="T384" t="s">
        <v>3975</v>
      </c>
      <c r="U384" t="s">
        <v>16</v>
      </c>
      <c r="V384" t="s">
        <v>3741</v>
      </c>
      <c r="W384" t="s">
        <v>4112</v>
      </c>
    </row>
    <row r="385" spans="1:23">
      <c r="A385">
        <v>507</v>
      </c>
      <c r="B385" t="s">
        <v>14</v>
      </c>
      <c r="C385" t="s">
        <v>15</v>
      </c>
      <c r="D385" t="s">
        <v>9</v>
      </c>
      <c r="E385">
        <v>45926</v>
      </c>
      <c r="F385">
        <v>0.62916666666666698</v>
      </c>
      <c r="G385" t="s">
        <v>2946</v>
      </c>
      <c r="H385" t="s">
        <v>2947</v>
      </c>
      <c r="I385" t="s">
        <v>29</v>
      </c>
      <c r="J385" t="s">
        <v>24</v>
      </c>
      <c r="K385" t="s">
        <v>46</v>
      </c>
      <c r="L385" t="s">
        <v>47</v>
      </c>
      <c r="N385" t="s">
        <v>3521</v>
      </c>
      <c r="O385">
        <v>1</v>
      </c>
      <c r="P385" t="s">
        <v>3503</v>
      </c>
      <c r="Q385" t="s">
        <v>3737</v>
      </c>
      <c r="R385" t="s">
        <v>4113</v>
      </c>
      <c r="S385" t="s">
        <v>4114</v>
      </c>
      <c r="T385" t="s">
        <v>3975</v>
      </c>
      <c r="U385" t="s">
        <v>16</v>
      </c>
      <c r="V385" t="s">
        <v>3741</v>
      </c>
      <c r="W385" t="s">
        <v>4115</v>
      </c>
    </row>
    <row r="386" spans="1:23">
      <c r="A386">
        <v>508</v>
      </c>
      <c r="B386" t="s">
        <v>14</v>
      </c>
      <c r="C386" t="s">
        <v>15</v>
      </c>
      <c r="D386" t="s">
        <v>9</v>
      </c>
      <c r="E386">
        <v>45926</v>
      </c>
      <c r="F386">
        <v>0.66666666666666696</v>
      </c>
      <c r="G386" t="s">
        <v>838</v>
      </c>
      <c r="H386" t="s">
        <v>839</v>
      </c>
      <c r="I386" t="s">
        <v>11</v>
      </c>
      <c r="J386" t="s">
        <v>24</v>
      </c>
      <c r="K386" t="s">
        <v>19</v>
      </c>
      <c r="L386" t="s">
        <v>13</v>
      </c>
      <c r="N386" t="s">
        <v>3548</v>
      </c>
      <c r="O386">
        <v>1</v>
      </c>
      <c r="P386" t="s">
        <v>3503</v>
      </c>
      <c r="Q386" t="s">
        <v>3737</v>
      </c>
      <c r="R386" t="s">
        <v>4116</v>
      </c>
      <c r="S386" t="s">
        <v>4117</v>
      </c>
      <c r="T386" t="s">
        <v>3975</v>
      </c>
      <c r="U386" t="s">
        <v>16</v>
      </c>
      <c r="V386" t="s">
        <v>3741</v>
      </c>
      <c r="W386" t="s">
        <v>4118</v>
      </c>
    </row>
    <row r="387" spans="1:23">
      <c r="A387">
        <v>509</v>
      </c>
      <c r="B387" t="s">
        <v>14</v>
      </c>
      <c r="C387" t="s">
        <v>15</v>
      </c>
      <c r="D387" t="s">
        <v>9</v>
      </c>
      <c r="E387">
        <v>45926</v>
      </c>
      <c r="F387">
        <v>0.66736111111111096</v>
      </c>
      <c r="G387" t="s">
        <v>838</v>
      </c>
      <c r="H387" t="s">
        <v>839</v>
      </c>
      <c r="I387" t="s">
        <v>23</v>
      </c>
      <c r="J387" t="s">
        <v>24</v>
      </c>
      <c r="K387" t="s">
        <v>44</v>
      </c>
      <c r="L387" t="s">
        <v>45</v>
      </c>
      <c r="M387" t="s">
        <v>41</v>
      </c>
      <c r="N387" t="s">
        <v>3647</v>
      </c>
      <c r="O387">
        <v>1</v>
      </c>
      <c r="P387" t="s">
        <v>3503</v>
      </c>
      <c r="Q387" t="s">
        <v>3737</v>
      </c>
      <c r="R387" t="s">
        <v>4119</v>
      </c>
      <c r="S387" t="s">
        <v>4120</v>
      </c>
      <c r="T387" t="s">
        <v>3975</v>
      </c>
      <c r="U387" t="s">
        <v>16</v>
      </c>
      <c r="V387" t="s">
        <v>3741</v>
      </c>
      <c r="W387" t="s">
        <v>4118</v>
      </c>
    </row>
    <row r="388" spans="1:23">
      <c r="A388">
        <v>510</v>
      </c>
      <c r="B388" t="s">
        <v>14</v>
      </c>
      <c r="C388" t="s">
        <v>15</v>
      </c>
      <c r="D388" t="s">
        <v>9</v>
      </c>
      <c r="E388">
        <v>45926</v>
      </c>
      <c r="F388">
        <v>0.67152777777777795</v>
      </c>
      <c r="G388" t="s">
        <v>838</v>
      </c>
      <c r="H388" t="s">
        <v>839</v>
      </c>
      <c r="I388" t="s">
        <v>29</v>
      </c>
      <c r="J388" t="s">
        <v>24</v>
      </c>
      <c r="K388" t="s">
        <v>46</v>
      </c>
      <c r="L388" t="s">
        <v>47</v>
      </c>
      <c r="N388" t="s">
        <v>3521</v>
      </c>
      <c r="O388">
        <v>1</v>
      </c>
      <c r="P388" t="s">
        <v>3503</v>
      </c>
      <c r="Q388" t="s">
        <v>3737</v>
      </c>
      <c r="R388" t="s">
        <v>4121</v>
      </c>
      <c r="S388" t="s">
        <v>4122</v>
      </c>
      <c r="T388" t="s">
        <v>3975</v>
      </c>
      <c r="U388" t="s">
        <v>16</v>
      </c>
      <c r="V388" t="s">
        <v>3741</v>
      </c>
      <c r="W388" t="s">
        <v>4123</v>
      </c>
    </row>
    <row r="389" spans="1:23">
      <c r="A389">
        <v>511</v>
      </c>
      <c r="B389" t="s">
        <v>14</v>
      </c>
      <c r="C389" t="s">
        <v>15</v>
      </c>
      <c r="D389" t="s">
        <v>9</v>
      </c>
      <c r="E389">
        <v>45917</v>
      </c>
      <c r="F389">
        <v>0.70902777777777803</v>
      </c>
      <c r="G389" t="s">
        <v>1234</v>
      </c>
      <c r="H389" t="s">
        <v>1235</v>
      </c>
      <c r="I389" t="s">
        <v>11</v>
      </c>
      <c r="J389" t="s">
        <v>24</v>
      </c>
      <c r="K389" t="s">
        <v>19</v>
      </c>
      <c r="L389" t="s">
        <v>13</v>
      </c>
      <c r="N389" t="s">
        <v>3548</v>
      </c>
      <c r="O389">
        <v>1</v>
      </c>
      <c r="P389" t="s">
        <v>3503</v>
      </c>
      <c r="Q389" t="s">
        <v>3737</v>
      </c>
      <c r="R389" t="s">
        <v>4124</v>
      </c>
      <c r="S389" t="s">
        <v>4125</v>
      </c>
      <c r="T389" t="s">
        <v>3904</v>
      </c>
      <c r="U389" t="s">
        <v>16</v>
      </c>
      <c r="V389" t="s">
        <v>3741</v>
      </c>
      <c r="W389" t="s">
        <v>4126</v>
      </c>
    </row>
    <row r="390" spans="1:23">
      <c r="A390">
        <v>512</v>
      </c>
      <c r="B390" t="s">
        <v>14</v>
      </c>
      <c r="C390" t="s">
        <v>15</v>
      </c>
      <c r="D390" t="s">
        <v>9</v>
      </c>
      <c r="E390">
        <v>45917</v>
      </c>
      <c r="F390">
        <v>0.71111111111111103</v>
      </c>
      <c r="G390" t="s">
        <v>1234</v>
      </c>
      <c r="H390" t="s">
        <v>1235</v>
      </c>
      <c r="I390" t="s">
        <v>23</v>
      </c>
      <c r="J390" t="s">
        <v>24</v>
      </c>
      <c r="K390" t="s">
        <v>44</v>
      </c>
      <c r="L390" t="s">
        <v>45</v>
      </c>
      <c r="M390" t="s">
        <v>41</v>
      </c>
      <c r="N390" t="s">
        <v>3647</v>
      </c>
      <c r="O390">
        <v>1</v>
      </c>
      <c r="P390" t="s">
        <v>3503</v>
      </c>
      <c r="Q390" t="s">
        <v>3737</v>
      </c>
      <c r="R390" t="s">
        <v>4127</v>
      </c>
      <c r="S390" t="s">
        <v>4128</v>
      </c>
      <c r="T390" t="s">
        <v>3904</v>
      </c>
      <c r="U390" t="s">
        <v>16</v>
      </c>
      <c r="V390" t="s">
        <v>3741</v>
      </c>
      <c r="W390" t="s">
        <v>4126</v>
      </c>
    </row>
    <row r="391" spans="1:23">
      <c r="A391">
        <v>513</v>
      </c>
      <c r="B391" t="s">
        <v>14</v>
      </c>
      <c r="C391" t="s">
        <v>15</v>
      </c>
      <c r="D391" t="s">
        <v>9</v>
      </c>
      <c r="E391">
        <v>45917</v>
      </c>
      <c r="F391">
        <v>0.72569444444444398</v>
      </c>
      <c r="G391" t="s">
        <v>1234</v>
      </c>
      <c r="H391" t="s">
        <v>1235</v>
      </c>
      <c r="I391" t="s">
        <v>29</v>
      </c>
      <c r="J391" t="s">
        <v>24</v>
      </c>
      <c r="K391" t="s">
        <v>46</v>
      </c>
      <c r="L391" t="s">
        <v>46</v>
      </c>
      <c r="N391" t="s">
        <v>3617</v>
      </c>
      <c r="O391">
        <v>1</v>
      </c>
      <c r="P391" t="s">
        <v>3503</v>
      </c>
      <c r="Q391" t="s">
        <v>3737</v>
      </c>
      <c r="R391" t="s">
        <v>4129</v>
      </c>
      <c r="S391" t="s">
        <v>4130</v>
      </c>
      <c r="T391" t="s">
        <v>3904</v>
      </c>
      <c r="U391" t="s">
        <v>16</v>
      </c>
      <c r="V391" t="s">
        <v>3741</v>
      </c>
      <c r="W391" t="s">
        <v>4131</v>
      </c>
    </row>
    <row r="392" spans="1:23">
      <c r="A392">
        <v>514</v>
      </c>
      <c r="B392" t="s">
        <v>14</v>
      </c>
      <c r="C392" t="s">
        <v>15</v>
      </c>
      <c r="D392" t="s">
        <v>9</v>
      </c>
      <c r="E392">
        <v>45933</v>
      </c>
      <c r="F392">
        <v>0.70138888888888895</v>
      </c>
      <c r="G392" t="s">
        <v>3465</v>
      </c>
      <c r="H392" t="s">
        <v>3466</v>
      </c>
      <c r="I392" t="s">
        <v>11</v>
      </c>
      <c r="J392" t="s">
        <v>12</v>
      </c>
      <c r="K392" t="s">
        <v>13</v>
      </c>
      <c r="N392" t="s">
        <v>13</v>
      </c>
      <c r="O392">
        <v>1</v>
      </c>
      <c r="P392" t="s">
        <v>3503</v>
      </c>
      <c r="Q392" t="s">
        <v>3737</v>
      </c>
      <c r="R392" t="s">
        <v>4132</v>
      </c>
      <c r="S392" t="s">
        <v>4133</v>
      </c>
      <c r="T392" t="s">
        <v>4134</v>
      </c>
      <c r="U392" t="s">
        <v>16</v>
      </c>
      <c r="V392" t="s">
        <v>3741</v>
      </c>
      <c r="W392" t="s">
        <v>4135</v>
      </c>
    </row>
    <row r="393" spans="1:23">
      <c r="A393">
        <v>515</v>
      </c>
      <c r="B393" t="s">
        <v>7</v>
      </c>
      <c r="C393" t="s">
        <v>8</v>
      </c>
      <c r="D393" t="s">
        <v>9</v>
      </c>
      <c r="E393">
        <v>45957</v>
      </c>
      <c r="F393">
        <v>0.69791666666666696</v>
      </c>
      <c r="G393" t="s">
        <v>255</v>
      </c>
      <c r="H393" t="s">
        <v>256</v>
      </c>
      <c r="I393" t="s">
        <v>11</v>
      </c>
      <c r="J393" t="s">
        <v>30</v>
      </c>
      <c r="K393" t="s">
        <v>25</v>
      </c>
      <c r="L393" t="s">
        <v>37</v>
      </c>
      <c r="N393" t="s">
        <v>3959</v>
      </c>
      <c r="O393">
        <v>1</v>
      </c>
      <c r="P393" t="s">
        <v>3503</v>
      </c>
      <c r="Q393" t="s">
        <v>3737</v>
      </c>
      <c r="R393" t="s">
        <v>4136</v>
      </c>
      <c r="S393" t="s">
        <v>4137</v>
      </c>
      <c r="T393" t="s">
        <v>4108</v>
      </c>
      <c r="U393" t="s">
        <v>10</v>
      </c>
      <c r="V393" t="s">
        <v>3741</v>
      </c>
      <c r="W393" t="s">
        <v>4138</v>
      </c>
    </row>
    <row r="394" spans="1:23">
      <c r="A394">
        <v>516</v>
      </c>
      <c r="B394" t="s">
        <v>7</v>
      </c>
      <c r="C394" t="s">
        <v>8</v>
      </c>
      <c r="D394" t="s">
        <v>9</v>
      </c>
      <c r="E394">
        <v>45957</v>
      </c>
      <c r="F394">
        <v>0.625</v>
      </c>
      <c r="G394" t="s">
        <v>255</v>
      </c>
      <c r="H394" t="s">
        <v>256</v>
      </c>
      <c r="I394" t="s">
        <v>11</v>
      </c>
      <c r="J394" t="s">
        <v>30</v>
      </c>
      <c r="K394" t="s">
        <v>37</v>
      </c>
      <c r="N394" t="s">
        <v>37</v>
      </c>
      <c r="O394">
        <v>1</v>
      </c>
      <c r="P394" t="s">
        <v>3503</v>
      </c>
      <c r="Q394" t="s">
        <v>3737</v>
      </c>
      <c r="R394" t="s">
        <v>4139</v>
      </c>
      <c r="S394" t="s">
        <v>4140</v>
      </c>
      <c r="T394" t="s">
        <v>4108</v>
      </c>
      <c r="U394" t="s">
        <v>10</v>
      </c>
      <c r="V394" t="s">
        <v>3741</v>
      </c>
      <c r="W394" t="s">
        <v>4141</v>
      </c>
    </row>
    <row r="395" spans="1:23">
      <c r="A395">
        <v>517</v>
      </c>
      <c r="B395" t="s">
        <v>32</v>
      </c>
      <c r="C395" t="s">
        <v>33</v>
      </c>
      <c r="D395" t="s">
        <v>9</v>
      </c>
      <c r="E395">
        <v>45958</v>
      </c>
      <c r="F395">
        <v>0.66666666666666696</v>
      </c>
      <c r="G395" t="s">
        <v>4142</v>
      </c>
      <c r="H395" t="s">
        <v>4143</v>
      </c>
      <c r="I395" t="s">
        <v>11</v>
      </c>
      <c r="J395" t="s">
        <v>12</v>
      </c>
      <c r="K395" t="s">
        <v>13</v>
      </c>
      <c r="L395" t="s">
        <v>25</v>
      </c>
      <c r="N395" t="s">
        <v>3579</v>
      </c>
      <c r="O395">
        <v>1</v>
      </c>
      <c r="P395" t="s">
        <v>3503</v>
      </c>
      <c r="Q395" t="s">
        <v>3737</v>
      </c>
      <c r="R395" t="s">
        <v>4144</v>
      </c>
      <c r="S395" t="s">
        <v>4145</v>
      </c>
      <c r="T395" t="s">
        <v>4146</v>
      </c>
      <c r="U395" t="s">
        <v>34</v>
      </c>
      <c r="V395" t="s">
        <v>3741</v>
      </c>
      <c r="W395" t="s">
        <v>4147</v>
      </c>
    </row>
    <row r="396" spans="1:23">
      <c r="A396">
        <v>518</v>
      </c>
      <c r="B396" t="s">
        <v>32</v>
      </c>
      <c r="C396" t="s">
        <v>33</v>
      </c>
      <c r="D396" t="s">
        <v>9</v>
      </c>
      <c r="E396">
        <v>45958</v>
      </c>
      <c r="F396">
        <v>0.66666666666666696</v>
      </c>
      <c r="G396" t="s">
        <v>4142</v>
      </c>
      <c r="H396" t="s">
        <v>4143</v>
      </c>
      <c r="I396" t="s">
        <v>23</v>
      </c>
      <c r="J396" t="s">
        <v>12</v>
      </c>
      <c r="K396" t="s">
        <v>41</v>
      </c>
      <c r="N396" t="s">
        <v>41</v>
      </c>
      <c r="O396">
        <v>1</v>
      </c>
      <c r="P396" t="s">
        <v>3503</v>
      </c>
      <c r="Q396" t="s">
        <v>3737</v>
      </c>
      <c r="R396" t="s">
        <v>4144</v>
      </c>
      <c r="S396" t="s">
        <v>4148</v>
      </c>
      <c r="T396" t="s">
        <v>4146</v>
      </c>
      <c r="U396" t="s">
        <v>34</v>
      </c>
      <c r="V396" t="s">
        <v>3741</v>
      </c>
      <c r="W396" t="s">
        <v>4147</v>
      </c>
    </row>
    <row r="397" spans="1:23">
      <c r="A397">
        <v>519</v>
      </c>
      <c r="B397" t="s">
        <v>32</v>
      </c>
      <c r="C397" t="s">
        <v>33</v>
      </c>
      <c r="D397" t="s">
        <v>9</v>
      </c>
      <c r="E397">
        <v>45944</v>
      </c>
      <c r="F397">
        <v>0.66666666666666696</v>
      </c>
      <c r="G397" t="s">
        <v>2865</v>
      </c>
      <c r="H397" t="s">
        <v>2866</v>
      </c>
      <c r="I397" t="s">
        <v>11</v>
      </c>
      <c r="J397" t="s">
        <v>24</v>
      </c>
      <c r="K397" t="s">
        <v>19</v>
      </c>
      <c r="L397" t="s">
        <v>25</v>
      </c>
      <c r="N397" t="s">
        <v>4149</v>
      </c>
      <c r="O397">
        <v>1</v>
      </c>
      <c r="P397" t="s">
        <v>3503</v>
      </c>
      <c r="Q397" t="s">
        <v>3737</v>
      </c>
      <c r="R397" t="s">
        <v>4150</v>
      </c>
      <c r="S397" t="s">
        <v>4151</v>
      </c>
      <c r="T397" t="s">
        <v>4015</v>
      </c>
      <c r="U397" t="s">
        <v>34</v>
      </c>
      <c r="V397" t="s">
        <v>3741</v>
      </c>
      <c r="W397" t="s">
        <v>4152</v>
      </c>
    </row>
    <row r="398" spans="1:23">
      <c r="A398">
        <v>520</v>
      </c>
      <c r="B398" t="s">
        <v>32</v>
      </c>
      <c r="C398" t="s">
        <v>33</v>
      </c>
      <c r="D398" t="s">
        <v>9</v>
      </c>
      <c r="E398">
        <v>45944</v>
      </c>
      <c r="F398">
        <v>0.66666666666666696</v>
      </c>
      <c r="G398" t="s">
        <v>2865</v>
      </c>
      <c r="H398" t="s">
        <v>2866</v>
      </c>
      <c r="I398" t="s">
        <v>23</v>
      </c>
      <c r="J398" t="s">
        <v>24</v>
      </c>
      <c r="K398" t="s">
        <v>45</v>
      </c>
      <c r="L398" t="s">
        <v>44</v>
      </c>
      <c r="N398" t="s">
        <v>4153</v>
      </c>
      <c r="O398">
        <v>1</v>
      </c>
      <c r="P398" t="s">
        <v>3503</v>
      </c>
      <c r="Q398" t="s">
        <v>3737</v>
      </c>
      <c r="R398" t="s">
        <v>4150</v>
      </c>
      <c r="S398" t="s">
        <v>4154</v>
      </c>
      <c r="T398" t="s">
        <v>4015</v>
      </c>
      <c r="U398" t="s">
        <v>34</v>
      </c>
      <c r="V398" t="s">
        <v>3741</v>
      </c>
      <c r="W398" t="s">
        <v>4155</v>
      </c>
    </row>
    <row r="399" spans="1:23">
      <c r="A399">
        <v>521</v>
      </c>
      <c r="B399" t="s">
        <v>7</v>
      </c>
      <c r="C399" t="s">
        <v>8</v>
      </c>
      <c r="D399" t="s">
        <v>9</v>
      </c>
      <c r="E399">
        <v>45944</v>
      </c>
      <c r="F399">
        <v>0.66666666666666696</v>
      </c>
      <c r="G399" t="s">
        <v>2865</v>
      </c>
      <c r="H399" t="s">
        <v>2866</v>
      </c>
      <c r="I399" t="s">
        <v>29</v>
      </c>
      <c r="J399" t="s">
        <v>24</v>
      </c>
      <c r="K399" t="s">
        <v>46</v>
      </c>
      <c r="L399" t="s">
        <v>47</v>
      </c>
      <c r="N399" t="s">
        <v>3521</v>
      </c>
      <c r="O399">
        <v>1</v>
      </c>
      <c r="P399" t="s">
        <v>3503</v>
      </c>
      <c r="Q399" t="s">
        <v>3737</v>
      </c>
      <c r="R399" t="s">
        <v>4150</v>
      </c>
      <c r="S399" t="s">
        <v>4156</v>
      </c>
      <c r="T399" t="s">
        <v>4015</v>
      </c>
      <c r="U399" t="s">
        <v>10</v>
      </c>
      <c r="V399" t="s">
        <v>3741</v>
      </c>
      <c r="W399" t="s">
        <v>4157</v>
      </c>
    </row>
    <row r="400" spans="1:23">
      <c r="A400">
        <v>522</v>
      </c>
      <c r="B400" t="s">
        <v>7</v>
      </c>
      <c r="C400" t="s">
        <v>8</v>
      </c>
      <c r="D400" t="s">
        <v>9</v>
      </c>
      <c r="E400">
        <v>45960</v>
      </c>
      <c r="F400">
        <v>0.625</v>
      </c>
      <c r="G400" t="s">
        <v>1288</v>
      </c>
      <c r="H400" t="s">
        <v>1289</v>
      </c>
      <c r="I400" t="s">
        <v>11</v>
      </c>
      <c r="J400" t="s">
        <v>36</v>
      </c>
      <c r="K400" t="s">
        <v>25</v>
      </c>
      <c r="N400" t="s">
        <v>25</v>
      </c>
      <c r="O400">
        <v>1</v>
      </c>
      <c r="P400" t="s">
        <v>3503</v>
      </c>
      <c r="Q400" t="s">
        <v>3737</v>
      </c>
      <c r="R400" t="s">
        <v>4158</v>
      </c>
      <c r="S400" t="s">
        <v>4159</v>
      </c>
      <c r="T400" t="s">
        <v>4160</v>
      </c>
      <c r="U400" t="s">
        <v>10</v>
      </c>
      <c r="V400" t="s">
        <v>3741</v>
      </c>
      <c r="W400" t="s">
        <v>4161</v>
      </c>
    </row>
    <row r="401" spans="1:23">
      <c r="A401">
        <v>523</v>
      </c>
      <c r="B401" t="s">
        <v>7</v>
      </c>
      <c r="C401" t="s">
        <v>8</v>
      </c>
      <c r="D401" t="s">
        <v>9</v>
      </c>
      <c r="E401">
        <v>45960</v>
      </c>
      <c r="F401">
        <v>0.625</v>
      </c>
      <c r="O401" t="s">
        <v>3507</v>
      </c>
      <c r="P401" t="s">
        <v>3503</v>
      </c>
      <c r="Q401" t="s">
        <v>3901</v>
      </c>
      <c r="R401" t="s">
        <v>4158</v>
      </c>
      <c r="S401" t="s">
        <v>4162</v>
      </c>
      <c r="T401" t="s">
        <v>4160</v>
      </c>
      <c r="U401" t="s">
        <v>10</v>
      </c>
      <c r="V401" t="s">
        <v>3507</v>
      </c>
      <c r="W401" t="s">
        <v>4161</v>
      </c>
    </row>
    <row r="402" spans="1:23">
      <c r="A402">
        <v>524</v>
      </c>
      <c r="B402" t="s">
        <v>7</v>
      </c>
      <c r="C402" t="s">
        <v>8</v>
      </c>
      <c r="D402" t="s">
        <v>9</v>
      </c>
      <c r="E402">
        <v>45966</v>
      </c>
      <c r="F402">
        <v>0.39583333333333298</v>
      </c>
      <c r="G402" t="s">
        <v>1288</v>
      </c>
      <c r="H402" t="s">
        <v>1289</v>
      </c>
      <c r="I402" t="s">
        <v>11</v>
      </c>
      <c r="J402" t="s">
        <v>36</v>
      </c>
      <c r="K402" t="s">
        <v>25</v>
      </c>
      <c r="N402" t="s">
        <v>25</v>
      </c>
      <c r="O402">
        <v>1</v>
      </c>
      <c r="P402" t="s">
        <v>3503</v>
      </c>
      <c r="Q402" t="s">
        <v>3737</v>
      </c>
      <c r="R402" t="s">
        <v>4163</v>
      </c>
      <c r="S402" t="s">
        <v>4164</v>
      </c>
      <c r="T402" t="s">
        <v>4165</v>
      </c>
      <c r="U402" t="s">
        <v>10</v>
      </c>
      <c r="V402" t="s">
        <v>3741</v>
      </c>
      <c r="W402" t="s">
        <v>4166</v>
      </c>
    </row>
    <row r="403" spans="1:23">
      <c r="A403">
        <v>525</v>
      </c>
      <c r="E403">
        <v>45965</v>
      </c>
      <c r="O403" t="s">
        <v>3507</v>
      </c>
      <c r="P403" t="s">
        <v>3503</v>
      </c>
      <c r="Q403" t="s">
        <v>3901</v>
      </c>
      <c r="R403" t="s">
        <v>4167</v>
      </c>
      <c r="S403" t="s">
        <v>4168</v>
      </c>
      <c r="T403" t="s">
        <v>4169</v>
      </c>
      <c r="U403">
        <v>0</v>
      </c>
      <c r="V403" t="s">
        <v>3507</v>
      </c>
      <c r="W403" t="s">
        <v>4166</v>
      </c>
    </row>
    <row r="404" spans="1:23">
      <c r="A404">
        <v>526</v>
      </c>
      <c r="B404" t="s">
        <v>32</v>
      </c>
      <c r="C404" t="s">
        <v>33</v>
      </c>
      <c r="D404" t="s">
        <v>9</v>
      </c>
      <c r="E404">
        <v>45960</v>
      </c>
      <c r="F404">
        <v>0.75</v>
      </c>
      <c r="G404" t="s">
        <v>786</v>
      </c>
      <c r="H404" t="s">
        <v>787</v>
      </c>
      <c r="I404" t="s">
        <v>11</v>
      </c>
      <c r="J404" t="s">
        <v>24</v>
      </c>
      <c r="K404" t="s">
        <v>19</v>
      </c>
      <c r="L404" t="s">
        <v>25</v>
      </c>
      <c r="N404" t="s">
        <v>4149</v>
      </c>
      <c r="O404">
        <v>1</v>
      </c>
      <c r="P404" t="s">
        <v>3503</v>
      </c>
      <c r="Q404" t="s">
        <v>3737</v>
      </c>
      <c r="R404" t="s">
        <v>4170</v>
      </c>
      <c r="S404" t="s">
        <v>4171</v>
      </c>
      <c r="T404" t="s">
        <v>4160</v>
      </c>
      <c r="U404" t="s">
        <v>34</v>
      </c>
      <c r="V404" t="s">
        <v>3741</v>
      </c>
      <c r="W404" t="s">
        <v>4172</v>
      </c>
    </row>
    <row r="405" spans="1:23">
      <c r="A405">
        <v>527</v>
      </c>
      <c r="B405" t="s">
        <v>32</v>
      </c>
      <c r="C405" t="s">
        <v>33</v>
      </c>
      <c r="D405" t="s">
        <v>9</v>
      </c>
      <c r="E405">
        <v>45960</v>
      </c>
      <c r="F405">
        <v>0.75</v>
      </c>
      <c r="G405" t="s">
        <v>786</v>
      </c>
      <c r="H405" t="s">
        <v>787</v>
      </c>
      <c r="I405" t="s">
        <v>23</v>
      </c>
      <c r="J405" t="s">
        <v>24</v>
      </c>
      <c r="K405" t="s">
        <v>45</v>
      </c>
      <c r="L405" t="s">
        <v>44</v>
      </c>
      <c r="M405" t="s">
        <v>41</v>
      </c>
      <c r="N405" t="s">
        <v>4173</v>
      </c>
      <c r="O405">
        <v>1</v>
      </c>
      <c r="P405" t="s">
        <v>3503</v>
      </c>
      <c r="Q405" t="s">
        <v>3737</v>
      </c>
      <c r="R405" t="s">
        <v>4170</v>
      </c>
      <c r="S405" t="s">
        <v>4174</v>
      </c>
      <c r="T405" t="s">
        <v>4160</v>
      </c>
      <c r="U405" t="s">
        <v>34</v>
      </c>
      <c r="V405" t="s">
        <v>3741</v>
      </c>
      <c r="W405" t="s">
        <v>4175</v>
      </c>
    </row>
    <row r="406" spans="1:23">
      <c r="A406">
        <v>528</v>
      </c>
      <c r="B406" t="s">
        <v>7</v>
      </c>
      <c r="C406" t="s">
        <v>8</v>
      </c>
      <c r="D406" t="s">
        <v>9</v>
      </c>
      <c r="E406">
        <v>45960</v>
      </c>
      <c r="F406">
        <v>0.75</v>
      </c>
      <c r="G406" t="s">
        <v>786</v>
      </c>
      <c r="H406" t="s">
        <v>787</v>
      </c>
      <c r="I406" t="s">
        <v>29</v>
      </c>
      <c r="J406" t="s">
        <v>24</v>
      </c>
      <c r="K406" t="s">
        <v>46</v>
      </c>
      <c r="L406" t="s">
        <v>47</v>
      </c>
      <c r="N406" t="s">
        <v>3521</v>
      </c>
      <c r="O406">
        <v>1</v>
      </c>
      <c r="P406" t="s">
        <v>3503</v>
      </c>
      <c r="Q406" t="s">
        <v>3737</v>
      </c>
      <c r="R406" t="s">
        <v>4170</v>
      </c>
      <c r="S406" t="s">
        <v>4176</v>
      </c>
      <c r="T406" t="s">
        <v>4160</v>
      </c>
      <c r="U406" t="s">
        <v>10</v>
      </c>
      <c r="V406" t="s">
        <v>3741</v>
      </c>
      <c r="W406" t="s">
        <v>4177</v>
      </c>
    </row>
    <row r="407" spans="1:23">
      <c r="A407">
        <v>529</v>
      </c>
      <c r="B407" t="s">
        <v>7</v>
      </c>
      <c r="C407" t="s">
        <v>8</v>
      </c>
      <c r="D407" t="s">
        <v>9</v>
      </c>
      <c r="E407">
        <v>45966</v>
      </c>
      <c r="F407">
        <v>0.41666666666666702</v>
      </c>
      <c r="G407" t="s">
        <v>4178</v>
      </c>
      <c r="H407" t="s">
        <v>4179</v>
      </c>
      <c r="I407" t="s">
        <v>11</v>
      </c>
      <c r="J407" t="s">
        <v>36</v>
      </c>
      <c r="K407" t="s">
        <v>25</v>
      </c>
      <c r="N407" t="s">
        <v>25</v>
      </c>
      <c r="O407">
        <v>1</v>
      </c>
      <c r="P407" t="s">
        <v>3503</v>
      </c>
      <c r="Q407" t="s">
        <v>3737</v>
      </c>
      <c r="R407" t="s">
        <v>4180</v>
      </c>
      <c r="S407" t="s">
        <v>4181</v>
      </c>
      <c r="T407" t="s">
        <v>4165</v>
      </c>
      <c r="U407" t="s">
        <v>10</v>
      </c>
      <c r="V407" t="s">
        <v>3741</v>
      </c>
      <c r="W407" t="s">
        <v>4182</v>
      </c>
    </row>
    <row r="408" spans="1:23">
      <c r="A408">
        <v>530</v>
      </c>
      <c r="B408" t="s">
        <v>7</v>
      </c>
      <c r="C408" t="s">
        <v>8</v>
      </c>
      <c r="D408" t="s">
        <v>9</v>
      </c>
      <c r="E408">
        <v>45966</v>
      </c>
      <c r="F408">
        <v>0.41736111111111102</v>
      </c>
      <c r="G408" t="s">
        <v>4183</v>
      </c>
      <c r="H408" t="s">
        <v>4184</v>
      </c>
      <c r="I408" t="s">
        <v>11</v>
      </c>
      <c r="J408" t="s">
        <v>36</v>
      </c>
      <c r="K408" t="s">
        <v>25</v>
      </c>
      <c r="N408" t="s">
        <v>25</v>
      </c>
      <c r="O408">
        <v>1</v>
      </c>
      <c r="P408" t="s">
        <v>3503</v>
      </c>
      <c r="Q408" t="s">
        <v>3737</v>
      </c>
      <c r="R408" t="s">
        <v>4185</v>
      </c>
      <c r="S408" t="s">
        <v>4186</v>
      </c>
      <c r="T408" t="s">
        <v>4165</v>
      </c>
      <c r="U408" t="s">
        <v>10</v>
      </c>
      <c r="V408" t="s">
        <v>3741</v>
      </c>
      <c r="W408" t="s">
        <v>4182</v>
      </c>
    </row>
    <row r="409" spans="1:23">
      <c r="A409">
        <v>531</v>
      </c>
      <c r="B409" t="s">
        <v>7</v>
      </c>
      <c r="C409" t="s">
        <v>8</v>
      </c>
      <c r="D409" t="s">
        <v>9</v>
      </c>
      <c r="E409">
        <v>45966</v>
      </c>
      <c r="F409">
        <v>0.58333333333333304</v>
      </c>
      <c r="G409" t="s">
        <v>1273</v>
      </c>
      <c r="H409" t="s">
        <v>1274</v>
      </c>
      <c r="I409" t="s">
        <v>11</v>
      </c>
      <c r="J409" t="s">
        <v>30</v>
      </c>
      <c r="K409" t="s">
        <v>37</v>
      </c>
      <c r="N409" t="s">
        <v>37</v>
      </c>
      <c r="O409">
        <v>1</v>
      </c>
      <c r="P409" t="s">
        <v>3503</v>
      </c>
      <c r="Q409" t="s">
        <v>3737</v>
      </c>
      <c r="R409" t="s">
        <v>4187</v>
      </c>
      <c r="S409" t="s">
        <v>4188</v>
      </c>
      <c r="T409" t="s">
        <v>4165</v>
      </c>
      <c r="U409" t="s">
        <v>10</v>
      </c>
      <c r="V409" t="s">
        <v>3741</v>
      </c>
      <c r="W409" t="s">
        <v>4189</v>
      </c>
    </row>
    <row r="410" spans="1:23">
      <c r="A410">
        <v>532</v>
      </c>
      <c r="B410" t="s">
        <v>7</v>
      </c>
      <c r="C410" t="s">
        <v>8</v>
      </c>
      <c r="D410" t="s">
        <v>9</v>
      </c>
      <c r="E410">
        <v>45966</v>
      </c>
      <c r="F410">
        <v>0.58333333333333304</v>
      </c>
      <c r="G410" t="s">
        <v>4190</v>
      </c>
      <c r="H410" t="s">
        <v>4191</v>
      </c>
      <c r="I410" t="s">
        <v>11</v>
      </c>
      <c r="J410" t="s">
        <v>30</v>
      </c>
      <c r="K410" t="s">
        <v>37</v>
      </c>
      <c r="N410" t="s">
        <v>37</v>
      </c>
      <c r="O410">
        <v>1</v>
      </c>
      <c r="P410" t="s">
        <v>3503</v>
      </c>
      <c r="Q410" t="s">
        <v>3737</v>
      </c>
      <c r="R410" t="s">
        <v>4187</v>
      </c>
      <c r="S410" t="s">
        <v>4192</v>
      </c>
      <c r="T410" t="s">
        <v>4165</v>
      </c>
      <c r="U410" t="s">
        <v>10</v>
      </c>
      <c r="V410" t="s">
        <v>3741</v>
      </c>
      <c r="W410" t="s">
        <v>4189</v>
      </c>
    </row>
    <row r="411" spans="1:23">
      <c r="A411">
        <v>533</v>
      </c>
      <c r="B411" t="s">
        <v>7</v>
      </c>
      <c r="C411" t="s">
        <v>8</v>
      </c>
      <c r="D411" t="s">
        <v>9</v>
      </c>
      <c r="E411">
        <v>45966</v>
      </c>
      <c r="F411">
        <v>0.58333333333333304</v>
      </c>
      <c r="G411" t="s">
        <v>4193</v>
      </c>
      <c r="H411" t="s">
        <v>4194</v>
      </c>
      <c r="I411" t="s">
        <v>11</v>
      </c>
      <c r="J411" t="s">
        <v>30</v>
      </c>
      <c r="K411" t="s">
        <v>37</v>
      </c>
      <c r="N411" t="s">
        <v>37</v>
      </c>
      <c r="O411">
        <v>1</v>
      </c>
      <c r="P411" t="s">
        <v>3503</v>
      </c>
      <c r="Q411" t="s">
        <v>3737</v>
      </c>
      <c r="R411" t="s">
        <v>4187</v>
      </c>
      <c r="S411" t="s">
        <v>4195</v>
      </c>
      <c r="T411" t="s">
        <v>4165</v>
      </c>
      <c r="U411" t="s">
        <v>10</v>
      </c>
      <c r="V411" t="s">
        <v>3741</v>
      </c>
      <c r="W411" t="s">
        <v>4189</v>
      </c>
    </row>
    <row r="412" spans="1:23">
      <c r="A412">
        <v>534</v>
      </c>
      <c r="B412" t="s">
        <v>7</v>
      </c>
      <c r="C412" t="s">
        <v>8</v>
      </c>
      <c r="D412" t="s">
        <v>9</v>
      </c>
      <c r="E412">
        <v>45966</v>
      </c>
      <c r="F412">
        <v>0.58680555555555602</v>
      </c>
      <c r="G412" t="s">
        <v>4193</v>
      </c>
      <c r="H412" t="s">
        <v>4194</v>
      </c>
      <c r="I412" t="s">
        <v>11</v>
      </c>
      <c r="J412" t="s">
        <v>36</v>
      </c>
      <c r="K412" t="s">
        <v>25</v>
      </c>
      <c r="N412" t="s">
        <v>25</v>
      </c>
      <c r="O412">
        <v>1</v>
      </c>
      <c r="P412" t="s">
        <v>3503</v>
      </c>
      <c r="Q412" t="s">
        <v>3737</v>
      </c>
      <c r="R412" t="s">
        <v>4196</v>
      </c>
      <c r="S412" t="s">
        <v>4197</v>
      </c>
      <c r="T412" t="s">
        <v>4165</v>
      </c>
      <c r="U412" t="s">
        <v>10</v>
      </c>
      <c r="V412" t="s">
        <v>3741</v>
      </c>
      <c r="W412" t="s">
        <v>4198</v>
      </c>
    </row>
    <row r="413" spans="1:23">
      <c r="A413">
        <v>535</v>
      </c>
      <c r="B413" t="s">
        <v>7</v>
      </c>
      <c r="C413" t="s">
        <v>8</v>
      </c>
      <c r="D413" t="s">
        <v>9</v>
      </c>
      <c r="E413">
        <v>45966</v>
      </c>
      <c r="F413">
        <v>0.58750000000000002</v>
      </c>
      <c r="G413" t="s">
        <v>4190</v>
      </c>
      <c r="H413" t="s">
        <v>4191</v>
      </c>
      <c r="I413" t="s">
        <v>11</v>
      </c>
      <c r="J413" t="s">
        <v>36</v>
      </c>
      <c r="K413" t="s">
        <v>25</v>
      </c>
      <c r="N413" t="s">
        <v>25</v>
      </c>
      <c r="O413">
        <v>1</v>
      </c>
      <c r="P413" t="s">
        <v>3503</v>
      </c>
      <c r="Q413" t="s">
        <v>3737</v>
      </c>
      <c r="R413" t="s">
        <v>4199</v>
      </c>
      <c r="S413" t="s">
        <v>4200</v>
      </c>
      <c r="T413" t="s">
        <v>4165</v>
      </c>
      <c r="U413" t="s">
        <v>10</v>
      </c>
      <c r="V413" t="s">
        <v>3741</v>
      </c>
      <c r="W413" t="s">
        <v>4198</v>
      </c>
    </row>
    <row r="414" spans="1:23">
      <c r="A414">
        <v>536</v>
      </c>
      <c r="B414" t="s">
        <v>7</v>
      </c>
      <c r="C414" t="s">
        <v>8</v>
      </c>
      <c r="D414" t="s">
        <v>9</v>
      </c>
      <c r="E414">
        <v>45966</v>
      </c>
      <c r="F414">
        <v>0.58819444444444402</v>
      </c>
      <c r="G414" t="s">
        <v>1273</v>
      </c>
      <c r="H414" t="s">
        <v>1274</v>
      </c>
      <c r="I414" t="s">
        <v>11</v>
      </c>
      <c r="J414" t="s">
        <v>36</v>
      </c>
      <c r="K414" t="s">
        <v>25</v>
      </c>
      <c r="N414" t="s">
        <v>25</v>
      </c>
      <c r="O414">
        <v>1</v>
      </c>
      <c r="P414" t="s">
        <v>3503</v>
      </c>
      <c r="Q414" t="s">
        <v>3737</v>
      </c>
      <c r="R414" t="s">
        <v>4201</v>
      </c>
      <c r="S414" t="s">
        <v>4202</v>
      </c>
      <c r="T414" t="s">
        <v>4165</v>
      </c>
      <c r="U414" t="s">
        <v>10</v>
      </c>
      <c r="V414" t="s">
        <v>3741</v>
      </c>
      <c r="W414" t="s">
        <v>4198</v>
      </c>
    </row>
    <row r="415" spans="1:23">
      <c r="A415">
        <v>537</v>
      </c>
      <c r="B415" t="s">
        <v>7</v>
      </c>
      <c r="C415" t="s">
        <v>8</v>
      </c>
      <c r="D415" t="s">
        <v>9</v>
      </c>
      <c r="E415">
        <v>45966</v>
      </c>
      <c r="F415">
        <v>0.70833333333333304</v>
      </c>
      <c r="O415">
        <v>1</v>
      </c>
      <c r="P415" t="s">
        <v>3503</v>
      </c>
      <c r="Q415" t="s">
        <v>3737</v>
      </c>
      <c r="R415" t="s">
        <v>4203</v>
      </c>
      <c r="S415" t="s">
        <v>4204</v>
      </c>
      <c r="T415" t="s">
        <v>4165</v>
      </c>
      <c r="U415" t="s">
        <v>10</v>
      </c>
      <c r="V415" t="s">
        <v>3741</v>
      </c>
      <c r="W415" t="s">
        <v>4205</v>
      </c>
    </row>
    <row r="416" spans="1:23">
      <c r="A416">
        <v>538</v>
      </c>
      <c r="B416" t="s">
        <v>7</v>
      </c>
      <c r="C416" t="s">
        <v>8</v>
      </c>
      <c r="D416" t="s">
        <v>9</v>
      </c>
      <c r="O416" t="s">
        <v>3507</v>
      </c>
      <c r="P416" t="s">
        <v>3503</v>
      </c>
      <c r="Q416" t="s">
        <v>3901</v>
      </c>
      <c r="R416" t="s">
        <v>3660</v>
      </c>
      <c r="S416" t="s">
        <v>4206</v>
      </c>
      <c r="T416" t="s">
        <v>3885</v>
      </c>
      <c r="U416" t="s">
        <v>10</v>
      </c>
      <c r="V416" t="s">
        <v>3507</v>
      </c>
      <c r="W416" t="s">
        <v>4207</v>
      </c>
    </row>
    <row r="417" spans="1:23">
      <c r="A417">
        <v>539</v>
      </c>
      <c r="B417" t="s">
        <v>7</v>
      </c>
      <c r="C417" t="s">
        <v>8</v>
      </c>
      <c r="D417" t="s">
        <v>9</v>
      </c>
      <c r="O417" t="s">
        <v>3507</v>
      </c>
      <c r="P417" t="s">
        <v>3503</v>
      </c>
      <c r="Q417" t="s">
        <v>3901</v>
      </c>
      <c r="R417" t="s">
        <v>3660</v>
      </c>
      <c r="S417" t="s">
        <v>4208</v>
      </c>
      <c r="T417" t="s">
        <v>3885</v>
      </c>
      <c r="U417" t="s">
        <v>10</v>
      </c>
      <c r="V417" t="s">
        <v>3507</v>
      </c>
      <c r="W417" t="s">
        <v>4207</v>
      </c>
    </row>
    <row r="418" spans="1:23">
      <c r="A418">
        <v>540</v>
      </c>
      <c r="B418" t="s">
        <v>7</v>
      </c>
      <c r="C418" t="s">
        <v>8</v>
      </c>
      <c r="D418" t="s">
        <v>9</v>
      </c>
      <c r="O418" t="s">
        <v>3507</v>
      </c>
      <c r="P418" t="s">
        <v>3503</v>
      </c>
      <c r="Q418" t="s">
        <v>3901</v>
      </c>
      <c r="R418" t="s">
        <v>3660</v>
      </c>
      <c r="S418" t="s">
        <v>4209</v>
      </c>
      <c r="T418" t="s">
        <v>3885</v>
      </c>
      <c r="U418" t="s">
        <v>10</v>
      </c>
      <c r="V418" t="s">
        <v>3507</v>
      </c>
      <c r="W418" t="s">
        <v>4207</v>
      </c>
    </row>
    <row r="419" spans="1:23">
      <c r="A419">
        <v>541</v>
      </c>
      <c r="B419" t="s">
        <v>14</v>
      </c>
      <c r="C419" t="s">
        <v>15</v>
      </c>
      <c r="D419" t="s">
        <v>9</v>
      </c>
      <c r="E419">
        <v>45940</v>
      </c>
      <c r="F419">
        <v>0.65972222222222199</v>
      </c>
      <c r="G419" t="s">
        <v>817</v>
      </c>
      <c r="H419" t="s">
        <v>818</v>
      </c>
      <c r="I419" t="s">
        <v>11</v>
      </c>
      <c r="J419" t="s">
        <v>24</v>
      </c>
      <c r="K419" t="s">
        <v>19</v>
      </c>
      <c r="L419" t="s">
        <v>13</v>
      </c>
      <c r="N419" t="s">
        <v>3548</v>
      </c>
      <c r="O419">
        <v>1</v>
      </c>
      <c r="P419" t="s">
        <v>3503</v>
      </c>
      <c r="Q419" t="s">
        <v>3737</v>
      </c>
      <c r="R419" t="s">
        <v>4210</v>
      </c>
      <c r="S419" t="s">
        <v>4211</v>
      </c>
      <c r="T419" t="s">
        <v>4212</v>
      </c>
      <c r="U419" t="s">
        <v>16</v>
      </c>
      <c r="V419" t="s">
        <v>3741</v>
      </c>
      <c r="W419" t="s">
        <v>4213</v>
      </c>
    </row>
    <row r="420" spans="1:23">
      <c r="A420">
        <v>542</v>
      </c>
      <c r="F420">
        <v>0.65972222222222199</v>
      </c>
      <c r="O420" t="s">
        <v>3507</v>
      </c>
      <c r="P420" t="s">
        <v>3503</v>
      </c>
      <c r="Q420" t="s">
        <v>3901</v>
      </c>
      <c r="R420" t="s">
        <v>3660</v>
      </c>
      <c r="S420" t="s">
        <v>4214</v>
      </c>
      <c r="T420" t="s">
        <v>3885</v>
      </c>
      <c r="U420">
        <v>0</v>
      </c>
      <c r="V420" t="s">
        <v>3507</v>
      </c>
      <c r="W420" t="s">
        <v>4213</v>
      </c>
    </row>
    <row r="421" spans="1:23">
      <c r="A421">
        <v>543</v>
      </c>
      <c r="B421" t="s">
        <v>14</v>
      </c>
      <c r="C421" t="s">
        <v>15</v>
      </c>
      <c r="D421" t="s">
        <v>9</v>
      </c>
      <c r="E421">
        <v>45955</v>
      </c>
      <c r="F421">
        <v>0.65763888888888899</v>
      </c>
      <c r="G421" t="s">
        <v>3099</v>
      </c>
      <c r="H421" t="s">
        <v>4215</v>
      </c>
      <c r="I421" t="s">
        <v>11</v>
      </c>
      <c r="J421" t="s">
        <v>24</v>
      </c>
      <c r="K421" t="s">
        <v>13</v>
      </c>
      <c r="L421" t="s">
        <v>19</v>
      </c>
      <c r="N421" t="s">
        <v>3721</v>
      </c>
      <c r="O421">
        <v>1</v>
      </c>
      <c r="P421" t="s">
        <v>3503</v>
      </c>
      <c r="Q421" t="s">
        <v>3737</v>
      </c>
      <c r="R421" t="s">
        <v>4216</v>
      </c>
      <c r="S421" t="s">
        <v>4217</v>
      </c>
      <c r="T421" t="s">
        <v>4218</v>
      </c>
      <c r="U421" t="s">
        <v>16</v>
      </c>
      <c r="V421" t="s">
        <v>3741</v>
      </c>
      <c r="W421" t="s">
        <v>4219</v>
      </c>
    </row>
    <row r="422" spans="1:23">
      <c r="A422">
        <v>544</v>
      </c>
      <c r="B422" t="s">
        <v>7</v>
      </c>
      <c r="C422" t="s">
        <v>8</v>
      </c>
      <c r="D422" t="s">
        <v>9</v>
      </c>
      <c r="E422">
        <v>45967</v>
      </c>
      <c r="F422">
        <v>0.41666666666666702</v>
      </c>
      <c r="O422" t="s">
        <v>3507</v>
      </c>
      <c r="P422" t="s">
        <v>3503</v>
      </c>
      <c r="Q422" t="s">
        <v>3901</v>
      </c>
      <c r="R422" t="s">
        <v>4220</v>
      </c>
      <c r="S422" t="s">
        <v>4221</v>
      </c>
      <c r="T422" t="s">
        <v>4222</v>
      </c>
      <c r="U422" t="s">
        <v>10</v>
      </c>
      <c r="V422" t="s">
        <v>3507</v>
      </c>
      <c r="W422" t="s">
        <v>4223</v>
      </c>
    </row>
    <row r="423" spans="1:23">
      <c r="A423">
        <v>545</v>
      </c>
      <c r="B423" t="s">
        <v>7</v>
      </c>
      <c r="C423" t="s">
        <v>8</v>
      </c>
      <c r="D423" t="s">
        <v>9</v>
      </c>
      <c r="E423">
        <v>45968</v>
      </c>
      <c r="F423">
        <v>0.41736111111111102</v>
      </c>
      <c r="O423" t="s">
        <v>3507</v>
      </c>
      <c r="P423" t="s">
        <v>3503</v>
      </c>
      <c r="Q423" t="s">
        <v>3901</v>
      </c>
      <c r="R423" t="s">
        <v>4224</v>
      </c>
      <c r="S423" t="s">
        <v>4225</v>
      </c>
      <c r="T423" t="s">
        <v>4226</v>
      </c>
      <c r="U423" t="s">
        <v>10</v>
      </c>
      <c r="V423" t="s">
        <v>3507</v>
      </c>
      <c r="W423" t="s">
        <v>4223</v>
      </c>
    </row>
    <row r="424" spans="1:23">
      <c r="A424">
        <v>546</v>
      </c>
      <c r="B424" t="s">
        <v>7</v>
      </c>
      <c r="C424" t="s">
        <v>8</v>
      </c>
      <c r="D424" t="s">
        <v>9</v>
      </c>
      <c r="E424">
        <v>45969</v>
      </c>
      <c r="F424">
        <v>0.41805555555555601</v>
      </c>
      <c r="O424" t="s">
        <v>3507</v>
      </c>
      <c r="P424" t="s">
        <v>3503</v>
      </c>
      <c r="Q424" t="s">
        <v>3901</v>
      </c>
      <c r="R424" t="s">
        <v>4227</v>
      </c>
      <c r="S424" t="s">
        <v>4228</v>
      </c>
      <c r="T424" t="s">
        <v>4229</v>
      </c>
      <c r="U424" t="s">
        <v>10</v>
      </c>
      <c r="V424" t="s">
        <v>3507</v>
      </c>
      <c r="W424" t="s">
        <v>4223</v>
      </c>
    </row>
    <row r="425" spans="1:23">
      <c r="A425">
        <v>547</v>
      </c>
      <c r="B425" t="s">
        <v>7</v>
      </c>
      <c r="C425" t="s">
        <v>8</v>
      </c>
      <c r="D425" t="s">
        <v>9</v>
      </c>
      <c r="E425">
        <v>45979</v>
      </c>
      <c r="F425">
        <v>0.48958333333333298</v>
      </c>
      <c r="G425" t="s">
        <v>3268</v>
      </c>
      <c r="H425" t="s">
        <v>3269</v>
      </c>
      <c r="I425" t="s">
        <v>11</v>
      </c>
      <c r="J425" t="s">
        <v>30</v>
      </c>
      <c r="K425" t="s">
        <v>37</v>
      </c>
      <c r="N425" t="s">
        <v>37</v>
      </c>
      <c r="O425">
        <v>1</v>
      </c>
      <c r="P425" t="s">
        <v>3503</v>
      </c>
      <c r="Q425" t="s">
        <v>3737</v>
      </c>
      <c r="R425" t="s">
        <v>4230</v>
      </c>
      <c r="S425" t="s">
        <v>4231</v>
      </c>
      <c r="T425" t="s">
        <v>4232</v>
      </c>
      <c r="U425" t="s">
        <v>10</v>
      </c>
      <c r="V425" t="s">
        <v>3741</v>
      </c>
      <c r="W425" t="s">
        <v>4233</v>
      </c>
    </row>
    <row r="426" spans="1:23">
      <c r="A426">
        <v>548</v>
      </c>
      <c r="B426" t="s">
        <v>7</v>
      </c>
      <c r="C426" t="s">
        <v>8</v>
      </c>
      <c r="D426" t="s">
        <v>9</v>
      </c>
      <c r="E426">
        <v>45979</v>
      </c>
      <c r="F426">
        <v>0.49097222222222198</v>
      </c>
      <c r="G426" t="s">
        <v>3268</v>
      </c>
      <c r="H426" t="s">
        <v>3269</v>
      </c>
      <c r="I426" t="s">
        <v>11</v>
      </c>
      <c r="J426" t="s">
        <v>36</v>
      </c>
      <c r="K426" t="s">
        <v>25</v>
      </c>
      <c r="N426" t="s">
        <v>25</v>
      </c>
      <c r="O426">
        <v>1</v>
      </c>
      <c r="P426" t="s">
        <v>3503</v>
      </c>
      <c r="Q426" t="s">
        <v>3737</v>
      </c>
      <c r="R426" t="s">
        <v>4234</v>
      </c>
      <c r="S426" t="s">
        <v>4235</v>
      </c>
      <c r="T426" t="s">
        <v>4232</v>
      </c>
      <c r="U426" t="s">
        <v>10</v>
      </c>
      <c r="V426" t="s">
        <v>3741</v>
      </c>
      <c r="W426" t="s">
        <v>4233</v>
      </c>
    </row>
    <row r="427" spans="1:23">
      <c r="A427">
        <v>549</v>
      </c>
      <c r="B427" t="s">
        <v>32</v>
      </c>
      <c r="C427" t="s">
        <v>33</v>
      </c>
      <c r="D427" t="s">
        <v>9</v>
      </c>
      <c r="E427">
        <v>45979</v>
      </c>
      <c r="F427">
        <v>0.375</v>
      </c>
      <c r="G427" t="s">
        <v>2796</v>
      </c>
      <c r="H427" t="s">
        <v>2797</v>
      </c>
      <c r="I427" t="s">
        <v>11</v>
      </c>
      <c r="J427" t="s">
        <v>24</v>
      </c>
      <c r="K427" t="s">
        <v>19</v>
      </c>
      <c r="L427" t="s">
        <v>13</v>
      </c>
      <c r="M427" t="s">
        <v>25</v>
      </c>
      <c r="N427" t="s">
        <v>4236</v>
      </c>
      <c r="O427">
        <v>1</v>
      </c>
      <c r="P427" t="s">
        <v>3503</v>
      </c>
      <c r="Q427" t="s">
        <v>3737</v>
      </c>
      <c r="R427" t="s">
        <v>4237</v>
      </c>
      <c r="S427" t="s">
        <v>4238</v>
      </c>
      <c r="T427" t="s">
        <v>4232</v>
      </c>
      <c r="U427" t="s">
        <v>34</v>
      </c>
      <c r="V427" t="s">
        <v>3741</v>
      </c>
      <c r="W427" t="s">
        <v>4239</v>
      </c>
    </row>
    <row r="428" spans="1:23">
      <c r="A428">
        <v>550</v>
      </c>
      <c r="B428" t="s">
        <v>32</v>
      </c>
      <c r="C428" t="s">
        <v>33</v>
      </c>
      <c r="D428" t="s">
        <v>9</v>
      </c>
      <c r="E428">
        <v>45979</v>
      </c>
      <c r="F428">
        <v>0.375</v>
      </c>
      <c r="G428" t="s">
        <v>2796</v>
      </c>
      <c r="H428" t="s">
        <v>2797</v>
      </c>
      <c r="I428" t="s">
        <v>23</v>
      </c>
      <c r="J428" t="s">
        <v>24</v>
      </c>
      <c r="K428" t="s">
        <v>44</v>
      </c>
      <c r="L428" t="s">
        <v>41</v>
      </c>
      <c r="M428" t="s">
        <v>45</v>
      </c>
      <c r="N428" t="s">
        <v>4240</v>
      </c>
      <c r="O428">
        <v>1</v>
      </c>
      <c r="P428" t="s">
        <v>3503</v>
      </c>
      <c r="Q428" t="s">
        <v>3737</v>
      </c>
      <c r="R428" t="s">
        <v>4237</v>
      </c>
      <c r="S428" t="s">
        <v>4241</v>
      </c>
      <c r="T428" t="s">
        <v>4232</v>
      </c>
      <c r="U428" t="s">
        <v>34</v>
      </c>
      <c r="V428" t="s">
        <v>3741</v>
      </c>
      <c r="W428" t="s">
        <v>4242</v>
      </c>
    </row>
    <row r="429" spans="1:23">
      <c r="A429">
        <v>551</v>
      </c>
      <c r="B429" t="s">
        <v>7</v>
      </c>
      <c r="C429" t="s">
        <v>8</v>
      </c>
      <c r="D429" t="s">
        <v>9</v>
      </c>
      <c r="E429">
        <v>45979</v>
      </c>
      <c r="F429">
        <v>0.375</v>
      </c>
      <c r="G429" t="s">
        <v>2796</v>
      </c>
      <c r="H429" t="s">
        <v>2797</v>
      </c>
      <c r="I429" t="s">
        <v>29</v>
      </c>
      <c r="J429" t="s">
        <v>24</v>
      </c>
      <c r="K429" t="s">
        <v>46</v>
      </c>
      <c r="L429" t="s">
        <v>47</v>
      </c>
      <c r="N429" t="s">
        <v>3521</v>
      </c>
      <c r="O429">
        <v>1</v>
      </c>
      <c r="P429" t="s">
        <v>3503</v>
      </c>
      <c r="Q429" t="s">
        <v>3737</v>
      </c>
      <c r="R429" t="s">
        <v>4237</v>
      </c>
      <c r="S429" t="s">
        <v>4243</v>
      </c>
      <c r="T429" t="s">
        <v>4232</v>
      </c>
      <c r="U429" t="s">
        <v>10</v>
      </c>
      <c r="V429" t="s">
        <v>3741</v>
      </c>
      <c r="W429" t="s">
        <v>4244</v>
      </c>
    </row>
    <row r="430" spans="1:23">
      <c r="A430">
        <v>552</v>
      </c>
      <c r="B430" t="s">
        <v>7</v>
      </c>
      <c r="C430" t="s">
        <v>8</v>
      </c>
      <c r="D430" t="s">
        <v>9</v>
      </c>
      <c r="E430">
        <v>45967</v>
      </c>
      <c r="F430">
        <v>0.45833333333333298</v>
      </c>
      <c r="G430" t="s">
        <v>318</v>
      </c>
      <c r="H430" t="s">
        <v>319</v>
      </c>
      <c r="I430" t="s">
        <v>17</v>
      </c>
      <c r="J430" t="s">
        <v>12</v>
      </c>
      <c r="K430" t="s">
        <v>49</v>
      </c>
      <c r="N430" t="s">
        <v>49</v>
      </c>
      <c r="O430">
        <v>1</v>
      </c>
      <c r="P430" t="s">
        <v>3503</v>
      </c>
      <c r="Q430" t="s">
        <v>3737</v>
      </c>
      <c r="R430" t="s">
        <v>4245</v>
      </c>
      <c r="S430" t="s">
        <v>4246</v>
      </c>
      <c r="T430" t="s">
        <v>4222</v>
      </c>
      <c r="U430" t="s">
        <v>10</v>
      </c>
      <c r="V430" t="s">
        <v>3741</v>
      </c>
      <c r="W430" t="s">
        <v>4247</v>
      </c>
    </row>
    <row r="431" spans="1:23">
      <c r="A431">
        <v>553</v>
      </c>
      <c r="B431" t="s">
        <v>32</v>
      </c>
      <c r="C431" t="s">
        <v>33</v>
      </c>
      <c r="D431" t="s">
        <v>9</v>
      </c>
      <c r="E431">
        <v>45979</v>
      </c>
      <c r="F431">
        <v>0.375</v>
      </c>
      <c r="G431" t="s">
        <v>1894</v>
      </c>
      <c r="H431" t="s">
        <v>1895</v>
      </c>
      <c r="I431" t="s">
        <v>11</v>
      </c>
      <c r="J431" t="s">
        <v>24</v>
      </c>
      <c r="K431" t="s">
        <v>19</v>
      </c>
      <c r="L431" t="s">
        <v>13</v>
      </c>
      <c r="M431" t="s">
        <v>25</v>
      </c>
      <c r="N431" t="s">
        <v>4236</v>
      </c>
      <c r="O431">
        <v>1</v>
      </c>
      <c r="P431" t="s">
        <v>3503</v>
      </c>
      <c r="Q431" t="s">
        <v>3737</v>
      </c>
      <c r="R431" t="s">
        <v>4237</v>
      </c>
      <c r="S431" t="s">
        <v>4248</v>
      </c>
      <c r="T431" t="s">
        <v>4232</v>
      </c>
      <c r="U431" t="s">
        <v>34</v>
      </c>
      <c r="V431" t="s">
        <v>3741</v>
      </c>
      <c r="W431" t="s">
        <v>4249</v>
      </c>
    </row>
    <row r="432" spans="1:23">
      <c r="A432">
        <v>554</v>
      </c>
      <c r="B432" t="s">
        <v>32</v>
      </c>
      <c r="C432" t="s">
        <v>33</v>
      </c>
      <c r="D432" t="s">
        <v>9</v>
      </c>
      <c r="E432">
        <v>45979</v>
      </c>
      <c r="F432">
        <v>0.375</v>
      </c>
      <c r="G432" t="s">
        <v>1894</v>
      </c>
      <c r="H432" t="s">
        <v>1895</v>
      </c>
      <c r="I432" t="s">
        <v>23</v>
      </c>
      <c r="J432" t="s">
        <v>24</v>
      </c>
      <c r="K432" t="s">
        <v>41</v>
      </c>
      <c r="L432" t="s">
        <v>45</v>
      </c>
      <c r="M432" t="s">
        <v>44</v>
      </c>
      <c r="N432" t="s">
        <v>3520</v>
      </c>
      <c r="O432">
        <v>1</v>
      </c>
      <c r="P432" t="s">
        <v>3503</v>
      </c>
      <c r="Q432" t="s">
        <v>3737</v>
      </c>
      <c r="R432" t="s">
        <v>4237</v>
      </c>
      <c r="S432" t="s">
        <v>4250</v>
      </c>
      <c r="T432" t="s">
        <v>4232</v>
      </c>
      <c r="U432" t="s">
        <v>34</v>
      </c>
      <c r="V432" t="s">
        <v>3741</v>
      </c>
      <c r="W432" t="s">
        <v>4251</v>
      </c>
    </row>
    <row r="433" spans="1:23">
      <c r="A433">
        <v>555</v>
      </c>
      <c r="B433" t="s">
        <v>7</v>
      </c>
      <c r="C433" t="s">
        <v>8</v>
      </c>
      <c r="D433" t="s">
        <v>9</v>
      </c>
      <c r="E433">
        <v>45979</v>
      </c>
      <c r="F433">
        <v>0.375</v>
      </c>
      <c r="G433" t="s">
        <v>1894</v>
      </c>
      <c r="H433" t="s">
        <v>1895</v>
      </c>
      <c r="I433" t="s">
        <v>29</v>
      </c>
      <c r="J433" t="s">
        <v>24</v>
      </c>
      <c r="K433" t="s">
        <v>46</v>
      </c>
      <c r="L433" t="s">
        <v>47</v>
      </c>
      <c r="N433" t="s">
        <v>3521</v>
      </c>
      <c r="O433">
        <v>1</v>
      </c>
      <c r="P433" t="s">
        <v>3503</v>
      </c>
      <c r="Q433" t="s">
        <v>3737</v>
      </c>
      <c r="R433" t="s">
        <v>4237</v>
      </c>
      <c r="S433" t="s">
        <v>4252</v>
      </c>
      <c r="T433" t="s">
        <v>4232</v>
      </c>
      <c r="U433" t="s">
        <v>10</v>
      </c>
      <c r="V433" t="s">
        <v>3741</v>
      </c>
      <c r="W433" t="s">
        <v>4253</v>
      </c>
    </row>
    <row r="434" spans="1:23">
      <c r="A434">
        <v>556</v>
      </c>
      <c r="B434" t="s">
        <v>32</v>
      </c>
      <c r="C434" t="s">
        <v>33</v>
      </c>
      <c r="D434" t="s">
        <v>9</v>
      </c>
      <c r="E434">
        <v>45979</v>
      </c>
      <c r="F434">
        <v>0.375</v>
      </c>
      <c r="G434" t="s">
        <v>181</v>
      </c>
      <c r="H434" t="s">
        <v>182</v>
      </c>
      <c r="I434" t="s">
        <v>11</v>
      </c>
      <c r="J434" t="s">
        <v>24</v>
      </c>
      <c r="K434" t="s">
        <v>19</v>
      </c>
      <c r="L434" t="s">
        <v>13</v>
      </c>
      <c r="M434" t="s">
        <v>25</v>
      </c>
      <c r="N434" t="s">
        <v>4236</v>
      </c>
      <c r="O434">
        <v>1</v>
      </c>
      <c r="P434" t="s">
        <v>3503</v>
      </c>
      <c r="Q434" t="s">
        <v>3737</v>
      </c>
      <c r="R434" t="s">
        <v>4237</v>
      </c>
      <c r="S434" t="s">
        <v>4254</v>
      </c>
      <c r="T434" t="s">
        <v>4232</v>
      </c>
      <c r="U434" t="s">
        <v>34</v>
      </c>
      <c r="V434" t="s">
        <v>3741</v>
      </c>
      <c r="W434" t="s">
        <v>4255</v>
      </c>
    </row>
    <row r="435" spans="1:23">
      <c r="A435">
        <v>557</v>
      </c>
      <c r="B435" t="s">
        <v>32</v>
      </c>
      <c r="C435" t="s">
        <v>33</v>
      </c>
      <c r="D435" t="s">
        <v>9</v>
      </c>
      <c r="E435">
        <v>45979</v>
      </c>
      <c r="F435">
        <v>0.375</v>
      </c>
      <c r="G435" t="s">
        <v>181</v>
      </c>
      <c r="H435" t="s">
        <v>182</v>
      </c>
      <c r="I435" t="s">
        <v>23</v>
      </c>
      <c r="J435" t="s">
        <v>24</v>
      </c>
      <c r="K435" t="s">
        <v>41</v>
      </c>
      <c r="L435" t="s">
        <v>45</v>
      </c>
      <c r="M435" t="s">
        <v>44</v>
      </c>
      <c r="N435" t="s">
        <v>3520</v>
      </c>
      <c r="O435">
        <v>1</v>
      </c>
      <c r="P435" t="s">
        <v>3503</v>
      </c>
      <c r="Q435" t="s">
        <v>3737</v>
      </c>
      <c r="R435" t="s">
        <v>4237</v>
      </c>
      <c r="S435" t="s">
        <v>4256</v>
      </c>
      <c r="T435" t="s">
        <v>4232</v>
      </c>
      <c r="U435" t="s">
        <v>34</v>
      </c>
      <c r="V435" t="s">
        <v>3741</v>
      </c>
      <c r="W435" t="s">
        <v>4257</v>
      </c>
    </row>
    <row r="436" spans="1:23">
      <c r="A436">
        <v>558</v>
      </c>
      <c r="B436" t="s">
        <v>7</v>
      </c>
      <c r="C436" t="s">
        <v>8</v>
      </c>
      <c r="D436" t="s">
        <v>9</v>
      </c>
      <c r="E436">
        <v>45979</v>
      </c>
      <c r="F436">
        <v>0.375</v>
      </c>
      <c r="G436" t="s">
        <v>181</v>
      </c>
      <c r="H436" t="s">
        <v>182</v>
      </c>
      <c r="I436" t="s">
        <v>29</v>
      </c>
      <c r="J436" t="s">
        <v>24</v>
      </c>
      <c r="K436" t="s">
        <v>46</v>
      </c>
      <c r="L436" t="s">
        <v>47</v>
      </c>
      <c r="N436" t="s">
        <v>3521</v>
      </c>
      <c r="O436">
        <v>1</v>
      </c>
      <c r="P436" t="s">
        <v>3503</v>
      </c>
      <c r="Q436" t="s">
        <v>3737</v>
      </c>
      <c r="R436" t="s">
        <v>4237</v>
      </c>
      <c r="S436" t="s">
        <v>4258</v>
      </c>
      <c r="T436" t="s">
        <v>4232</v>
      </c>
      <c r="U436" t="s">
        <v>10</v>
      </c>
      <c r="V436" t="s">
        <v>3741</v>
      </c>
      <c r="W436" t="s">
        <v>4259</v>
      </c>
    </row>
    <row r="437" spans="1:23">
      <c r="A437">
        <v>559</v>
      </c>
      <c r="B437" t="s">
        <v>32</v>
      </c>
      <c r="C437" t="s">
        <v>33</v>
      </c>
      <c r="D437" t="s">
        <v>9</v>
      </c>
      <c r="E437">
        <v>45979</v>
      </c>
      <c r="F437">
        <v>0.375</v>
      </c>
      <c r="G437" t="s">
        <v>3210</v>
      </c>
      <c r="H437" t="s">
        <v>3211</v>
      </c>
      <c r="I437" t="s">
        <v>11</v>
      </c>
      <c r="J437" t="s">
        <v>24</v>
      </c>
      <c r="K437" t="s">
        <v>19</v>
      </c>
      <c r="L437" t="s">
        <v>13</v>
      </c>
      <c r="M437" t="s">
        <v>25</v>
      </c>
      <c r="N437" t="s">
        <v>4236</v>
      </c>
      <c r="O437">
        <v>1</v>
      </c>
      <c r="P437" t="s">
        <v>3503</v>
      </c>
      <c r="Q437" t="s">
        <v>3737</v>
      </c>
      <c r="R437" t="s">
        <v>4237</v>
      </c>
      <c r="S437" t="s">
        <v>4260</v>
      </c>
      <c r="T437" t="s">
        <v>4232</v>
      </c>
      <c r="U437" t="s">
        <v>34</v>
      </c>
      <c r="V437" t="s">
        <v>3741</v>
      </c>
      <c r="W437" t="s">
        <v>4261</v>
      </c>
    </row>
    <row r="438" spans="1:23">
      <c r="A438">
        <v>560</v>
      </c>
      <c r="B438" t="s">
        <v>32</v>
      </c>
      <c r="C438" t="s">
        <v>33</v>
      </c>
      <c r="D438" t="s">
        <v>9</v>
      </c>
      <c r="E438">
        <v>45979</v>
      </c>
      <c r="F438">
        <v>0.375</v>
      </c>
      <c r="G438" t="s">
        <v>3210</v>
      </c>
      <c r="H438" t="s">
        <v>3211</v>
      </c>
      <c r="I438" t="s">
        <v>23</v>
      </c>
      <c r="J438" t="s">
        <v>24</v>
      </c>
      <c r="K438" t="s">
        <v>41</v>
      </c>
      <c r="L438" t="s">
        <v>45</v>
      </c>
      <c r="M438" t="s">
        <v>44</v>
      </c>
      <c r="N438" t="s">
        <v>3520</v>
      </c>
      <c r="O438">
        <v>1</v>
      </c>
      <c r="P438" t="s">
        <v>3503</v>
      </c>
      <c r="Q438" t="s">
        <v>3737</v>
      </c>
      <c r="R438" t="s">
        <v>4237</v>
      </c>
      <c r="S438" t="s">
        <v>4262</v>
      </c>
      <c r="T438" t="s">
        <v>4232</v>
      </c>
      <c r="U438" t="s">
        <v>34</v>
      </c>
      <c r="V438" t="s">
        <v>3741</v>
      </c>
      <c r="W438" t="s">
        <v>4263</v>
      </c>
    </row>
    <row r="439" spans="1:23">
      <c r="A439">
        <v>561</v>
      </c>
      <c r="B439" t="s">
        <v>7</v>
      </c>
      <c r="C439" t="s">
        <v>8</v>
      </c>
      <c r="D439" t="s">
        <v>9</v>
      </c>
      <c r="E439">
        <v>45979</v>
      </c>
      <c r="F439">
        <v>0.375</v>
      </c>
      <c r="G439" t="s">
        <v>3210</v>
      </c>
      <c r="H439" t="s">
        <v>3211</v>
      </c>
      <c r="I439" t="s">
        <v>29</v>
      </c>
      <c r="J439" t="s">
        <v>24</v>
      </c>
      <c r="K439" t="s">
        <v>46</v>
      </c>
      <c r="L439" t="s">
        <v>47</v>
      </c>
      <c r="N439" t="s">
        <v>3521</v>
      </c>
      <c r="O439">
        <v>1</v>
      </c>
      <c r="P439" t="s">
        <v>3503</v>
      </c>
      <c r="Q439" t="s">
        <v>3737</v>
      </c>
      <c r="R439" t="s">
        <v>4237</v>
      </c>
      <c r="S439" t="s">
        <v>4264</v>
      </c>
      <c r="T439" t="s">
        <v>4232</v>
      </c>
      <c r="U439" t="s">
        <v>10</v>
      </c>
      <c r="V439" t="s">
        <v>3741</v>
      </c>
      <c r="W439" t="s">
        <v>4265</v>
      </c>
    </row>
    <row r="440" spans="1:23">
      <c r="A440">
        <v>562</v>
      </c>
      <c r="B440" t="s">
        <v>32</v>
      </c>
      <c r="C440" t="s">
        <v>33</v>
      </c>
      <c r="D440" t="s">
        <v>9</v>
      </c>
      <c r="E440">
        <v>45979</v>
      </c>
      <c r="F440">
        <v>0.375</v>
      </c>
      <c r="G440" t="s">
        <v>2567</v>
      </c>
      <c r="H440" t="s">
        <v>2568</v>
      </c>
      <c r="I440" t="s">
        <v>11</v>
      </c>
      <c r="J440" t="s">
        <v>18</v>
      </c>
      <c r="K440" t="s">
        <v>19</v>
      </c>
      <c r="L440" t="s">
        <v>13</v>
      </c>
      <c r="M440" t="s">
        <v>25</v>
      </c>
      <c r="N440" t="s">
        <v>4236</v>
      </c>
      <c r="O440">
        <v>1</v>
      </c>
      <c r="P440" t="s">
        <v>3503</v>
      </c>
      <c r="Q440" t="s">
        <v>3737</v>
      </c>
      <c r="R440" t="s">
        <v>4237</v>
      </c>
      <c r="S440" t="s">
        <v>4266</v>
      </c>
      <c r="T440" t="s">
        <v>4232</v>
      </c>
      <c r="U440" t="s">
        <v>34</v>
      </c>
      <c r="V440" t="s">
        <v>3741</v>
      </c>
      <c r="W440" t="s">
        <v>4267</v>
      </c>
    </row>
    <row r="441" spans="1:23">
      <c r="A441">
        <v>563</v>
      </c>
      <c r="B441" t="s">
        <v>32</v>
      </c>
      <c r="C441" t="s">
        <v>33</v>
      </c>
      <c r="D441" t="s">
        <v>9</v>
      </c>
      <c r="E441">
        <v>45979</v>
      </c>
      <c r="F441">
        <v>0.375</v>
      </c>
      <c r="G441" t="s">
        <v>2567</v>
      </c>
      <c r="H441" t="s">
        <v>2568</v>
      </c>
      <c r="I441" t="s">
        <v>23</v>
      </c>
      <c r="J441" t="s">
        <v>18</v>
      </c>
      <c r="K441" t="s">
        <v>41</v>
      </c>
      <c r="L441" t="s">
        <v>45</v>
      </c>
      <c r="M441" t="s">
        <v>44</v>
      </c>
      <c r="N441" t="s">
        <v>3520</v>
      </c>
      <c r="O441">
        <v>1</v>
      </c>
      <c r="P441" t="s">
        <v>3503</v>
      </c>
      <c r="Q441" t="s">
        <v>3737</v>
      </c>
      <c r="R441" t="s">
        <v>4237</v>
      </c>
      <c r="S441" t="s">
        <v>4268</v>
      </c>
      <c r="T441" t="s">
        <v>4232</v>
      </c>
      <c r="U441" t="s">
        <v>34</v>
      </c>
      <c r="V441" t="s">
        <v>3741</v>
      </c>
      <c r="W441" t="s">
        <v>4269</v>
      </c>
    </row>
    <row r="442" spans="1:23">
      <c r="A442">
        <v>564</v>
      </c>
      <c r="B442" t="s">
        <v>7</v>
      </c>
      <c r="C442" t="s">
        <v>8</v>
      </c>
      <c r="D442" t="s">
        <v>9</v>
      </c>
      <c r="E442">
        <v>45979</v>
      </c>
      <c r="F442">
        <v>0.375</v>
      </c>
      <c r="G442" t="s">
        <v>2567</v>
      </c>
      <c r="H442" t="s">
        <v>2568</v>
      </c>
      <c r="I442" t="s">
        <v>29</v>
      </c>
      <c r="J442" t="s">
        <v>18</v>
      </c>
      <c r="K442" t="s">
        <v>46</v>
      </c>
      <c r="L442" t="s">
        <v>47</v>
      </c>
      <c r="N442" t="s">
        <v>3521</v>
      </c>
      <c r="O442">
        <v>1</v>
      </c>
      <c r="P442" t="s">
        <v>3503</v>
      </c>
      <c r="Q442" t="s">
        <v>3737</v>
      </c>
      <c r="R442" t="s">
        <v>4237</v>
      </c>
      <c r="S442" t="s">
        <v>4270</v>
      </c>
      <c r="T442" t="s">
        <v>4232</v>
      </c>
      <c r="U442" t="s">
        <v>10</v>
      </c>
      <c r="V442" t="s">
        <v>3741</v>
      </c>
      <c r="W442" t="s">
        <v>4271</v>
      </c>
    </row>
    <row r="443" spans="1:23">
      <c r="A443">
        <v>565</v>
      </c>
      <c r="B443" t="s">
        <v>7</v>
      </c>
      <c r="C443" t="s">
        <v>8</v>
      </c>
      <c r="D443" t="s">
        <v>9</v>
      </c>
      <c r="E443">
        <v>45967</v>
      </c>
      <c r="F443">
        <v>0.75</v>
      </c>
      <c r="G443" t="s">
        <v>3156</v>
      </c>
      <c r="H443" t="s">
        <v>3157</v>
      </c>
      <c r="I443" t="s">
        <v>11</v>
      </c>
      <c r="J443" t="s">
        <v>36</v>
      </c>
      <c r="K443" t="s">
        <v>25</v>
      </c>
      <c r="N443" t="s">
        <v>25</v>
      </c>
      <c r="O443">
        <v>1</v>
      </c>
      <c r="P443" t="s">
        <v>3503</v>
      </c>
      <c r="Q443" t="s">
        <v>3737</v>
      </c>
      <c r="R443" t="s">
        <v>4272</v>
      </c>
      <c r="S443" t="s">
        <v>4273</v>
      </c>
      <c r="T443" t="s">
        <v>4222</v>
      </c>
      <c r="U443" t="s">
        <v>10</v>
      </c>
      <c r="V443" t="s">
        <v>3741</v>
      </c>
      <c r="W443" t="s">
        <v>4274</v>
      </c>
    </row>
    <row r="444" spans="1:23">
      <c r="A444">
        <v>566</v>
      </c>
      <c r="B444" t="s">
        <v>7</v>
      </c>
      <c r="C444" t="s">
        <v>8</v>
      </c>
      <c r="D444" t="s">
        <v>9</v>
      </c>
      <c r="E444">
        <v>45967</v>
      </c>
      <c r="F444">
        <v>0.750694444444444</v>
      </c>
      <c r="G444" t="s">
        <v>2213</v>
      </c>
      <c r="H444" t="s">
        <v>2214</v>
      </c>
      <c r="I444" t="s">
        <v>11</v>
      </c>
      <c r="J444" t="s">
        <v>36</v>
      </c>
      <c r="K444" t="s">
        <v>25</v>
      </c>
      <c r="N444" t="s">
        <v>25</v>
      </c>
      <c r="O444">
        <v>1</v>
      </c>
      <c r="P444" t="s">
        <v>3503</v>
      </c>
      <c r="Q444" t="s">
        <v>3737</v>
      </c>
      <c r="R444" t="s">
        <v>4275</v>
      </c>
      <c r="S444" t="s">
        <v>4276</v>
      </c>
      <c r="T444" t="s">
        <v>4222</v>
      </c>
      <c r="U444" t="s">
        <v>10</v>
      </c>
      <c r="V444" t="s">
        <v>3741</v>
      </c>
      <c r="W444" t="s">
        <v>4274</v>
      </c>
    </row>
    <row r="445" spans="1:23">
      <c r="A445">
        <v>567</v>
      </c>
      <c r="B445" t="s">
        <v>7</v>
      </c>
      <c r="C445" t="s">
        <v>8</v>
      </c>
      <c r="D445" t="s">
        <v>9</v>
      </c>
      <c r="E445">
        <v>45974</v>
      </c>
      <c r="F445">
        <v>0.75</v>
      </c>
      <c r="G445" t="s">
        <v>3453</v>
      </c>
      <c r="H445" t="s">
        <v>3454</v>
      </c>
      <c r="I445" t="s">
        <v>11</v>
      </c>
      <c r="J445" t="s">
        <v>36</v>
      </c>
      <c r="K445" t="s">
        <v>25</v>
      </c>
      <c r="N445" t="s">
        <v>25</v>
      </c>
      <c r="O445">
        <v>1</v>
      </c>
      <c r="P445" t="s">
        <v>3503</v>
      </c>
      <c r="Q445" t="s">
        <v>3737</v>
      </c>
      <c r="R445" t="s">
        <v>4277</v>
      </c>
      <c r="S445" t="s">
        <v>4278</v>
      </c>
      <c r="T445" t="s">
        <v>4279</v>
      </c>
      <c r="U445" t="s">
        <v>10</v>
      </c>
      <c r="V445" t="s">
        <v>3741</v>
      </c>
      <c r="W445" t="s">
        <v>4274</v>
      </c>
    </row>
    <row r="446" spans="1:23">
      <c r="A446">
        <v>568</v>
      </c>
      <c r="B446" t="s">
        <v>7</v>
      </c>
      <c r="C446" t="s">
        <v>8</v>
      </c>
      <c r="D446" t="s">
        <v>9</v>
      </c>
      <c r="E446">
        <v>45974</v>
      </c>
      <c r="F446">
        <v>0.75138888888888899</v>
      </c>
      <c r="G446" t="s">
        <v>2382</v>
      </c>
      <c r="H446" t="s">
        <v>2383</v>
      </c>
      <c r="I446" t="s">
        <v>11</v>
      </c>
      <c r="J446" t="s">
        <v>36</v>
      </c>
      <c r="K446" t="s">
        <v>25</v>
      </c>
      <c r="N446" t="s">
        <v>25</v>
      </c>
      <c r="O446">
        <v>1</v>
      </c>
      <c r="P446" t="s">
        <v>3503</v>
      </c>
      <c r="Q446" t="s">
        <v>3737</v>
      </c>
      <c r="R446" t="s">
        <v>4280</v>
      </c>
      <c r="S446" t="s">
        <v>4281</v>
      </c>
      <c r="T446" t="s">
        <v>4279</v>
      </c>
      <c r="U446" t="s">
        <v>10</v>
      </c>
      <c r="V446" t="s">
        <v>3741</v>
      </c>
      <c r="W446" t="s">
        <v>4274</v>
      </c>
    </row>
    <row r="447" spans="1:23">
      <c r="A447">
        <v>569</v>
      </c>
      <c r="B447" t="s">
        <v>7</v>
      </c>
      <c r="C447" t="s">
        <v>8</v>
      </c>
      <c r="D447" t="s">
        <v>9</v>
      </c>
      <c r="E447">
        <v>45974</v>
      </c>
      <c r="F447">
        <v>0.77083333333333304</v>
      </c>
      <c r="G447" t="s">
        <v>2368</v>
      </c>
      <c r="H447" t="s">
        <v>2369</v>
      </c>
      <c r="I447" t="s">
        <v>11</v>
      </c>
      <c r="J447" t="s">
        <v>36</v>
      </c>
      <c r="K447" t="s">
        <v>25</v>
      </c>
      <c r="N447" t="s">
        <v>25</v>
      </c>
      <c r="O447">
        <v>1</v>
      </c>
      <c r="P447" t="s">
        <v>3503</v>
      </c>
      <c r="Q447" t="s">
        <v>3737</v>
      </c>
      <c r="R447" t="s">
        <v>4282</v>
      </c>
      <c r="S447" t="s">
        <v>4283</v>
      </c>
      <c r="T447" t="s">
        <v>4279</v>
      </c>
      <c r="U447" t="s">
        <v>10</v>
      </c>
      <c r="V447" t="s">
        <v>3741</v>
      </c>
      <c r="W447" t="s">
        <v>4274</v>
      </c>
    </row>
    <row r="448" spans="1:23">
      <c r="A448">
        <v>570</v>
      </c>
      <c r="B448" t="s">
        <v>7</v>
      </c>
      <c r="C448" t="s">
        <v>8</v>
      </c>
      <c r="D448" t="s">
        <v>9</v>
      </c>
      <c r="E448">
        <v>45978</v>
      </c>
      <c r="F448">
        <v>0.5</v>
      </c>
      <c r="G448" t="s">
        <v>695</v>
      </c>
      <c r="H448" t="s">
        <v>696</v>
      </c>
      <c r="I448" t="s">
        <v>11</v>
      </c>
      <c r="J448" t="s">
        <v>12</v>
      </c>
      <c r="K448" t="s">
        <v>13</v>
      </c>
      <c r="L448" t="s">
        <v>37</v>
      </c>
      <c r="M448" t="s">
        <v>25</v>
      </c>
      <c r="N448" t="s">
        <v>3644</v>
      </c>
      <c r="O448">
        <v>1</v>
      </c>
      <c r="P448" t="s">
        <v>3503</v>
      </c>
      <c r="Q448" t="s">
        <v>3737</v>
      </c>
      <c r="R448" t="s">
        <v>4284</v>
      </c>
      <c r="S448" t="s">
        <v>4285</v>
      </c>
      <c r="T448" t="s">
        <v>4286</v>
      </c>
      <c r="U448" t="s">
        <v>10</v>
      </c>
      <c r="V448" t="s">
        <v>3741</v>
      </c>
      <c r="W448" t="s">
        <v>4274</v>
      </c>
    </row>
    <row r="449" spans="1:23">
      <c r="A449">
        <v>571</v>
      </c>
      <c r="B449" t="s">
        <v>7</v>
      </c>
      <c r="C449" t="s">
        <v>8</v>
      </c>
      <c r="D449" t="s">
        <v>9</v>
      </c>
      <c r="E449">
        <v>45978</v>
      </c>
      <c r="F449">
        <v>0.52083333333333304</v>
      </c>
      <c r="G449" t="s">
        <v>1359</v>
      </c>
      <c r="H449" t="s">
        <v>1360</v>
      </c>
      <c r="I449" t="s">
        <v>11</v>
      </c>
      <c r="J449" t="s">
        <v>12</v>
      </c>
      <c r="K449" t="s">
        <v>13</v>
      </c>
      <c r="L449" t="s">
        <v>37</v>
      </c>
      <c r="M449" t="s">
        <v>25</v>
      </c>
      <c r="N449" t="s">
        <v>3644</v>
      </c>
      <c r="O449">
        <v>1</v>
      </c>
      <c r="P449" t="s">
        <v>3503</v>
      </c>
      <c r="Q449" t="s">
        <v>3737</v>
      </c>
      <c r="R449" t="s">
        <v>4287</v>
      </c>
      <c r="S449" t="s">
        <v>4288</v>
      </c>
      <c r="T449" t="s">
        <v>4286</v>
      </c>
      <c r="U449" t="s">
        <v>10</v>
      </c>
      <c r="V449" t="s">
        <v>3741</v>
      </c>
      <c r="W449" t="s">
        <v>4274</v>
      </c>
    </row>
    <row r="450" spans="1:23">
      <c r="A450">
        <v>572</v>
      </c>
      <c r="B450" t="s">
        <v>7</v>
      </c>
      <c r="C450" t="s">
        <v>8</v>
      </c>
      <c r="D450" t="s">
        <v>9</v>
      </c>
      <c r="E450">
        <v>45979</v>
      </c>
      <c r="F450">
        <v>0.625</v>
      </c>
      <c r="G450" t="s">
        <v>695</v>
      </c>
      <c r="H450" t="s">
        <v>696</v>
      </c>
      <c r="I450" t="s">
        <v>23</v>
      </c>
      <c r="J450" t="s">
        <v>12</v>
      </c>
      <c r="K450" t="s">
        <v>41</v>
      </c>
      <c r="N450" t="s">
        <v>41</v>
      </c>
      <c r="O450">
        <v>1</v>
      </c>
      <c r="P450" t="s">
        <v>3503</v>
      </c>
      <c r="Q450" t="s">
        <v>3737</v>
      </c>
      <c r="R450" t="s">
        <v>4289</v>
      </c>
      <c r="S450" t="s">
        <v>4290</v>
      </c>
      <c r="T450" t="s">
        <v>4232</v>
      </c>
      <c r="U450" t="s">
        <v>10</v>
      </c>
      <c r="V450" t="s">
        <v>3741</v>
      </c>
      <c r="W450" t="s">
        <v>4274</v>
      </c>
    </row>
    <row r="451" spans="1:23">
      <c r="A451">
        <v>573</v>
      </c>
      <c r="B451" t="s">
        <v>7</v>
      </c>
      <c r="C451" t="s">
        <v>8</v>
      </c>
      <c r="D451" t="s">
        <v>9</v>
      </c>
      <c r="E451">
        <v>45979</v>
      </c>
      <c r="F451">
        <v>0.61805555555555602</v>
      </c>
      <c r="G451" t="s">
        <v>1359</v>
      </c>
      <c r="H451" t="s">
        <v>1360</v>
      </c>
      <c r="I451" t="s">
        <v>23</v>
      </c>
      <c r="J451" t="s">
        <v>12</v>
      </c>
      <c r="K451" t="s">
        <v>41</v>
      </c>
      <c r="N451" t="s">
        <v>41</v>
      </c>
      <c r="O451">
        <v>1</v>
      </c>
      <c r="P451" t="s">
        <v>3503</v>
      </c>
      <c r="Q451" t="s">
        <v>3737</v>
      </c>
      <c r="R451" t="s">
        <v>4291</v>
      </c>
      <c r="S451" t="s">
        <v>4292</v>
      </c>
      <c r="T451" t="s">
        <v>4232</v>
      </c>
      <c r="U451" t="s">
        <v>10</v>
      </c>
      <c r="V451" t="s">
        <v>3741</v>
      </c>
      <c r="W451" t="s">
        <v>4274</v>
      </c>
    </row>
    <row r="452" spans="1:23">
      <c r="A452">
        <v>574</v>
      </c>
      <c r="B452" t="s">
        <v>7</v>
      </c>
      <c r="C452" t="s">
        <v>8</v>
      </c>
      <c r="D452" t="s">
        <v>9</v>
      </c>
      <c r="E452">
        <v>45967</v>
      </c>
      <c r="F452">
        <v>0.70833333333333304</v>
      </c>
      <c r="G452" t="s">
        <v>3156</v>
      </c>
      <c r="H452" t="s">
        <v>3157</v>
      </c>
      <c r="I452" t="s">
        <v>38</v>
      </c>
      <c r="J452" t="s">
        <v>36</v>
      </c>
      <c r="K452" t="s">
        <v>48</v>
      </c>
      <c r="N452" t="s">
        <v>48</v>
      </c>
      <c r="O452">
        <v>1</v>
      </c>
      <c r="P452" t="s">
        <v>3503</v>
      </c>
      <c r="Q452" t="s">
        <v>3737</v>
      </c>
      <c r="R452" t="s">
        <v>4293</v>
      </c>
      <c r="S452" t="s">
        <v>4294</v>
      </c>
      <c r="T452" t="s">
        <v>4222</v>
      </c>
      <c r="U452" t="s">
        <v>10</v>
      </c>
      <c r="V452" t="s">
        <v>3741</v>
      </c>
      <c r="W452" t="s">
        <v>4274</v>
      </c>
    </row>
    <row r="453" spans="1:23">
      <c r="A453">
        <v>575</v>
      </c>
      <c r="B453" t="s">
        <v>7</v>
      </c>
      <c r="C453" t="s">
        <v>8</v>
      </c>
      <c r="D453" t="s">
        <v>9</v>
      </c>
      <c r="E453">
        <v>45967</v>
      </c>
      <c r="F453">
        <v>0.71180555555555602</v>
      </c>
      <c r="G453" t="s">
        <v>2213</v>
      </c>
      <c r="H453" t="s">
        <v>2214</v>
      </c>
      <c r="I453" t="s">
        <v>38</v>
      </c>
      <c r="J453" t="s">
        <v>36</v>
      </c>
      <c r="K453" t="s">
        <v>48</v>
      </c>
      <c r="N453" t="s">
        <v>48</v>
      </c>
      <c r="O453">
        <v>1</v>
      </c>
      <c r="P453" t="s">
        <v>3503</v>
      </c>
      <c r="Q453" t="s">
        <v>3737</v>
      </c>
      <c r="R453" t="s">
        <v>4295</v>
      </c>
      <c r="S453" t="s">
        <v>4296</v>
      </c>
      <c r="T453" t="s">
        <v>4222</v>
      </c>
      <c r="U453" t="s">
        <v>10</v>
      </c>
      <c r="V453" t="s">
        <v>3741</v>
      </c>
      <c r="W453" t="s">
        <v>4274</v>
      </c>
    </row>
    <row r="454" spans="1:23">
      <c r="A454">
        <v>576</v>
      </c>
      <c r="B454" t="s">
        <v>7</v>
      </c>
      <c r="C454" t="s">
        <v>8</v>
      </c>
      <c r="D454" t="s">
        <v>9</v>
      </c>
      <c r="E454">
        <v>45967</v>
      </c>
      <c r="F454">
        <v>0.75</v>
      </c>
      <c r="G454" t="s">
        <v>4297</v>
      </c>
      <c r="H454" t="s">
        <v>4298</v>
      </c>
      <c r="I454" t="s">
        <v>11</v>
      </c>
      <c r="J454" t="s">
        <v>12</v>
      </c>
      <c r="K454" t="s">
        <v>13</v>
      </c>
      <c r="L454" t="s">
        <v>25</v>
      </c>
      <c r="M454" t="s">
        <v>37</v>
      </c>
      <c r="N454" t="s">
        <v>3674</v>
      </c>
      <c r="O454">
        <v>1</v>
      </c>
      <c r="P454" t="s">
        <v>3503</v>
      </c>
      <c r="Q454" t="s">
        <v>3737</v>
      </c>
      <c r="R454" t="s">
        <v>4272</v>
      </c>
      <c r="S454" t="s">
        <v>4299</v>
      </c>
      <c r="T454" t="s">
        <v>4222</v>
      </c>
      <c r="U454" t="s">
        <v>10</v>
      </c>
      <c r="V454" t="s">
        <v>3741</v>
      </c>
      <c r="W454" t="s">
        <v>4300</v>
      </c>
    </row>
    <row r="455" spans="1:23">
      <c r="A455">
        <v>577</v>
      </c>
      <c r="B455" t="s">
        <v>7</v>
      </c>
      <c r="C455" t="s">
        <v>8</v>
      </c>
      <c r="D455" t="s">
        <v>9</v>
      </c>
      <c r="E455">
        <v>45967</v>
      </c>
      <c r="F455">
        <v>0.75347222222222199</v>
      </c>
      <c r="G455" t="s">
        <v>4297</v>
      </c>
      <c r="H455" t="s">
        <v>4298</v>
      </c>
      <c r="I455" t="s">
        <v>23</v>
      </c>
      <c r="J455" t="s">
        <v>12</v>
      </c>
      <c r="K455" t="s">
        <v>41</v>
      </c>
      <c r="N455" t="s">
        <v>41</v>
      </c>
      <c r="O455">
        <v>1</v>
      </c>
      <c r="P455" t="s">
        <v>3503</v>
      </c>
      <c r="Q455" t="s">
        <v>3737</v>
      </c>
      <c r="R455" t="s">
        <v>4301</v>
      </c>
      <c r="S455" t="s">
        <v>4302</v>
      </c>
      <c r="T455" t="s">
        <v>4222</v>
      </c>
      <c r="U455" t="s">
        <v>10</v>
      </c>
      <c r="V455" t="s">
        <v>3741</v>
      </c>
      <c r="W455" t="s">
        <v>4300</v>
      </c>
    </row>
    <row r="456" spans="1:23">
      <c r="A456">
        <v>578</v>
      </c>
      <c r="B456" t="s">
        <v>7</v>
      </c>
      <c r="C456" t="s">
        <v>8</v>
      </c>
      <c r="D456" t="s">
        <v>9</v>
      </c>
      <c r="E456">
        <v>45967</v>
      </c>
      <c r="F456">
        <v>0.74305555555555602</v>
      </c>
      <c r="G456" t="s">
        <v>1621</v>
      </c>
      <c r="H456" t="s">
        <v>1622</v>
      </c>
      <c r="I456" t="s">
        <v>11</v>
      </c>
      <c r="J456" t="s">
        <v>12</v>
      </c>
      <c r="K456" t="s">
        <v>13</v>
      </c>
      <c r="L456" t="s">
        <v>25</v>
      </c>
      <c r="M456" t="s">
        <v>37</v>
      </c>
      <c r="N456" t="s">
        <v>3674</v>
      </c>
      <c r="O456">
        <v>1</v>
      </c>
      <c r="P456" t="s">
        <v>3503</v>
      </c>
      <c r="Q456" t="s">
        <v>3737</v>
      </c>
      <c r="R456" t="s">
        <v>4303</v>
      </c>
      <c r="S456" t="s">
        <v>4304</v>
      </c>
      <c r="T456" t="s">
        <v>4222</v>
      </c>
      <c r="U456" t="s">
        <v>10</v>
      </c>
      <c r="V456" t="s">
        <v>3741</v>
      </c>
      <c r="W456" t="s">
        <v>4300</v>
      </c>
    </row>
    <row r="457" spans="1:23">
      <c r="A457">
        <v>579</v>
      </c>
      <c r="B457" t="s">
        <v>7</v>
      </c>
      <c r="C457" t="s">
        <v>8</v>
      </c>
      <c r="D457" t="s">
        <v>9</v>
      </c>
      <c r="E457">
        <v>45967</v>
      </c>
      <c r="F457">
        <v>0.75</v>
      </c>
      <c r="G457" t="s">
        <v>1621</v>
      </c>
      <c r="H457" t="s">
        <v>1622</v>
      </c>
      <c r="I457" t="s">
        <v>23</v>
      </c>
      <c r="J457" t="s">
        <v>12</v>
      </c>
      <c r="K457" t="s">
        <v>41</v>
      </c>
      <c r="N457" t="s">
        <v>41</v>
      </c>
      <c r="O457">
        <v>1</v>
      </c>
      <c r="P457" t="s">
        <v>3503</v>
      </c>
      <c r="Q457" t="s">
        <v>3737</v>
      </c>
      <c r="R457" t="s">
        <v>4272</v>
      </c>
      <c r="S457" t="s">
        <v>4305</v>
      </c>
      <c r="T457" t="s">
        <v>4222</v>
      </c>
      <c r="U457" t="s">
        <v>10</v>
      </c>
      <c r="V457" t="s">
        <v>3741</v>
      </c>
      <c r="W457" t="s">
        <v>4300</v>
      </c>
    </row>
    <row r="458" spans="1:23">
      <c r="A458">
        <v>580</v>
      </c>
      <c r="B458" t="s">
        <v>7</v>
      </c>
      <c r="C458" t="s">
        <v>8</v>
      </c>
      <c r="D458" t="s">
        <v>9</v>
      </c>
      <c r="E458">
        <v>45972</v>
      </c>
      <c r="F458">
        <v>0.70833333333333304</v>
      </c>
      <c r="G458" t="s">
        <v>2659</v>
      </c>
      <c r="H458" t="s">
        <v>2660</v>
      </c>
      <c r="I458" t="s">
        <v>11</v>
      </c>
      <c r="J458" t="s">
        <v>12</v>
      </c>
      <c r="K458" t="s">
        <v>13</v>
      </c>
      <c r="L458" t="s">
        <v>25</v>
      </c>
      <c r="M458" t="s">
        <v>37</v>
      </c>
      <c r="N458" t="s">
        <v>3674</v>
      </c>
      <c r="O458">
        <v>1</v>
      </c>
      <c r="P458" t="s">
        <v>3503</v>
      </c>
      <c r="Q458" t="s">
        <v>3737</v>
      </c>
      <c r="R458" t="s">
        <v>4306</v>
      </c>
      <c r="S458" t="s">
        <v>4307</v>
      </c>
      <c r="T458" t="s">
        <v>4308</v>
      </c>
      <c r="U458" t="s">
        <v>10</v>
      </c>
      <c r="V458" t="s">
        <v>3741</v>
      </c>
      <c r="W458" t="s">
        <v>4300</v>
      </c>
    </row>
    <row r="459" spans="1:23">
      <c r="A459">
        <v>581</v>
      </c>
      <c r="B459" t="s">
        <v>7</v>
      </c>
      <c r="C459" t="s">
        <v>8</v>
      </c>
      <c r="D459" t="s">
        <v>9</v>
      </c>
      <c r="E459">
        <v>45972</v>
      </c>
      <c r="F459">
        <v>0.75</v>
      </c>
      <c r="G459" t="s">
        <v>2659</v>
      </c>
      <c r="H459" t="s">
        <v>2660</v>
      </c>
      <c r="I459" t="s">
        <v>23</v>
      </c>
      <c r="J459" t="s">
        <v>12</v>
      </c>
      <c r="K459" t="s">
        <v>41</v>
      </c>
      <c r="N459" t="s">
        <v>41</v>
      </c>
      <c r="O459" t="s">
        <v>3507</v>
      </c>
      <c r="P459" t="s">
        <v>3503</v>
      </c>
      <c r="Q459" t="s">
        <v>3901</v>
      </c>
      <c r="R459" t="s">
        <v>4309</v>
      </c>
      <c r="S459" t="s">
        <v>4310</v>
      </c>
      <c r="T459" t="s">
        <v>4308</v>
      </c>
      <c r="U459" t="s">
        <v>10</v>
      </c>
      <c r="V459" t="s">
        <v>3507</v>
      </c>
      <c r="W459" t="s">
        <v>4300</v>
      </c>
    </row>
    <row r="460" spans="1:23">
      <c r="A460">
        <v>582</v>
      </c>
      <c r="B460" t="s">
        <v>7</v>
      </c>
      <c r="C460" t="s">
        <v>8</v>
      </c>
      <c r="D460" t="s">
        <v>9</v>
      </c>
      <c r="E460">
        <v>45972</v>
      </c>
      <c r="F460">
        <v>0.75</v>
      </c>
      <c r="G460" t="s">
        <v>1813</v>
      </c>
      <c r="H460" t="s">
        <v>1814</v>
      </c>
      <c r="I460" t="s">
        <v>11</v>
      </c>
      <c r="J460" t="s">
        <v>12</v>
      </c>
      <c r="K460" t="s">
        <v>13</v>
      </c>
      <c r="L460" t="s">
        <v>37</v>
      </c>
      <c r="M460" t="s">
        <v>25</v>
      </c>
      <c r="N460" t="s">
        <v>3644</v>
      </c>
      <c r="O460">
        <v>1</v>
      </c>
      <c r="P460" t="s">
        <v>3503</v>
      </c>
      <c r="Q460" t="s">
        <v>3737</v>
      </c>
      <c r="R460" t="s">
        <v>4309</v>
      </c>
      <c r="S460" t="s">
        <v>4311</v>
      </c>
      <c r="T460" t="s">
        <v>4308</v>
      </c>
      <c r="U460" t="s">
        <v>10</v>
      </c>
      <c r="V460" t="s">
        <v>3741</v>
      </c>
      <c r="W460" t="s">
        <v>4312</v>
      </c>
    </row>
    <row r="461" spans="1:23">
      <c r="A461">
        <v>583</v>
      </c>
      <c r="B461" t="s">
        <v>7</v>
      </c>
      <c r="C461" t="s">
        <v>8</v>
      </c>
      <c r="D461" t="s">
        <v>9</v>
      </c>
      <c r="E461">
        <v>45972</v>
      </c>
      <c r="F461">
        <v>0.750694444444444</v>
      </c>
      <c r="G461" t="s">
        <v>1813</v>
      </c>
      <c r="H461" t="s">
        <v>1814</v>
      </c>
      <c r="I461" t="s">
        <v>23</v>
      </c>
      <c r="J461" t="s">
        <v>12</v>
      </c>
      <c r="K461" t="s">
        <v>41</v>
      </c>
      <c r="N461" t="s">
        <v>41</v>
      </c>
      <c r="O461">
        <v>1</v>
      </c>
      <c r="P461" t="s">
        <v>3503</v>
      </c>
      <c r="Q461" t="s">
        <v>3737</v>
      </c>
      <c r="R461" t="s">
        <v>4313</v>
      </c>
      <c r="S461" t="s">
        <v>4314</v>
      </c>
      <c r="T461" t="s">
        <v>4308</v>
      </c>
      <c r="U461" t="s">
        <v>10</v>
      </c>
      <c r="V461" t="s">
        <v>3741</v>
      </c>
      <c r="W461" t="s">
        <v>4312</v>
      </c>
    </row>
    <row r="462" spans="1:23">
      <c r="A462">
        <v>584</v>
      </c>
      <c r="B462" t="s">
        <v>7</v>
      </c>
      <c r="C462" t="s">
        <v>8</v>
      </c>
      <c r="D462" t="s">
        <v>9</v>
      </c>
      <c r="E462">
        <v>45967</v>
      </c>
      <c r="F462">
        <v>0.75138888888888899</v>
      </c>
      <c r="G462" t="s">
        <v>4315</v>
      </c>
      <c r="H462" t="s">
        <v>4316</v>
      </c>
      <c r="I462" t="s">
        <v>11</v>
      </c>
      <c r="J462" t="s">
        <v>12</v>
      </c>
      <c r="K462" t="s">
        <v>13</v>
      </c>
      <c r="L462" t="s">
        <v>37</v>
      </c>
      <c r="M462" t="s">
        <v>25</v>
      </c>
      <c r="N462" t="s">
        <v>3644</v>
      </c>
      <c r="O462">
        <v>1</v>
      </c>
      <c r="P462" t="s">
        <v>3503</v>
      </c>
      <c r="Q462" t="s">
        <v>3737</v>
      </c>
      <c r="R462" t="s">
        <v>4317</v>
      </c>
      <c r="S462" t="s">
        <v>4318</v>
      </c>
      <c r="T462" t="s">
        <v>4222</v>
      </c>
      <c r="U462" t="s">
        <v>10</v>
      </c>
      <c r="V462" t="s">
        <v>3741</v>
      </c>
      <c r="W462" t="s">
        <v>4312</v>
      </c>
    </row>
    <row r="463" spans="1:23">
      <c r="A463">
        <v>585</v>
      </c>
      <c r="B463" t="s">
        <v>7</v>
      </c>
      <c r="C463" t="s">
        <v>8</v>
      </c>
      <c r="D463" t="s">
        <v>9</v>
      </c>
      <c r="E463">
        <v>45967</v>
      </c>
      <c r="F463">
        <v>0.75208333333333299</v>
      </c>
      <c r="G463" t="s">
        <v>4315</v>
      </c>
      <c r="H463" t="s">
        <v>4316</v>
      </c>
      <c r="I463" t="s">
        <v>23</v>
      </c>
      <c r="J463" t="s">
        <v>12</v>
      </c>
      <c r="K463" t="s">
        <v>41</v>
      </c>
      <c r="N463" t="s">
        <v>41</v>
      </c>
      <c r="O463">
        <v>1</v>
      </c>
      <c r="P463" t="s">
        <v>3503</v>
      </c>
      <c r="Q463" t="s">
        <v>3737</v>
      </c>
      <c r="R463" t="s">
        <v>4319</v>
      </c>
      <c r="S463" t="s">
        <v>4320</v>
      </c>
      <c r="T463" t="s">
        <v>4222</v>
      </c>
      <c r="U463" t="s">
        <v>10</v>
      </c>
      <c r="V463" t="s">
        <v>3741</v>
      </c>
      <c r="W463" t="s">
        <v>4312</v>
      </c>
    </row>
    <row r="464" spans="1:23">
      <c r="A464">
        <v>586</v>
      </c>
      <c r="B464" t="s">
        <v>7</v>
      </c>
      <c r="C464" t="s">
        <v>8</v>
      </c>
      <c r="D464" t="s">
        <v>9</v>
      </c>
      <c r="E464">
        <v>45967</v>
      </c>
      <c r="F464">
        <v>0.75</v>
      </c>
      <c r="G464" t="s">
        <v>3360</v>
      </c>
      <c r="H464" t="s">
        <v>3361</v>
      </c>
      <c r="I464" t="s">
        <v>11</v>
      </c>
      <c r="J464" t="s">
        <v>12</v>
      </c>
      <c r="K464" t="s">
        <v>13</v>
      </c>
      <c r="L464" t="s">
        <v>37</v>
      </c>
      <c r="M464" t="s">
        <v>25</v>
      </c>
      <c r="N464" t="s">
        <v>3644</v>
      </c>
      <c r="O464">
        <v>1</v>
      </c>
      <c r="P464" t="s">
        <v>3503</v>
      </c>
      <c r="Q464" t="s">
        <v>3737</v>
      </c>
      <c r="R464" t="s">
        <v>4272</v>
      </c>
      <c r="S464" t="s">
        <v>4321</v>
      </c>
      <c r="T464" t="s">
        <v>4222</v>
      </c>
      <c r="U464" t="s">
        <v>10</v>
      </c>
      <c r="V464" t="s">
        <v>3741</v>
      </c>
      <c r="W464" t="s">
        <v>4312</v>
      </c>
    </row>
    <row r="465" spans="1:23">
      <c r="A465">
        <v>587</v>
      </c>
      <c r="B465" t="s">
        <v>7</v>
      </c>
      <c r="C465" t="s">
        <v>8</v>
      </c>
      <c r="D465" t="s">
        <v>9</v>
      </c>
      <c r="E465">
        <v>45967</v>
      </c>
      <c r="F465">
        <v>0.75694444444444398</v>
      </c>
      <c r="G465" t="s">
        <v>3360</v>
      </c>
      <c r="H465" t="s">
        <v>3361</v>
      </c>
      <c r="I465" t="s">
        <v>23</v>
      </c>
      <c r="J465" t="s">
        <v>12</v>
      </c>
      <c r="K465" t="s">
        <v>41</v>
      </c>
      <c r="N465" t="s">
        <v>41</v>
      </c>
      <c r="O465">
        <v>1</v>
      </c>
      <c r="P465" t="s">
        <v>3503</v>
      </c>
      <c r="Q465" t="s">
        <v>3737</v>
      </c>
      <c r="R465" t="s">
        <v>4322</v>
      </c>
      <c r="S465" t="s">
        <v>4323</v>
      </c>
      <c r="T465" t="s">
        <v>4222</v>
      </c>
      <c r="U465" t="s">
        <v>10</v>
      </c>
      <c r="V465" t="s">
        <v>3741</v>
      </c>
      <c r="W465" t="s">
        <v>4312</v>
      </c>
    </row>
    <row r="466" spans="1:23">
      <c r="A466">
        <v>588</v>
      </c>
      <c r="B466" t="s">
        <v>7</v>
      </c>
      <c r="C466" t="s">
        <v>8</v>
      </c>
      <c r="D466" t="s">
        <v>9</v>
      </c>
      <c r="E466">
        <v>45978</v>
      </c>
      <c r="F466">
        <v>0.75</v>
      </c>
      <c r="G466" t="s">
        <v>2589</v>
      </c>
      <c r="H466" t="s">
        <v>2590</v>
      </c>
      <c r="I466" t="s">
        <v>11</v>
      </c>
      <c r="J466" t="s">
        <v>30</v>
      </c>
      <c r="K466" t="s">
        <v>37</v>
      </c>
      <c r="L466" t="s">
        <v>25</v>
      </c>
      <c r="N466" t="s">
        <v>3526</v>
      </c>
      <c r="O466">
        <v>1</v>
      </c>
      <c r="P466" t="s">
        <v>3503</v>
      </c>
      <c r="Q466" t="s">
        <v>3737</v>
      </c>
      <c r="R466" t="s">
        <v>4324</v>
      </c>
      <c r="S466" t="s">
        <v>4325</v>
      </c>
      <c r="T466" t="s">
        <v>4286</v>
      </c>
      <c r="U466" t="s">
        <v>10</v>
      </c>
      <c r="V466" t="s">
        <v>3741</v>
      </c>
      <c r="W466" t="s">
        <v>4326</v>
      </c>
    </row>
    <row r="467" spans="1:23">
      <c r="A467">
        <v>589</v>
      </c>
      <c r="B467" t="s">
        <v>7</v>
      </c>
      <c r="C467" t="s">
        <v>8</v>
      </c>
      <c r="D467" t="s">
        <v>9</v>
      </c>
      <c r="E467">
        <v>45967</v>
      </c>
      <c r="F467">
        <v>0.75</v>
      </c>
      <c r="G467" t="s">
        <v>70</v>
      </c>
      <c r="H467" t="s">
        <v>71</v>
      </c>
      <c r="I467" t="s">
        <v>11</v>
      </c>
      <c r="J467" t="s">
        <v>12</v>
      </c>
      <c r="K467" t="s">
        <v>13</v>
      </c>
      <c r="L467" t="s">
        <v>25</v>
      </c>
      <c r="M467" t="s">
        <v>37</v>
      </c>
      <c r="N467" t="s">
        <v>3674</v>
      </c>
      <c r="O467">
        <v>1</v>
      </c>
      <c r="P467" t="s">
        <v>3503</v>
      </c>
      <c r="Q467" t="s">
        <v>3737</v>
      </c>
      <c r="R467" t="s">
        <v>4272</v>
      </c>
      <c r="S467" t="s">
        <v>4327</v>
      </c>
      <c r="T467" t="s">
        <v>4222</v>
      </c>
      <c r="U467" t="s">
        <v>10</v>
      </c>
      <c r="V467" t="s">
        <v>3741</v>
      </c>
      <c r="W467" t="s">
        <v>4328</v>
      </c>
    </row>
    <row r="468" spans="1:23">
      <c r="A468">
        <v>590</v>
      </c>
      <c r="B468" t="s">
        <v>7</v>
      </c>
      <c r="C468" t="s">
        <v>8</v>
      </c>
      <c r="D468" t="s">
        <v>9</v>
      </c>
      <c r="E468">
        <v>45967</v>
      </c>
      <c r="F468">
        <v>0.75347222222222199</v>
      </c>
      <c r="G468" t="s">
        <v>70</v>
      </c>
      <c r="H468" t="s">
        <v>71</v>
      </c>
      <c r="I468" t="s">
        <v>23</v>
      </c>
      <c r="J468" t="s">
        <v>12</v>
      </c>
      <c r="K468" t="s">
        <v>41</v>
      </c>
      <c r="N468" t="s">
        <v>41</v>
      </c>
      <c r="O468">
        <v>1</v>
      </c>
      <c r="P468" t="s">
        <v>3503</v>
      </c>
      <c r="Q468" t="s">
        <v>3737</v>
      </c>
      <c r="R468" t="s">
        <v>4301</v>
      </c>
      <c r="S468" t="s">
        <v>4329</v>
      </c>
      <c r="T468" t="s">
        <v>4222</v>
      </c>
      <c r="U468" t="s">
        <v>10</v>
      </c>
      <c r="V468" t="s">
        <v>3741</v>
      </c>
      <c r="W468" t="s">
        <v>4328</v>
      </c>
    </row>
    <row r="469" spans="1:23">
      <c r="A469">
        <v>591</v>
      </c>
      <c r="B469" t="s">
        <v>32</v>
      </c>
      <c r="C469" t="s">
        <v>33</v>
      </c>
      <c r="D469" t="s">
        <v>9</v>
      </c>
      <c r="E469">
        <v>45966</v>
      </c>
      <c r="F469">
        <v>0.5</v>
      </c>
      <c r="G469" t="s">
        <v>1495</v>
      </c>
      <c r="H469" t="s">
        <v>1496</v>
      </c>
      <c r="I469" t="s">
        <v>11</v>
      </c>
      <c r="J469" t="s">
        <v>12</v>
      </c>
      <c r="K469" t="s">
        <v>13</v>
      </c>
      <c r="L469" t="s">
        <v>25</v>
      </c>
      <c r="N469" t="s">
        <v>3579</v>
      </c>
      <c r="O469">
        <v>1</v>
      </c>
      <c r="P469" t="s">
        <v>3503</v>
      </c>
      <c r="Q469" t="s">
        <v>3737</v>
      </c>
      <c r="R469" t="s">
        <v>4330</v>
      </c>
      <c r="S469" t="s">
        <v>4331</v>
      </c>
      <c r="T469" t="s">
        <v>4165</v>
      </c>
      <c r="U469" t="s">
        <v>34</v>
      </c>
      <c r="V469" t="s">
        <v>3741</v>
      </c>
      <c r="W469" t="s">
        <v>4332</v>
      </c>
    </row>
    <row r="470" spans="1:23">
      <c r="A470">
        <v>592</v>
      </c>
      <c r="B470" t="s">
        <v>32</v>
      </c>
      <c r="C470" t="s">
        <v>33</v>
      </c>
      <c r="D470" t="s">
        <v>9</v>
      </c>
      <c r="E470">
        <v>45966</v>
      </c>
      <c r="F470">
        <v>0.5</v>
      </c>
      <c r="G470" t="s">
        <v>1495</v>
      </c>
      <c r="H470" t="s">
        <v>1496</v>
      </c>
      <c r="I470" t="s">
        <v>23</v>
      </c>
      <c r="J470" t="s">
        <v>12</v>
      </c>
      <c r="K470" t="s">
        <v>41</v>
      </c>
      <c r="N470" t="s">
        <v>41</v>
      </c>
      <c r="O470">
        <v>1</v>
      </c>
      <c r="P470" t="s">
        <v>3503</v>
      </c>
      <c r="Q470" t="s">
        <v>3737</v>
      </c>
      <c r="R470" t="s">
        <v>4330</v>
      </c>
      <c r="S470" t="s">
        <v>4333</v>
      </c>
      <c r="T470" t="s">
        <v>4165</v>
      </c>
      <c r="U470" t="s">
        <v>34</v>
      </c>
      <c r="V470" t="s">
        <v>3741</v>
      </c>
      <c r="W470" t="s">
        <v>4334</v>
      </c>
    </row>
    <row r="471" spans="1:23">
      <c r="A471">
        <v>593</v>
      </c>
      <c r="B471" t="s">
        <v>32</v>
      </c>
      <c r="C471" t="s">
        <v>33</v>
      </c>
      <c r="D471" t="s">
        <v>9</v>
      </c>
      <c r="E471">
        <v>45981</v>
      </c>
      <c r="F471">
        <v>0.45833333333333298</v>
      </c>
      <c r="G471" t="s">
        <v>2802</v>
      </c>
      <c r="H471" t="s">
        <v>2803</v>
      </c>
      <c r="I471" t="s">
        <v>38</v>
      </c>
      <c r="J471" t="s">
        <v>36</v>
      </c>
      <c r="K471" t="s">
        <v>48</v>
      </c>
      <c r="N471" t="s">
        <v>48</v>
      </c>
      <c r="O471">
        <v>1</v>
      </c>
      <c r="P471" t="s">
        <v>3503</v>
      </c>
      <c r="Q471" t="s">
        <v>3737</v>
      </c>
      <c r="R471" t="s">
        <v>4335</v>
      </c>
      <c r="S471" t="s">
        <v>4336</v>
      </c>
      <c r="T471" t="s">
        <v>4337</v>
      </c>
      <c r="U471" t="s">
        <v>34</v>
      </c>
      <c r="V471" t="s">
        <v>3741</v>
      </c>
      <c r="W471" t="s">
        <v>4338</v>
      </c>
    </row>
    <row r="472" spans="1:23">
      <c r="A472">
        <v>594</v>
      </c>
      <c r="B472" t="s">
        <v>7</v>
      </c>
      <c r="C472" t="s">
        <v>8</v>
      </c>
      <c r="D472" t="s">
        <v>9</v>
      </c>
      <c r="E472">
        <v>45981</v>
      </c>
      <c r="F472">
        <v>0.66666666666666696</v>
      </c>
      <c r="G472" t="s">
        <v>1196</v>
      </c>
      <c r="H472" t="s">
        <v>1197</v>
      </c>
      <c r="I472" t="s">
        <v>11</v>
      </c>
      <c r="J472" t="s">
        <v>36</v>
      </c>
      <c r="K472" t="s">
        <v>25</v>
      </c>
      <c r="N472" t="s">
        <v>25</v>
      </c>
      <c r="O472">
        <v>1</v>
      </c>
      <c r="P472" t="s">
        <v>3503</v>
      </c>
      <c r="Q472" t="s">
        <v>3737</v>
      </c>
      <c r="R472" t="s">
        <v>4339</v>
      </c>
      <c r="S472" t="s">
        <v>4340</v>
      </c>
      <c r="T472" t="s">
        <v>4337</v>
      </c>
      <c r="U472" t="s">
        <v>10</v>
      </c>
      <c r="V472" t="s">
        <v>3741</v>
      </c>
      <c r="W472" t="s">
        <v>4341</v>
      </c>
    </row>
    <row r="473" spans="1:23">
      <c r="A473">
        <v>595</v>
      </c>
      <c r="B473" t="s">
        <v>7</v>
      </c>
      <c r="C473" t="s">
        <v>8</v>
      </c>
      <c r="D473" t="s">
        <v>9</v>
      </c>
      <c r="E473">
        <v>45981</v>
      </c>
      <c r="F473">
        <v>0.68611111111111101</v>
      </c>
      <c r="G473" t="s">
        <v>2871</v>
      </c>
      <c r="H473" t="s">
        <v>2872</v>
      </c>
      <c r="I473" t="s">
        <v>11</v>
      </c>
      <c r="J473" t="s">
        <v>36</v>
      </c>
      <c r="K473" t="s">
        <v>25</v>
      </c>
      <c r="N473" t="s">
        <v>25</v>
      </c>
      <c r="O473">
        <v>1</v>
      </c>
      <c r="P473" t="s">
        <v>3503</v>
      </c>
      <c r="Q473" t="s">
        <v>3737</v>
      </c>
      <c r="R473" t="s">
        <v>4342</v>
      </c>
      <c r="S473" t="s">
        <v>4343</v>
      </c>
      <c r="T473" t="s">
        <v>4337</v>
      </c>
      <c r="U473" t="s">
        <v>10</v>
      </c>
      <c r="V473" t="s">
        <v>3741</v>
      </c>
      <c r="W473" t="s">
        <v>4341</v>
      </c>
    </row>
    <row r="474" spans="1:23">
      <c r="A474">
        <v>596</v>
      </c>
      <c r="B474" t="s">
        <v>32</v>
      </c>
      <c r="C474" t="s">
        <v>33</v>
      </c>
      <c r="D474" t="s">
        <v>9</v>
      </c>
      <c r="E474">
        <v>45986</v>
      </c>
      <c r="F474">
        <v>0.5</v>
      </c>
      <c r="G474" t="s">
        <v>2121</v>
      </c>
      <c r="H474" t="s">
        <v>2122</v>
      </c>
      <c r="I474" t="s">
        <v>11</v>
      </c>
      <c r="J474" t="s">
        <v>12</v>
      </c>
      <c r="K474" t="s">
        <v>25</v>
      </c>
      <c r="L474" t="s">
        <v>13</v>
      </c>
      <c r="N474" t="s">
        <v>4344</v>
      </c>
      <c r="O474">
        <v>1</v>
      </c>
      <c r="P474" t="s">
        <v>3503</v>
      </c>
      <c r="Q474" t="s">
        <v>3737</v>
      </c>
      <c r="R474" t="s">
        <v>4345</v>
      </c>
      <c r="S474" t="s">
        <v>4346</v>
      </c>
      <c r="T474" t="s">
        <v>4347</v>
      </c>
      <c r="U474" t="s">
        <v>34</v>
      </c>
      <c r="V474" t="s">
        <v>3741</v>
      </c>
      <c r="W474" t="s">
        <v>4348</v>
      </c>
    </row>
    <row r="475" spans="1:23">
      <c r="A475">
        <v>597</v>
      </c>
      <c r="B475" t="s">
        <v>32</v>
      </c>
      <c r="C475" t="s">
        <v>33</v>
      </c>
      <c r="D475" t="s">
        <v>9</v>
      </c>
      <c r="E475">
        <v>45986</v>
      </c>
      <c r="F475">
        <v>0.5</v>
      </c>
      <c r="G475" t="s">
        <v>2121</v>
      </c>
      <c r="H475" t="s">
        <v>2122</v>
      </c>
      <c r="I475" t="s">
        <v>23</v>
      </c>
      <c r="J475" t="s">
        <v>12</v>
      </c>
      <c r="K475" t="s">
        <v>41</v>
      </c>
      <c r="N475" t="s">
        <v>41</v>
      </c>
      <c r="O475">
        <v>1</v>
      </c>
      <c r="P475" t="s">
        <v>3503</v>
      </c>
      <c r="Q475" t="s">
        <v>3737</v>
      </c>
      <c r="R475" t="s">
        <v>4345</v>
      </c>
      <c r="S475" t="s">
        <v>4349</v>
      </c>
      <c r="T475" t="s">
        <v>4347</v>
      </c>
      <c r="U475" t="s">
        <v>34</v>
      </c>
      <c r="V475" t="s">
        <v>3741</v>
      </c>
      <c r="W475" t="s">
        <v>4350</v>
      </c>
    </row>
    <row r="476" spans="1:23">
      <c r="A476">
        <v>598</v>
      </c>
      <c r="B476" t="s">
        <v>7</v>
      </c>
      <c r="C476" t="s">
        <v>8</v>
      </c>
      <c r="D476" t="s">
        <v>9</v>
      </c>
      <c r="E476">
        <v>45987</v>
      </c>
      <c r="F476">
        <v>0.66666666666666696</v>
      </c>
      <c r="G476" t="s">
        <v>479</v>
      </c>
      <c r="H476" t="s">
        <v>480</v>
      </c>
      <c r="I476" t="s">
        <v>11</v>
      </c>
      <c r="J476" t="s">
        <v>36</v>
      </c>
      <c r="K476" t="s">
        <v>25</v>
      </c>
      <c r="N476" t="s">
        <v>25</v>
      </c>
      <c r="O476">
        <v>1</v>
      </c>
      <c r="P476" t="s">
        <v>3503</v>
      </c>
      <c r="Q476" t="s">
        <v>3737</v>
      </c>
      <c r="R476" t="s">
        <v>4351</v>
      </c>
      <c r="S476" t="s">
        <v>4352</v>
      </c>
      <c r="T476" t="s">
        <v>4353</v>
      </c>
      <c r="U476" t="s">
        <v>10</v>
      </c>
      <c r="V476" t="s">
        <v>3741</v>
      </c>
      <c r="W476" t="s">
        <v>4354</v>
      </c>
    </row>
    <row r="477" spans="1:23">
      <c r="A477">
        <v>599</v>
      </c>
      <c r="B477" t="s">
        <v>7</v>
      </c>
      <c r="C477" t="s">
        <v>8</v>
      </c>
      <c r="D477" t="s">
        <v>9</v>
      </c>
      <c r="E477">
        <v>45987</v>
      </c>
      <c r="F477">
        <v>0.68055555555555602</v>
      </c>
      <c r="G477" t="s">
        <v>479</v>
      </c>
      <c r="H477" t="s">
        <v>480</v>
      </c>
      <c r="I477" t="s">
        <v>11</v>
      </c>
      <c r="J477" t="s">
        <v>30</v>
      </c>
      <c r="K477" t="s">
        <v>37</v>
      </c>
      <c r="N477" t="s">
        <v>37</v>
      </c>
      <c r="O477">
        <v>1</v>
      </c>
      <c r="P477" t="s">
        <v>3503</v>
      </c>
      <c r="Q477" t="s">
        <v>3737</v>
      </c>
      <c r="R477" t="s">
        <v>4355</v>
      </c>
      <c r="S477" t="s">
        <v>4356</v>
      </c>
      <c r="T477" t="s">
        <v>4353</v>
      </c>
      <c r="U477" t="s">
        <v>10</v>
      </c>
      <c r="V477" t="s">
        <v>3741</v>
      </c>
      <c r="W477" t="s">
        <v>4354</v>
      </c>
    </row>
    <row r="478" spans="1:23">
      <c r="A478">
        <v>600</v>
      </c>
      <c r="B478" t="s">
        <v>7</v>
      </c>
      <c r="C478" t="s">
        <v>8</v>
      </c>
      <c r="D478" t="s">
        <v>9</v>
      </c>
      <c r="E478">
        <v>45987</v>
      </c>
      <c r="F478">
        <v>0.69444444444444398</v>
      </c>
      <c r="G478" t="s">
        <v>3105</v>
      </c>
      <c r="H478" t="s">
        <v>3106</v>
      </c>
      <c r="I478" t="s">
        <v>17</v>
      </c>
      <c r="J478" t="s">
        <v>12</v>
      </c>
      <c r="K478" t="s">
        <v>49</v>
      </c>
      <c r="N478" t="s">
        <v>49</v>
      </c>
      <c r="O478">
        <v>1</v>
      </c>
      <c r="P478" t="s">
        <v>3503</v>
      </c>
      <c r="Q478" t="s">
        <v>3737</v>
      </c>
      <c r="R478" t="s">
        <v>4357</v>
      </c>
      <c r="S478" t="s">
        <v>4358</v>
      </c>
      <c r="T478" t="s">
        <v>4353</v>
      </c>
      <c r="U478" t="s">
        <v>10</v>
      </c>
      <c r="V478" t="s">
        <v>3741</v>
      </c>
      <c r="W478" t="s">
        <v>4359</v>
      </c>
    </row>
    <row r="479" spans="1:23">
      <c r="A479">
        <v>601</v>
      </c>
      <c r="B479" t="s">
        <v>7</v>
      </c>
      <c r="C479" t="s">
        <v>8</v>
      </c>
      <c r="D479" t="s">
        <v>9</v>
      </c>
      <c r="E479">
        <v>45987</v>
      </c>
      <c r="F479">
        <v>0.69513888888888897</v>
      </c>
      <c r="G479" t="s">
        <v>1910</v>
      </c>
      <c r="H479" t="s">
        <v>1911</v>
      </c>
      <c r="I479" t="s">
        <v>17</v>
      </c>
      <c r="J479" t="s">
        <v>12</v>
      </c>
      <c r="K479" t="s">
        <v>49</v>
      </c>
      <c r="N479" t="s">
        <v>49</v>
      </c>
      <c r="O479">
        <v>1</v>
      </c>
      <c r="P479" t="s">
        <v>3503</v>
      </c>
      <c r="Q479" t="s">
        <v>3737</v>
      </c>
      <c r="R479" t="s">
        <v>4360</v>
      </c>
      <c r="S479" t="s">
        <v>4361</v>
      </c>
      <c r="T479" t="s">
        <v>4353</v>
      </c>
      <c r="U479" t="s">
        <v>10</v>
      </c>
      <c r="V479" t="s">
        <v>3741</v>
      </c>
      <c r="W479" t="s">
        <v>4359</v>
      </c>
    </row>
    <row r="480" spans="1:23">
      <c r="A480">
        <v>602</v>
      </c>
      <c r="B480" t="s">
        <v>7</v>
      </c>
      <c r="C480" t="s">
        <v>8</v>
      </c>
      <c r="D480" t="s">
        <v>9</v>
      </c>
      <c r="E480">
        <v>45987</v>
      </c>
      <c r="F480">
        <v>0.70138888888888895</v>
      </c>
      <c r="G480" t="s">
        <v>2294</v>
      </c>
      <c r="H480" t="s">
        <v>2295</v>
      </c>
      <c r="I480" t="s">
        <v>17</v>
      </c>
      <c r="J480" t="s">
        <v>12</v>
      </c>
      <c r="K480" t="s">
        <v>49</v>
      </c>
      <c r="N480" t="s">
        <v>49</v>
      </c>
      <c r="O480">
        <v>1</v>
      </c>
      <c r="P480" t="s">
        <v>3503</v>
      </c>
      <c r="Q480" t="s">
        <v>3737</v>
      </c>
      <c r="R480" t="s">
        <v>4362</v>
      </c>
      <c r="S480" t="s">
        <v>4363</v>
      </c>
      <c r="T480" t="s">
        <v>4353</v>
      </c>
      <c r="U480" t="s">
        <v>10</v>
      </c>
      <c r="V480" t="s">
        <v>3741</v>
      </c>
      <c r="W480" t="s">
        <v>4359</v>
      </c>
    </row>
    <row r="481" spans="1:23">
      <c r="A481">
        <v>603</v>
      </c>
      <c r="B481" t="s">
        <v>7</v>
      </c>
      <c r="C481" t="s">
        <v>8</v>
      </c>
      <c r="D481" t="s">
        <v>9</v>
      </c>
      <c r="E481">
        <v>45987</v>
      </c>
      <c r="F481">
        <v>0.70486111111111105</v>
      </c>
      <c r="G481" t="s">
        <v>1579</v>
      </c>
      <c r="H481" t="s">
        <v>1580</v>
      </c>
      <c r="I481" t="s">
        <v>17</v>
      </c>
      <c r="J481" t="s">
        <v>12</v>
      </c>
      <c r="K481" t="s">
        <v>49</v>
      </c>
      <c r="N481" t="s">
        <v>49</v>
      </c>
      <c r="O481">
        <v>1</v>
      </c>
      <c r="P481" t="s">
        <v>3503</v>
      </c>
      <c r="Q481" t="s">
        <v>3737</v>
      </c>
      <c r="R481" t="s">
        <v>4364</v>
      </c>
      <c r="S481" t="s">
        <v>4365</v>
      </c>
      <c r="T481" t="s">
        <v>4353</v>
      </c>
      <c r="U481" t="s">
        <v>10</v>
      </c>
      <c r="V481" t="s">
        <v>3741</v>
      </c>
      <c r="W481" t="s">
        <v>4359</v>
      </c>
    </row>
    <row r="482" spans="1:23">
      <c r="A482">
        <v>604</v>
      </c>
      <c r="B482" t="s">
        <v>7</v>
      </c>
      <c r="C482" t="s">
        <v>8</v>
      </c>
      <c r="D482" t="s">
        <v>9</v>
      </c>
      <c r="E482">
        <v>45987</v>
      </c>
      <c r="F482">
        <v>0.70625000000000004</v>
      </c>
      <c r="G482" t="s">
        <v>3105</v>
      </c>
      <c r="H482" t="s">
        <v>3106</v>
      </c>
      <c r="I482" t="s">
        <v>11</v>
      </c>
      <c r="J482" t="s">
        <v>30</v>
      </c>
      <c r="K482" t="s">
        <v>37</v>
      </c>
      <c r="N482" t="s">
        <v>37</v>
      </c>
      <c r="O482">
        <v>1</v>
      </c>
      <c r="P482" t="s">
        <v>3503</v>
      </c>
      <c r="Q482" t="s">
        <v>3737</v>
      </c>
      <c r="R482" t="s">
        <v>4366</v>
      </c>
      <c r="S482" t="s">
        <v>4367</v>
      </c>
      <c r="T482" t="s">
        <v>4353</v>
      </c>
      <c r="U482" t="s">
        <v>10</v>
      </c>
      <c r="V482" t="s">
        <v>3741</v>
      </c>
      <c r="W482" t="s">
        <v>4359</v>
      </c>
    </row>
    <row r="483" spans="1:23">
      <c r="A483">
        <v>605</v>
      </c>
      <c r="B483" t="s">
        <v>7</v>
      </c>
      <c r="C483" t="s">
        <v>8</v>
      </c>
      <c r="D483" t="s">
        <v>9</v>
      </c>
      <c r="E483">
        <v>45987</v>
      </c>
      <c r="F483">
        <v>0.70694444444444404</v>
      </c>
      <c r="G483" t="s">
        <v>1910</v>
      </c>
      <c r="H483" t="s">
        <v>1911</v>
      </c>
      <c r="I483" t="s">
        <v>11</v>
      </c>
      <c r="J483" t="s">
        <v>30</v>
      </c>
      <c r="K483" t="s">
        <v>37</v>
      </c>
      <c r="N483" t="s">
        <v>37</v>
      </c>
      <c r="O483">
        <v>1</v>
      </c>
      <c r="P483" t="s">
        <v>3503</v>
      </c>
      <c r="Q483" t="s">
        <v>3737</v>
      </c>
      <c r="R483" t="s">
        <v>4368</v>
      </c>
      <c r="S483" t="s">
        <v>4369</v>
      </c>
      <c r="T483" t="s">
        <v>4353</v>
      </c>
      <c r="U483" t="s">
        <v>10</v>
      </c>
      <c r="V483" t="s">
        <v>3741</v>
      </c>
      <c r="W483" t="s">
        <v>4359</v>
      </c>
    </row>
    <row r="484" spans="1:23">
      <c r="A484">
        <v>606</v>
      </c>
      <c r="B484" t="s">
        <v>7</v>
      </c>
      <c r="C484" t="s">
        <v>8</v>
      </c>
      <c r="D484" t="s">
        <v>9</v>
      </c>
      <c r="E484">
        <v>45987</v>
      </c>
      <c r="F484">
        <v>0.70763888888888904</v>
      </c>
      <c r="G484" t="s">
        <v>2294</v>
      </c>
      <c r="H484" t="s">
        <v>2295</v>
      </c>
      <c r="I484" t="s">
        <v>11</v>
      </c>
      <c r="J484" t="s">
        <v>30</v>
      </c>
      <c r="K484" t="s">
        <v>37</v>
      </c>
      <c r="N484" t="s">
        <v>37</v>
      </c>
      <c r="O484">
        <v>1</v>
      </c>
      <c r="P484" t="s">
        <v>3503</v>
      </c>
      <c r="Q484" t="s">
        <v>3737</v>
      </c>
      <c r="R484" t="s">
        <v>4370</v>
      </c>
      <c r="S484" t="s">
        <v>4371</v>
      </c>
      <c r="T484" t="s">
        <v>4353</v>
      </c>
      <c r="U484" t="s">
        <v>10</v>
      </c>
      <c r="V484" t="s">
        <v>3741</v>
      </c>
      <c r="W484" t="s">
        <v>4359</v>
      </c>
    </row>
    <row r="485" spans="1:23">
      <c r="A485">
        <v>607</v>
      </c>
      <c r="B485" t="s">
        <v>7</v>
      </c>
      <c r="C485" t="s">
        <v>8</v>
      </c>
      <c r="D485" t="s">
        <v>9</v>
      </c>
      <c r="E485">
        <v>45987</v>
      </c>
      <c r="F485">
        <v>0.70833333333333304</v>
      </c>
      <c r="G485" t="s">
        <v>1579</v>
      </c>
      <c r="H485" t="s">
        <v>1580</v>
      </c>
      <c r="I485" t="s">
        <v>11</v>
      </c>
      <c r="J485" t="s">
        <v>30</v>
      </c>
      <c r="K485" t="s">
        <v>37</v>
      </c>
      <c r="N485" t="s">
        <v>37</v>
      </c>
      <c r="O485">
        <v>1</v>
      </c>
      <c r="P485" t="s">
        <v>3503</v>
      </c>
      <c r="Q485" t="s">
        <v>3737</v>
      </c>
      <c r="R485" t="s">
        <v>4372</v>
      </c>
      <c r="S485" t="s">
        <v>4373</v>
      </c>
      <c r="T485" t="s">
        <v>4353</v>
      </c>
      <c r="U485" t="s">
        <v>10</v>
      </c>
      <c r="V485" t="s">
        <v>3741</v>
      </c>
      <c r="W485" t="s">
        <v>4359</v>
      </c>
    </row>
    <row r="486" spans="1:23">
      <c r="A486">
        <v>608</v>
      </c>
      <c r="B486" t="s">
        <v>7</v>
      </c>
      <c r="C486" t="s">
        <v>8</v>
      </c>
      <c r="D486" t="s">
        <v>9</v>
      </c>
      <c r="E486">
        <v>45988</v>
      </c>
      <c r="F486">
        <v>0.64583333333333304</v>
      </c>
      <c r="G486" t="s">
        <v>1281</v>
      </c>
      <c r="H486" t="s">
        <v>1282</v>
      </c>
      <c r="I486" t="s">
        <v>11</v>
      </c>
      <c r="J486" t="s">
        <v>12</v>
      </c>
      <c r="K486" t="s">
        <v>13</v>
      </c>
      <c r="L486" t="s">
        <v>37</v>
      </c>
      <c r="M486" t="s">
        <v>37</v>
      </c>
      <c r="N486" t="s">
        <v>4374</v>
      </c>
      <c r="O486">
        <v>1</v>
      </c>
      <c r="P486" t="s">
        <v>3503</v>
      </c>
      <c r="Q486" t="s">
        <v>3737</v>
      </c>
      <c r="R486" t="s">
        <v>4375</v>
      </c>
      <c r="S486" t="s">
        <v>4376</v>
      </c>
      <c r="T486" t="s">
        <v>4377</v>
      </c>
      <c r="U486" t="s">
        <v>10</v>
      </c>
      <c r="V486" t="s">
        <v>3741</v>
      </c>
      <c r="W486" t="s">
        <v>4378</v>
      </c>
    </row>
    <row r="487" spans="1:23">
      <c r="A487">
        <v>609</v>
      </c>
      <c r="B487" t="s">
        <v>7</v>
      </c>
      <c r="C487" t="s">
        <v>8</v>
      </c>
      <c r="D487" t="s">
        <v>9</v>
      </c>
      <c r="E487">
        <v>45988</v>
      </c>
      <c r="F487">
        <v>0.6875</v>
      </c>
      <c r="G487" t="s">
        <v>1281</v>
      </c>
      <c r="H487" t="s">
        <v>1282</v>
      </c>
      <c r="I487" t="s">
        <v>11</v>
      </c>
      <c r="J487" t="s">
        <v>18</v>
      </c>
      <c r="K487" t="s">
        <v>19</v>
      </c>
      <c r="N487" t="s">
        <v>19</v>
      </c>
      <c r="O487">
        <v>1</v>
      </c>
      <c r="P487" t="s">
        <v>3503</v>
      </c>
      <c r="Q487" t="s">
        <v>3737</v>
      </c>
      <c r="R487" t="s">
        <v>4379</v>
      </c>
      <c r="S487" t="s">
        <v>4380</v>
      </c>
      <c r="T487" t="s">
        <v>4377</v>
      </c>
      <c r="U487" t="s">
        <v>10</v>
      </c>
      <c r="V487" t="s">
        <v>3741</v>
      </c>
      <c r="W487" t="s">
        <v>4378</v>
      </c>
    </row>
    <row r="488" spans="1:23">
      <c r="A488">
        <v>610</v>
      </c>
      <c r="B488" t="s">
        <v>7</v>
      </c>
      <c r="C488" t="s">
        <v>8</v>
      </c>
      <c r="D488" t="s">
        <v>9</v>
      </c>
      <c r="E488">
        <v>45988</v>
      </c>
      <c r="F488">
        <v>0.72916666666666696</v>
      </c>
      <c r="G488" t="s">
        <v>1281</v>
      </c>
      <c r="H488" t="s">
        <v>1282</v>
      </c>
      <c r="I488" t="s">
        <v>11</v>
      </c>
      <c r="J488" t="s">
        <v>24</v>
      </c>
      <c r="K488" t="s">
        <v>19</v>
      </c>
      <c r="N488" t="s">
        <v>19</v>
      </c>
      <c r="O488">
        <v>1</v>
      </c>
      <c r="P488" t="s">
        <v>3503</v>
      </c>
      <c r="Q488" t="s">
        <v>3737</v>
      </c>
      <c r="R488" t="s">
        <v>4381</v>
      </c>
      <c r="S488" t="s">
        <v>4382</v>
      </c>
      <c r="T488" t="s">
        <v>4377</v>
      </c>
      <c r="U488" t="s">
        <v>10</v>
      </c>
      <c r="V488" t="s">
        <v>3741</v>
      </c>
      <c r="W488" t="s">
        <v>4378</v>
      </c>
    </row>
    <row r="489" spans="1:23">
      <c r="A489">
        <v>611</v>
      </c>
      <c r="B489" t="s">
        <v>7</v>
      </c>
      <c r="C489" t="s">
        <v>8</v>
      </c>
      <c r="D489" t="s">
        <v>9</v>
      </c>
      <c r="E489">
        <v>45988</v>
      </c>
      <c r="F489">
        <v>0.65277777777777801</v>
      </c>
      <c r="G489" t="s">
        <v>1281</v>
      </c>
      <c r="H489" t="s">
        <v>1282</v>
      </c>
      <c r="I489" t="s">
        <v>23</v>
      </c>
      <c r="J489" t="s">
        <v>24</v>
      </c>
      <c r="K489" t="s">
        <v>41</v>
      </c>
      <c r="L489" t="s">
        <v>45</v>
      </c>
      <c r="M489" t="s">
        <v>44</v>
      </c>
      <c r="N489" t="s">
        <v>3520</v>
      </c>
      <c r="O489">
        <v>1</v>
      </c>
      <c r="P489" t="s">
        <v>3503</v>
      </c>
      <c r="Q489" t="s">
        <v>3737</v>
      </c>
      <c r="R489" t="s">
        <v>4383</v>
      </c>
      <c r="S489" t="s">
        <v>4384</v>
      </c>
      <c r="T489" t="s">
        <v>4377</v>
      </c>
      <c r="U489" t="s">
        <v>10</v>
      </c>
      <c r="V489" t="s">
        <v>3741</v>
      </c>
      <c r="W489" t="s">
        <v>4378</v>
      </c>
    </row>
    <row r="490" spans="1:23">
      <c r="A490">
        <v>612</v>
      </c>
      <c r="B490" t="s">
        <v>7</v>
      </c>
      <c r="C490" t="s">
        <v>8</v>
      </c>
      <c r="D490" t="s">
        <v>9</v>
      </c>
      <c r="E490">
        <v>45988</v>
      </c>
      <c r="F490">
        <v>0.67916666666666703</v>
      </c>
      <c r="G490" t="s">
        <v>1281</v>
      </c>
      <c r="H490" t="s">
        <v>1282</v>
      </c>
      <c r="I490" t="s">
        <v>29</v>
      </c>
      <c r="J490" t="s">
        <v>24</v>
      </c>
      <c r="K490" t="s">
        <v>46</v>
      </c>
      <c r="L490" t="s">
        <v>47</v>
      </c>
      <c r="N490" t="s">
        <v>3521</v>
      </c>
      <c r="O490">
        <v>1</v>
      </c>
      <c r="P490" t="s">
        <v>3503</v>
      </c>
      <c r="Q490" t="s">
        <v>3737</v>
      </c>
      <c r="R490" t="s">
        <v>4385</v>
      </c>
      <c r="S490" t="s">
        <v>4386</v>
      </c>
      <c r="T490" t="s">
        <v>4377</v>
      </c>
      <c r="U490" t="s">
        <v>10</v>
      </c>
      <c r="V490" t="s">
        <v>3741</v>
      </c>
      <c r="W490" t="s">
        <v>4378</v>
      </c>
    </row>
    <row r="491" spans="1:23">
      <c r="A491">
        <v>613</v>
      </c>
      <c r="B491" t="s">
        <v>7</v>
      </c>
      <c r="C491" t="s">
        <v>8</v>
      </c>
      <c r="D491" t="s">
        <v>9</v>
      </c>
      <c r="E491">
        <v>45988</v>
      </c>
      <c r="F491">
        <v>0.64583333333333304</v>
      </c>
      <c r="G491" t="s">
        <v>2384</v>
      </c>
      <c r="H491" t="s">
        <v>2385</v>
      </c>
      <c r="I491" t="s">
        <v>29</v>
      </c>
      <c r="J491" t="s">
        <v>24</v>
      </c>
      <c r="K491" t="s">
        <v>47</v>
      </c>
      <c r="L491" t="s">
        <v>46</v>
      </c>
      <c r="N491" t="s">
        <v>3574</v>
      </c>
      <c r="O491">
        <v>1</v>
      </c>
      <c r="P491" t="s">
        <v>3503</v>
      </c>
      <c r="Q491" t="s">
        <v>3737</v>
      </c>
      <c r="R491" t="s">
        <v>4375</v>
      </c>
      <c r="S491" t="s">
        <v>4387</v>
      </c>
      <c r="T491" t="s">
        <v>4377</v>
      </c>
      <c r="U491" t="s">
        <v>10</v>
      </c>
      <c r="V491" t="s">
        <v>3741</v>
      </c>
      <c r="W491" t="s">
        <v>4388</v>
      </c>
    </row>
    <row r="492" spans="1:23">
      <c r="A492">
        <v>614</v>
      </c>
      <c r="B492" t="s">
        <v>7</v>
      </c>
      <c r="C492" t="s">
        <v>8</v>
      </c>
      <c r="D492" t="s">
        <v>9</v>
      </c>
      <c r="E492">
        <v>45988</v>
      </c>
      <c r="F492">
        <v>0.65277777777777801</v>
      </c>
      <c r="G492" t="s">
        <v>2384</v>
      </c>
      <c r="H492" t="s">
        <v>2385</v>
      </c>
      <c r="I492" t="s">
        <v>23</v>
      </c>
      <c r="J492" t="s">
        <v>24</v>
      </c>
      <c r="K492" t="s">
        <v>41</v>
      </c>
      <c r="L492" t="s">
        <v>45</v>
      </c>
      <c r="M492" t="s">
        <v>44</v>
      </c>
      <c r="N492" t="s">
        <v>3520</v>
      </c>
      <c r="O492">
        <v>1</v>
      </c>
      <c r="P492" t="s">
        <v>3503</v>
      </c>
      <c r="Q492" t="s">
        <v>3737</v>
      </c>
      <c r="R492" t="s">
        <v>4383</v>
      </c>
      <c r="S492" t="s">
        <v>4389</v>
      </c>
      <c r="T492" t="s">
        <v>4377</v>
      </c>
      <c r="U492" t="s">
        <v>10</v>
      </c>
      <c r="V492" t="s">
        <v>3741</v>
      </c>
      <c r="W492" t="s">
        <v>4388</v>
      </c>
    </row>
    <row r="493" spans="1:23">
      <c r="A493">
        <v>615</v>
      </c>
      <c r="B493" t="s">
        <v>7</v>
      </c>
      <c r="C493" t="s">
        <v>8</v>
      </c>
      <c r="D493" t="s">
        <v>9</v>
      </c>
      <c r="E493">
        <v>45988</v>
      </c>
      <c r="F493">
        <v>0.66319444444444398</v>
      </c>
      <c r="G493" t="s">
        <v>2384</v>
      </c>
      <c r="H493" t="s">
        <v>2385</v>
      </c>
      <c r="I493" t="s">
        <v>11</v>
      </c>
      <c r="J493" t="s">
        <v>24</v>
      </c>
      <c r="K493" t="s">
        <v>19</v>
      </c>
      <c r="L493" t="s">
        <v>13</v>
      </c>
      <c r="N493" t="s">
        <v>3548</v>
      </c>
      <c r="O493">
        <v>1</v>
      </c>
      <c r="P493" t="s">
        <v>3503</v>
      </c>
      <c r="Q493" t="s">
        <v>3737</v>
      </c>
      <c r="R493" t="s">
        <v>4390</v>
      </c>
      <c r="S493" t="s">
        <v>4391</v>
      </c>
      <c r="T493" t="s">
        <v>4377</v>
      </c>
      <c r="U493" t="s">
        <v>10</v>
      </c>
      <c r="V493" t="s">
        <v>3741</v>
      </c>
      <c r="W493" t="s">
        <v>4388</v>
      </c>
    </row>
    <row r="494" spans="1:23">
      <c r="A494">
        <v>616</v>
      </c>
      <c r="B494" t="s">
        <v>7</v>
      </c>
      <c r="C494" t="s">
        <v>8</v>
      </c>
      <c r="D494" t="s">
        <v>9</v>
      </c>
      <c r="E494">
        <v>45988</v>
      </c>
      <c r="F494">
        <v>0.66666666666666696</v>
      </c>
      <c r="G494" t="s">
        <v>2384</v>
      </c>
      <c r="H494" t="s">
        <v>2385</v>
      </c>
      <c r="I494" t="s">
        <v>11</v>
      </c>
      <c r="J494" t="s">
        <v>36</v>
      </c>
      <c r="K494" t="s">
        <v>25</v>
      </c>
      <c r="N494" t="s">
        <v>25</v>
      </c>
      <c r="O494">
        <v>1</v>
      </c>
      <c r="P494" t="s">
        <v>3503</v>
      </c>
      <c r="Q494" t="s">
        <v>3737</v>
      </c>
      <c r="R494" t="s">
        <v>4392</v>
      </c>
      <c r="S494" t="s">
        <v>4393</v>
      </c>
      <c r="T494" t="s">
        <v>4377</v>
      </c>
      <c r="U494" t="s">
        <v>10</v>
      </c>
      <c r="V494" t="s">
        <v>3741</v>
      </c>
      <c r="W494" t="s">
        <v>4388</v>
      </c>
    </row>
    <row r="495" spans="1:23">
      <c r="A495">
        <v>617</v>
      </c>
      <c r="B495" t="s">
        <v>7</v>
      </c>
      <c r="C495" t="s">
        <v>8</v>
      </c>
      <c r="D495" t="s">
        <v>9</v>
      </c>
      <c r="E495">
        <v>45987</v>
      </c>
      <c r="F495">
        <v>0.67361111111111105</v>
      </c>
      <c r="G495" t="s">
        <v>2384</v>
      </c>
      <c r="H495" t="s">
        <v>2385</v>
      </c>
      <c r="I495" t="s">
        <v>11</v>
      </c>
      <c r="J495" t="s">
        <v>30</v>
      </c>
      <c r="K495" t="s">
        <v>37</v>
      </c>
      <c r="N495" t="s">
        <v>37</v>
      </c>
      <c r="O495">
        <v>1</v>
      </c>
      <c r="P495" t="s">
        <v>3503</v>
      </c>
      <c r="Q495" t="s">
        <v>3737</v>
      </c>
      <c r="R495" t="s">
        <v>4394</v>
      </c>
      <c r="S495" t="s">
        <v>4395</v>
      </c>
      <c r="T495" t="s">
        <v>4353</v>
      </c>
      <c r="U495" t="s">
        <v>10</v>
      </c>
      <c r="V495" t="s">
        <v>3741</v>
      </c>
      <c r="W495" t="s">
        <v>4388</v>
      </c>
    </row>
    <row r="496" spans="1:23">
      <c r="A496">
        <v>618</v>
      </c>
      <c r="B496" t="s">
        <v>7</v>
      </c>
      <c r="C496" t="s">
        <v>8</v>
      </c>
      <c r="D496" t="s">
        <v>9</v>
      </c>
      <c r="E496">
        <v>45988</v>
      </c>
      <c r="F496">
        <v>0.64583333333333304</v>
      </c>
      <c r="G496" t="s">
        <v>4396</v>
      </c>
      <c r="H496" t="s">
        <v>4397</v>
      </c>
      <c r="I496" t="s">
        <v>11</v>
      </c>
      <c r="J496" t="s">
        <v>24</v>
      </c>
      <c r="K496" t="s">
        <v>19</v>
      </c>
      <c r="L496" t="s">
        <v>13</v>
      </c>
      <c r="N496" t="s">
        <v>3548</v>
      </c>
      <c r="O496">
        <v>1</v>
      </c>
      <c r="P496" t="s">
        <v>3503</v>
      </c>
      <c r="Q496" t="s">
        <v>3737</v>
      </c>
      <c r="R496" t="s">
        <v>4375</v>
      </c>
      <c r="S496" t="s">
        <v>4398</v>
      </c>
      <c r="T496" t="s">
        <v>4377</v>
      </c>
      <c r="U496" t="s">
        <v>10</v>
      </c>
      <c r="V496" t="s">
        <v>3741</v>
      </c>
      <c r="W496" t="s">
        <v>4399</v>
      </c>
    </row>
    <row r="497" spans="1:23">
      <c r="A497">
        <v>619</v>
      </c>
      <c r="B497" t="s">
        <v>7</v>
      </c>
      <c r="C497" t="s">
        <v>8</v>
      </c>
      <c r="D497" t="s">
        <v>9</v>
      </c>
      <c r="E497">
        <v>45988</v>
      </c>
      <c r="F497">
        <v>0.65277777777777801</v>
      </c>
      <c r="G497" t="s">
        <v>4396</v>
      </c>
      <c r="H497" t="s">
        <v>4397</v>
      </c>
      <c r="I497" t="s">
        <v>11</v>
      </c>
      <c r="J497" t="s">
        <v>36</v>
      </c>
      <c r="K497" t="s">
        <v>25</v>
      </c>
      <c r="N497" t="s">
        <v>25</v>
      </c>
      <c r="O497">
        <v>1</v>
      </c>
      <c r="P497" t="s">
        <v>3503</v>
      </c>
      <c r="Q497" t="s">
        <v>3737</v>
      </c>
      <c r="R497" t="s">
        <v>4383</v>
      </c>
      <c r="S497" t="s">
        <v>4400</v>
      </c>
      <c r="T497" t="s">
        <v>4377</v>
      </c>
      <c r="U497" t="s">
        <v>10</v>
      </c>
      <c r="V497" t="s">
        <v>3741</v>
      </c>
      <c r="W497" t="s">
        <v>4399</v>
      </c>
    </row>
    <row r="498" spans="1:23">
      <c r="A498">
        <v>620</v>
      </c>
      <c r="B498" t="s">
        <v>7</v>
      </c>
      <c r="C498" t="s">
        <v>8</v>
      </c>
      <c r="D498" t="s">
        <v>9</v>
      </c>
      <c r="E498">
        <v>45988</v>
      </c>
      <c r="F498">
        <v>0.65972222222222199</v>
      </c>
      <c r="G498" t="s">
        <v>4396</v>
      </c>
      <c r="H498" t="s">
        <v>4397</v>
      </c>
      <c r="I498" t="s">
        <v>29</v>
      </c>
      <c r="J498" t="s">
        <v>24</v>
      </c>
      <c r="K498" t="s">
        <v>46</v>
      </c>
      <c r="L498" t="s">
        <v>47</v>
      </c>
      <c r="N498" t="s">
        <v>3521</v>
      </c>
      <c r="O498">
        <v>1</v>
      </c>
      <c r="P498" t="s">
        <v>3503</v>
      </c>
      <c r="Q498" t="s">
        <v>3737</v>
      </c>
      <c r="R498" t="s">
        <v>4401</v>
      </c>
      <c r="S498" t="s">
        <v>4402</v>
      </c>
      <c r="T498" t="s">
        <v>4377</v>
      </c>
      <c r="U498" t="s">
        <v>10</v>
      </c>
      <c r="V498" t="s">
        <v>3741</v>
      </c>
      <c r="W498" t="s">
        <v>4399</v>
      </c>
    </row>
    <row r="499" spans="1:23">
      <c r="A499">
        <v>621</v>
      </c>
      <c r="B499" t="s">
        <v>7</v>
      </c>
      <c r="C499" t="s">
        <v>8</v>
      </c>
      <c r="D499" t="s">
        <v>9</v>
      </c>
      <c r="E499">
        <v>45988</v>
      </c>
      <c r="F499">
        <v>0.66319444444444398</v>
      </c>
      <c r="G499" t="s">
        <v>4396</v>
      </c>
      <c r="H499" t="s">
        <v>4397</v>
      </c>
      <c r="I499" t="s">
        <v>23</v>
      </c>
      <c r="J499" t="s">
        <v>24</v>
      </c>
      <c r="K499" t="s">
        <v>41</v>
      </c>
      <c r="L499" t="s">
        <v>45</v>
      </c>
      <c r="M499" t="s">
        <v>47</v>
      </c>
      <c r="N499" t="s">
        <v>4403</v>
      </c>
      <c r="O499">
        <v>1</v>
      </c>
      <c r="P499" t="s">
        <v>3503</v>
      </c>
      <c r="Q499" t="s">
        <v>3737</v>
      </c>
      <c r="R499" t="s">
        <v>4390</v>
      </c>
      <c r="S499" t="s">
        <v>4404</v>
      </c>
      <c r="T499" t="s">
        <v>4377</v>
      </c>
      <c r="U499" t="s">
        <v>10</v>
      </c>
      <c r="V499" t="s">
        <v>3741</v>
      </c>
      <c r="W499" t="s">
        <v>4399</v>
      </c>
    </row>
    <row r="500" spans="1:23">
      <c r="A500">
        <v>622</v>
      </c>
      <c r="B500" t="s">
        <v>7</v>
      </c>
      <c r="C500" t="s">
        <v>8</v>
      </c>
      <c r="D500" t="s">
        <v>9</v>
      </c>
      <c r="E500">
        <v>45988</v>
      </c>
      <c r="F500">
        <v>0.68402777777777801</v>
      </c>
      <c r="G500" t="s">
        <v>4396</v>
      </c>
      <c r="H500" t="s">
        <v>4397</v>
      </c>
      <c r="I500" t="s">
        <v>11</v>
      </c>
      <c r="J500" t="s">
        <v>30</v>
      </c>
      <c r="K500" t="s">
        <v>37</v>
      </c>
      <c r="N500" t="s">
        <v>37</v>
      </c>
      <c r="O500">
        <v>1</v>
      </c>
      <c r="P500" t="s">
        <v>3503</v>
      </c>
      <c r="Q500" t="s">
        <v>3737</v>
      </c>
      <c r="R500" t="s">
        <v>4405</v>
      </c>
      <c r="S500" t="s">
        <v>4406</v>
      </c>
      <c r="T500" t="s">
        <v>4377</v>
      </c>
      <c r="U500" t="s">
        <v>10</v>
      </c>
      <c r="V500" t="s">
        <v>3741</v>
      </c>
      <c r="W500" t="s">
        <v>4399</v>
      </c>
    </row>
    <row r="501" spans="1:23">
      <c r="A501">
        <v>623</v>
      </c>
      <c r="B501" t="s">
        <v>32</v>
      </c>
      <c r="C501" t="s">
        <v>33</v>
      </c>
      <c r="D501" t="s">
        <v>9</v>
      </c>
      <c r="E501">
        <v>45989</v>
      </c>
      <c r="F501">
        <v>0.41666666666666702</v>
      </c>
      <c r="G501" t="s">
        <v>2599</v>
      </c>
      <c r="H501" t="s">
        <v>2600</v>
      </c>
      <c r="I501" t="s">
        <v>11</v>
      </c>
      <c r="J501" t="s">
        <v>12</v>
      </c>
      <c r="K501" t="s">
        <v>13</v>
      </c>
      <c r="L501" t="s">
        <v>25</v>
      </c>
      <c r="N501" t="s">
        <v>3579</v>
      </c>
      <c r="O501">
        <v>1</v>
      </c>
      <c r="P501" t="s">
        <v>3503</v>
      </c>
      <c r="Q501" t="s">
        <v>3737</v>
      </c>
      <c r="R501" t="s">
        <v>4407</v>
      </c>
      <c r="S501" t="s">
        <v>4408</v>
      </c>
      <c r="T501" t="s">
        <v>4409</v>
      </c>
      <c r="U501" t="s">
        <v>34</v>
      </c>
      <c r="V501" t="s">
        <v>3741</v>
      </c>
      <c r="W501" t="s">
        <v>4410</v>
      </c>
    </row>
    <row r="502" spans="1:23">
      <c r="A502">
        <v>624</v>
      </c>
      <c r="B502" t="s">
        <v>32</v>
      </c>
      <c r="C502" t="s">
        <v>33</v>
      </c>
      <c r="D502" t="s">
        <v>9</v>
      </c>
      <c r="E502">
        <v>45989</v>
      </c>
      <c r="F502">
        <v>0.41666666666666702</v>
      </c>
      <c r="G502" t="s">
        <v>2599</v>
      </c>
      <c r="H502" t="s">
        <v>2600</v>
      </c>
      <c r="I502" t="s">
        <v>23</v>
      </c>
      <c r="J502" t="s">
        <v>12</v>
      </c>
      <c r="K502" t="s">
        <v>41</v>
      </c>
      <c r="L502" t="s">
        <v>43</v>
      </c>
      <c r="N502" t="s">
        <v>3612</v>
      </c>
      <c r="O502">
        <v>1</v>
      </c>
      <c r="P502" t="s">
        <v>3503</v>
      </c>
      <c r="Q502" t="s">
        <v>3737</v>
      </c>
      <c r="R502" t="s">
        <v>4407</v>
      </c>
      <c r="S502" t="s">
        <v>4411</v>
      </c>
      <c r="T502" t="s">
        <v>4409</v>
      </c>
      <c r="U502" t="s">
        <v>34</v>
      </c>
      <c r="V502" t="s">
        <v>3741</v>
      </c>
      <c r="W502" t="s">
        <v>4412</v>
      </c>
    </row>
    <row r="503" spans="1:23">
      <c r="A503">
        <v>625</v>
      </c>
      <c r="B503" t="s">
        <v>32</v>
      </c>
      <c r="C503" t="s">
        <v>33</v>
      </c>
      <c r="D503" t="s">
        <v>9</v>
      </c>
      <c r="E503">
        <v>45989</v>
      </c>
      <c r="F503">
        <v>0.5</v>
      </c>
      <c r="G503" t="s">
        <v>2254</v>
      </c>
      <c r="H503" t="s">
        <v>2255</v>
      </c>
      <c r="I503" t="s">
        <v>11</v>
      </c>
      <c r="J503" t="s">
        <v>24</v>
      </c>
      <c r="K503" t="s">
        <v>19</v>
      </c>
      <c r="L503" t="s">
        <v>25</v>
      </c>
      <c r="N503" t="s">
        <v>4149</v>
      </c>
      <c r="O503">
        <v>1</v>
      </c>
      <c r="P503" t="s">
        <v>3503</v>
      </c>
      <c r="Q503" t="s">
        <v>3737</v>
      </c>
      <c r="R503" t="s">
        <v>4413</v>
      </c>
      <c r="S503" t="s">
        <v>4414</v>
      </c>
      <c r="T503" t="s">
        <v>4409</v>
      </c>
      <c r="U503" t="s">
        <v>34</v>
      </c>
      <c r="V503" t="s">
        <v>3741</v>
      </c>
      <c r="W503" t="s">
        <v>4415</v>
      </c>
    </row>
    <row r="504" spans="1:23">
      <c r="A504">
        <v>626</v>
      </c>
      <c r="B504" t="s">
        <v>32</v>
      </c>
      <c r="C504" t="s">
        <v>33</v>
      </c>
      <c r="D504" t="s">
        <v>9</v>
      </c>
      <c r="E504">
        <v>45989</v>
      </c>
      <c r="F504">
        <v>0.5</v>
      </c>
      <c r="G504" t="s">
        <v>2254</v>
      </c>
      <c r="H504" t="s">
        <v>2255</v>
      </c>
      <c r="I504" t="s">
        <v>23</v>
      </c>
      <c r="J504" t="s">
        <v>24</v>
      </c>
      <c r="K504" t="s">
        <v>45</v>
      </c>
      <c r="L504" t="s">
        <v>44</v>
      </c>
      <c r="N504" t="s">
        <v>4153</v>
      </c>
      <c r="O504">
        <v>1</v>
      </c>
      <c r="P504" t="s">
        <v>3503</v>
      </c>
      <c r="Q504" t="s">
        <v>3737</v>
      </c>
      <c r="R504" t="s">
        <v>4413</v>
      </c>
      <c r="S504" t="s">
        <v>4416</v>
      </c>
      <c r="T504" t="s">
        <v>4409</v>
      </c>
      <c r="U504" t="s">
        <v>34</v>
      </c>
      <c r="V504" t="s">
        <v>3741</v>
      </c>
      <c r="W504" t="s">
        <v>4417</v>
      </c>
    </row>
    <row r="505" spans="1:23">
      <c r="A505">
        <v>627</v>
      </c>
      <c r="B505" t="s">
        <v>7</v>
      </c>
      <c r="C505" t="s">
        <v>8</v>
      </c>
      <c r="D505" t="s">
        <v>9</v>
      </c>
      <c r="E505">
        <v>45989</v>
      </c>
      <c r="F505">
        <v>0.5</v>
      </c>
      <c r="G505" t="s">
        <v>2254</v>
      </c>
      <c r="H505" t="s">
        <v>2255</v>
      </c>
      <c r="I505" t="s">
        <v>29</v>
      </c>
      <c r="J505" t="s">
        <v>24</v>
      </c>
      <c r="K505" t="s">
        <v>46</v>
      </c>
      <c r="L505" t="s">
        <v>47</v>
      </c>
      <c r="N505" t="s">
        <v>3521</v>
      </c>
      <c r="O505">
        <v>1</v>
      </c>
      <c r="P505" t="s">
        <v>3503</v>
      </c>
      <c r="Q505" t="s">
        <v>3737</v>
      </c>
      <c r="R505" t="s">
        <v>4413</v>
      </c>
      <c r="S505" t="s">
        <v>4418</v>
      </c>
      <c r="T505" t="s">
        <v>4409</v>
      </c>
      <c r="U505" t="s">
        <v>10</v>
      </c>
      <c r="V505" t="s">
        <v>3741</v>
      </c>
      <c r="W505" t="s">
        <v>4419</v>
      </c>
    </row>
    <row r="506" spans="1:23">
      <c r="A506">
        <v>628</v>
      </c>
      <c r="B506" t="s">
        <v>32</v>
      </c>
      <c r="C506" t="s">
        <v>33</v>
      </c>
      <c r="D506" t="s">
        <v>9</v>
      </c>
      <c r="E506">
        <v>45993</v>
      </c>
      <c r="F506">
        <v>0.75</v>
      </c>
      <c r="G506" t="s">
        <v>2991</v>
      </c>
      <c r="H506" t="s">
        <v>2992</v>
      </c>
      <c r="I506" t="s">
        <v>11</v>
      </c>
      <c r="J506" t="s">
        <v>24</v>
      </c>
      <c r="K506" t="s">
        <v>19</v>
      </c>
      <c r="L506" t="s">
        <v>25</v>
      </c>
      <c r="N506" t="s">
        <v>4149</v>
      </c>
      <c r="O506">
        <v>1</v>
      </c>
      <c r="P506" t="s">
        <v>3503</v>
      </c>
      <c r="Q506" t="s">
        <v>3737</v>
      </c>
      <c r="R506" t="s">
        <v>4420</v>
      </c>
      <c r="S506" t="s">
        <v>4421</v>
      </c>
      <c r="T506" t="s">
        <v>4422</v>
      </c>
      <c r="U506" t="s">
        <v>34</v>
      </c>
      <c r="V506" t="s">
        <v>3741</v>
      </c>
      <c r="W506" t="s">
        <v>4423</v>
      </c>
    </row>
    <row r="507" spans="1:23">
      <c r="A507">
        <v>629</v>
      </c>
      <c r="B507" t="s">
        <v>32</v>
      </c>
      <c r="C507" t="s">
        <v>33</v>
      </c>
      <c r="D507" t="s">
        <v>9</v>
      </c>
      <c r="E507">
        <v>45993</v>
      </c>
      <c r="F507">
        <v>0.75</v>
      </c>
      <c r="G507" t="s">
        <v>2991</v>
      </c>
      <c r="H507" t="s">
        <v>2992</v>
      </c>
      <c r="I507" t="s">
        <v>23</v>
      </c>
      <c r="J507" t="s">
        <v>24</v>
      </c>
      <c r="K507" t="s">
        <v>45</v>
      </c>
      <c r="L507" t="s">
        <v>44</v>
      </c>
      <c r="N507" t="s">
        <v>4153</v>
      </c>
      <c r="O507">
        <v>1</v>
      </c>
      <c r="P507" t="s">
        <v>3503</v>
      </c>
      <c r="Q507" t="s">
        <v>3737</v>
      </c>
      <c r="R507" t="s">
        <v>4420</v>
      </c>
      <c r="S507" t="s">
        <v>4424</v>
      </c>
      <c r="T507" t="s">
        <v>4422</v>
      </c>
      <c r="U507" t="s">
        <v>34</v>
      </c>
      <c r="V507" t="s">
        <v>3741</v>
      </c>
      <c r="W507" t="s">
        <v>4425</v>
      </c>
    </row>
    <row r="508" spans="1:23">
      <c r="A508">
        <v>630</v>
      </c>
      <c r="B508" t="s">
        <v>7</v>
      </c>
      <c r="C508" t="s">
        <v>8</v>
      </c>
      <c r="D508" t="s">
        <v>9</v>
      </c>
      <c r="E508">
        <v>45993</v>
      </c>
      <c r="F508">
        <v>0.75</v>
      </c>
      <c r="G508" t="s">
        <v>2991</v>
      </c>
      <c r="H508" t="s">
        <v>2992</v>
      </c>
      <c r="I508" t="s">
        <v>29</v>
      </c>
      <c r="J508" t="s">
        <v>24</v>
      </c>
      <c r="K508" t="s">
        <v>46</v>
      </c>
      <c r="L508" t="s">
        <v>47</v>
      </c>
      <c r="N508" t="s">
        <v>3521</v>
      </c>
      <c r="O508">
        <v>1</v>
      </c>
      <c r="P508" t="s">
        <v>3503</v>
      </c>
      <c r="Q508" t="s">
        <v>3737</v>
      </c>
      <c r="R508" t="s">
        <v>4420</v>
      </c>
      <c r="S508" t="s">
        <v>4426</v>
      </c>
      <c r="T508" t="s">
        <v>4422</v>
      </c>
      <c r="U508" t="s">
        <v>10</v>
      </c>
      <c r="V508" t="s">
        <v>3741</v>
      </c>
      <c r="W508" t="s">
        <v>4427</v>
      </c>
    </row>
    <row r="509" spans="1:23">
      <c r="A509">
        <v>631</v>
      </c>
      <c r="B509" t="s">
        <v>32</v>
      </c>
      <c r="C509" t="s">
        <v>33</v>
      </c>
      <c r="D509" t="s">
        <v>9</v>
      </c>
      <c r="E509">
        <v>45993</v>
      </c>
      <c r="F509">
        <v>0.75</v>
      </c>
      <c r="G509" t="s">
        <v>1415</v>
      </c>
      <c r="H509" t="s">
        <v>1416</v>
      </c>
      <c r="I509" t="s">
        <v>11</v>
      </c>
      <c r="J509" t="s">
        <v>18</v>
      </c>
      <c r="K509" t="s">
        <v>19</v>
      </c>
      <c r="L509" t="s">
        <v>25</v>
      </c>
      <c r="N509" t="s">
        <v>4149</v>
      </c>
      <c r="O509">
        <v>1</v>
      </c>
      <c r="P509" t="s">
        <v>3503</v>
      </c>
      <c r="Q509" t="s">
        <v>3737</v>
      </c>
      <c r="R509" t="s">
        <v>4420</v>
      </c>
      <c r="S509" t="s">
        <v>4428</v>
      </c>
      <c r="T509" t="s">
        <v>4422</v>
      </c>
      <c r="U509" t="s">
        <v>34</v>
      </c>
      <c r="V509" t="s">
        <v>3741</v>
      </c>
      <c r="W509" t="s">
        <v>4429</v>
      </c>
    </row>
    <row r="510" spans="1:23">
      <c r="A510">
        <v>632</v>
      </c>
      <c r="B510" t="s">
        <v>32</v>
      </c>
      <c r="C510" t="s">
        <v>33</v>
      </c>
      <c r="D510" t="s">
        <v>9</v>
      </c>
      <c r="E510">
        <v>45993</v>
      </c>
      <c r="F510">
        <v>0.75</v>
      </c>
      <c r="G510" t="s">
        <v>1415</v>
      </c>
      <c r="H510" t="s">
        <v>1416</v>
      </c>
      <c r="I510" t="s">
        <v>23</v>
      </c>
      <c r="J510" t="s">
        <v>18</v>
      </c>
      <c r="K510" t="s">
        <v>45</v>
      </c>
      <c r="L510" t="s">
        <v>44</v>
      </c>
      <c r="M510" t="s">
        <v>41</v>
      </c>
      <c r="N510" t="s">
        <v>4173</v>
      </c>
      <c r="O510">
        <v>1</v>
      </c>
      <c r="P510" t="s">
        <v>3503</v>
      </c>
      <c r="Q510" t="s">
        <v>3737</v>
      </c>
      <c r="R510" t="s">
        <v>4420</v>
      </c>
      <c r="S510" t="s">
        <v>4430</v>
      </c>
      <c r="T510" t="s">
        <v>4422</v>
      </c>
      <c r="U510" t="s">
        <v>34</v>
      </c>
      <c r="V510" t="s">
        <v>3741</v>
      </c>
      <c r="W510" t="s">
        <v>4431</v>
      </c>
    </row>
    <row r="511" spans="1:23">
      <c r="A511">
        <v>633</v>
      </c>
      <c r="B511" t="s">
        <v>7</v>
      </c>
      <c r="C511" t="s">
        <v>8</v>
      </c>
      <c r="D511" t="s">
        <v>9</v>
      </c>
      <c r="E511">
        <v>45993</v>
      </c>
      <c r="F511">
        <v>0.75</v>
      </c>
      <c r="G511" t="s">
        <v>1415</v>
      </c>
      <c r="H511" t="s">
        <v>1416</v>
      </c>
      <c r="I511" t="s">
        <v>29</v>
      </c>
      <c r="J511" t="s">
        <v>18</v>
      </c>
      <c r="K511" t="s">
        <v>46</v>
      </c>
      <c r="L511" t="s">
        <v>47</v>
      </c>
      <c r="N511" t="s">
        <v>3521</v>
      </c>
      <c r="O511">
        <v>1</v>
      </c>
      <c r="P511" t="s">
        <v>3503</v>
      </c>
      <c r="Q511" t="s">
        <v>3737</v>
      </c>
      <c r="R511" t="s">
        <v>4420</v>
      </c>
      <c r="S511" t="s">
        <v>4432</v>
      </c>
      <c r="T511" t="s">
        <v>4422</v>
      </c>
      <c r="U511" t="s">
        <v>10</v>
      </c>
      <c r="V511" t="s">
        <v>3741</v>
      </c>
      <c r="W511" t="s">
        <v>4433</v>
      </c>
    </row>
    <row r="512" spans="1:23" ht="16.5" customHeight="1">
      <c r="A512" s="2">
        <v>634</v>
      </c>
      <c r="B512" s="24" t="s">
        <v>32</v>
      </c>
      <c r="C512" s="24" t="s">
        <v>33</v>
      </c>
      <c r="D512" s="24" t="s">
        <v>9</v>
      </c>
      <c r="E512" s="11">
        <v>45995</v>
      </c>
      <c r="F512" s="14">
        <v>0.5</v>
      </c>
      <c r="G512" s="24" t="s">
        <v>1595</v>
      </c>
      <c r="H512" s="24" t="s">
        <v>1596</v>
      </c>
      <c r="I512" s="24" t="s">
        <v>11</v>
      </c>
      <c r="J512" s="24" t="s">
        <v>36</v>
      </c>
      <c r="K512" s="24" t="s">
        <v>25</v>
      </c>
      <c r="L512" s="24"/>
      <c r="M512" s="24"/>
      <c r="N512" s="27" t="s">
        <v>25</v>
      </c>
      <c r="O512" s="6">
        <v>1</v>
      </c>
      <c r="P512" s="2" t="s">
        <v>3503</v>
      </c>
      <c r="Q512" s="24" t="e">
        <f>IF(Tabla1[[#This Row],[evaluacion_]]="","",IF(Tabla1[[#This Row],[evaluacion_]]=1,"Habilitado","No Habilitado"))</f>
        <v>#VALUE!</v>
      </c>
      <c r="R512" s="2" t="e">
        <f>IF(Tabla1[[#This Row],[fecha]]="","",TEXT(Tabla1[[#This Row],[fecha]],"DMMAAAA")&amp;TEXT(Tabla1[[#This Row],[hora]],"HHmm"))</f>
        <v>#VALUE!</v>
      </c>
      <c r="S512" s="19" t="e">
        <f>_xlfn.CONCAT(Tabla1[[#This Row],[codigo_]],Tabla1[[#This Row],[correlativo_]])</f>
        <v>#VALUE!</v>
      </c>
      <c r="T512" s="2" t="str">
        <f t="shared" ref="T512:T543" si="8">DAY(E512) &amp; " de " &amp; TEXT(E512, "mmmm") &amp; " del " &amp; YEAR(E512)</f>
        <v>4 de diciembre del 2025</v>
      </c>
      <c r="U512" s="2" t="e">
        <f>_xlfn.XLOOKUP(Tabla1[[#This Row],[instructor_2]],diccionario_!$A$1:$A$11,diccionario_!$D$1:$D$11,,0)</f>
        <v>#VALUE!</v>
      </c>
      <c r="V512" s="2" t="str">
        <f t="shared" ref="V512:V543" si="9">TEXT(O512,"0%")</f>
        <v>100%</v>
      </c>
      <c r="W512" s="2" t="s">
        <v>4434</v>
      </c>
    </row>
    <row r="513" spans="1:23" ht="16.5" customHeight="1">
      <c r="A513" s="2">
        <v>635</v>
      </c>
      <c r="B513" s="24" t="s">
        <v>20</v>
      </c>
      <c r="C513" s="24" t="s">
        <v>21</v>
      </c>
      <c r="D513" s="24" t="s">
        <v>9</v>
      </c>
      <c r="E513" s="11">
        <v>45981</v>
      </c>
      <c r="F513" s="14">
        <v>0.70833333333333304</v>
      </c>
      <c r="G513" s="24" t="s">
        <v>2500</v>
      </c>
      <c r="H513" s="24" t="s">
        <v>2501</v>
      </c>
      <c r="I513" s="24" t="s">
        <v>11</v>
      </c>
      <c r="J513" s="24" t="s">
        <v>12</v>
      </c>
      <c r="K513" s="24" t="s">
        <v>13</v>
      </c>
      <c r="L513" s="24"/>
      <c r="M513" s="24"/>
      <c r="N513" s="27" t="s">
        <v>13</v>
      </c>
      <c r="O513" s="6">
        <v>1</v>
      </c>
      <c r="P513" s="2" t="s">
        <v>3503</v>
      </c>
      <c r="Q513" s="24" t="e">
        <f>IF(Tabla1[[#This Row],[evaluacion_]]="","",IF(Tabla1[[#This Row],[evaluacion_]]=1,"Habilitado","No Habilitado"))</f>
        <v>#VALUE!</v>
      </c>
      <c r="R513" s="2" t="e">
        <f>IF(Tabla1[[#This Row],[fecha]]="","",TEXT(Tabla1[[#This Row],[fecha]],"DMMAAAA")&amp;TEXT(Tabla1[[#This Row],[hora]],"HHmm"))</f>
        <v>#VALUE!</v>
      </c>
      <c r="S513" s="19" t="e">
        <f>_xlfn.CONCAT(Tabla1[[#This Row],[codigo_]],Tabla1[[#This Row],[correlativo_]])</f>
        <v>#VALUE!</v>
      </c>
      <c r="T513" s="2" t="str">
        <f t="shared" si="8"/>
        <v>20 de noviembre del 2025</v>
      </c>
      <c r="U513" s="2" t="e">
        <f>_xlfn.XLOOKUP(Tabla1[[#This Row],[instructor_2]],diccionario_!$A$1:$A$11,diccionario_!$D$1:$D$11,,0)</f>
        <v>#VALUE!</v>
      </c>
      <c r="V513" s="2" t="str">
        <f t="shared" si="9"/>
        <v>100%</v>
      </c>
      <c r="W513" s="2" t="s">
        <v>4435</v>
      </c>
    </row>
    <row r="514" spans="1:23" ht="16.5" customHeight="1">
      <c r="A514" s="2">
        <v>636</v>
      </c>
      <c r="B514" s="24" t="s">
        <v>14</v>
      </c>
      <c r="C514" s="24" t="s">
        <v>15</v>
      </c>
      <c r="D514" s="24" t="s">
        <v>9</v>
      </c>
      <c r="E514" s="11">
        <v>45967</v>
      </c>
      <c r="F514" s="14">
        <v>0.66458333333333297</v>
      </c>
      <c r="G514" s="24" t="s">
        <v>4436</v>
      </c>
      <c r="H514" s="24" t="s">
        <v>4437</v>
      </c>
      <c r="I514" s="24" t="s">
        <v>11</v>
      </c>
      <c r="J514" s="24" t="s">
        <v>24</v>
      </c>
      <c r="K514" s="24" t="s">
        <v>19</v>
      </c>
      <c r="L514" s="24" t="s">
        <v>13</v>
      </c>
      <c r="M514" s="24"/>
      <c r="N514" s="27" t="s">
        <v>3548</v>
      </c>
      <c r="O514" s="6">
        <v>1</v>
      </c>
      <c r="P514" s="2" t="s">
        <v>3503</v>
      </c>
      <c r="Q514" s="24" t="e">
        <f>IF(Tabla1[[#This Row],[evaluacion_]]="","",IF(Tabla1[[#This Row],[evaluacion_]]=1,"Habilitado","No Habilitado"))</f>
        <v>#VALUE!</v>
      </c>
      <c r="R514" s="2" t="e">
        <f>IF(Tabla1[[#This Row],[fecha]]="","",TEXT(Tabla1[[#This Row],[fecha]],"DMMAAAA")&amp;TEXT(Tabla1[[#This Row],[hora]],"HHmm"))</f>
        <v>#VALUE!</v>
      </c>
      <c r="S514" s="19" t="e">
        <f>_xlfn.CONCAT(Tabla1[[#This Row],[codigo_]],Tabla1[[#This Row],[correlativo_]])</f>
        <v>#VALUE!</v>
      </c>
      <c r="T514" s="2" t="str">
        <f t="shared" si="8"/>
        <v>6 de noviembre del 2025</v>
      </c>
      <c r="U514" s="2" t="e">
        <f>_xlfn.XLOOKUP(Tabla1[[#This Row],[instructor_2]],diccionario_!$A$1:$A$11,diccionario_!$D$1:$D$11,,0)</f>
        <v>#VALUE!</v>
      </c>
      <c r="V514" s="2" t="str">
        <f t="shared" si="9"/>
        <v>100%</v>
      </c>
      <c r="W514" s="2" t="s">
        <v>4438</v>
      </c>
    </row>
    <row r="515" spans="1:23" ht="16.5" customHeight="1">
      <c r="A515" s="2">
        <v>637</v>
      </c>
      <c r="B515" s="24" t="s">
        <v>14</v>
      </c>
      <c r="C515" s="24" t="s">
        <v>15</v>
      </c>
      <c r="D515" s="24" t="s">
        <v>9</v>
      </c>
      <c r="E515" s="11">
        <v>45967</v>
      </c>
      <c r="F515" s="14">
        <v>0.61805555555555602</v>
      </c>
      <c r="G515" s="24" t="s">
        <v>4436</v>
      </c>
      <c r="H515" s="24" t="s">
        <v>4437</v>
      </c>
      <c r="I515" s="24" t="s">
        <v>23</v>
      </c>
      <c r="J515" s="24" t="s">
        <v>24</v>
      </c>
      <c r="K515" s="24" t="s">
        <v>44</v>
      </c>
      <c r="L515" s="24" t="s">
        <v>45</v>
      </c>
      <c r="M515" s="24" t="s">
        <v>41</v>
      </c>
      <c r="N515" s="27" t="s">
        <v>3647</v>
      </c>
      <c r="O515" s="6">
        <v>1</v>
      </c>
      <c r="P515" s="2" t="s">
        <v>3503</v>
      </c>
      <c r="Q515" s="24" t="e">
        <f>IF(Tabla1[[#This Row],[evaluacion_]]="","",IF(Tabla1[[#This Row],[evaluacion_]]=1,"Habilitado","No Habilitado"))</f>
        <v>#VALUE!</v>
      </c>
      <c r="R515" s="2" t="e">
        <f>IF(Tabla1[[#This Row],[fecha]]="","",TEXT(Tabla1[[#This Row],[fecha]],"DMMAAAA")&amp;TEXT(Tabla1[[#This Row],[hora]],"HHmm"))</f>
        <v>#VALUE!</v>
      </c>
      <c r="S515" s="19" t="e">
        <f>_xlfn.CONCAT(Tabla1[[#This Row],[codigo_]],Tabla1[[#This Row],[correlativo_]])</f>
        <v>#VALUE!</v>
      </c>
      <c r="T515" s="2" t="str">
        <f t="shared" si="8"/>
        <v>6 de noviembre del 2025</v>
      </c>
      <c r="U515" s="2" t="e">
        <f>_xlfn.XLOOKUP(Tabla1[[#This Row],[instructor_2]],diccionario_!$A$1:$A$11,diccionario_!$D$1:$D$11,,0)</f>
        <v>#VALUE!</v>
      </c>
      <c r="V515" s="2" t="str">
        <f t="shared" si="9"/>
        <v>100%</v>
      </c>
      <c r="W515" s="2" t="s">
        <v>4439</v>
      </c>
    </row>
    <row r="516" spans="1:23" ht="16.5" customHeight="1">
      <c r="A516" s="2">
        <v>638</v>
      </c>
      <c r="B516" s="24" t="s">
        <v>14</v>
      </c>
      <c r="C516" s="24" t="s">
        <v>15</v>
      </c>
      <c r="D516" s="24" t="s">
        <v>9</v>
      </c>
      <c r="E516" s="11">
        <v>45967</v>
      </c>
      <c r="F516" s="14">
        <v>0.62013888888888902</v>
      </c>
      <c r="G516" s="24" t="s">
        <v>4436</v>
      </c>
      <c r="H516" s="24" t="s">
        <v>4437</v>
      </c>
      <c r="I516" s="24" t="s">
        <v>29</v>
      </c>
      <c r="J516" s="24" t="s">
        <v>24</v>
      </c>
      <c r="K516" s="24" t="s">
        <v>47</v>
      </c>
      <c r="L516" s="24" t="s">
        <v>46</v>
      </c>
      <c r="M516" s="24"/>
      <c r="N516" s="27" t="s">
        <v>3574</v>
      </c>
      <c r="O516" s="6">
        <v>1</v>
      </c>
      <c r="P516" s="2" t="s">
        <v>3503</v>
      </c>
      <c r="Q516" s="24" t="e">
        <f>IF(Tabla1[[#This Row],[evaluacion_]]="","",IF(Tabla1[[#This Row],[evaluacion_]]=1,"Habilitado","No Habilitado"))</f>
        <v>#VALUE!</v>
      </c>
      <c r="R516" s="2" t="e">
        <f>IF(Tabla1[[#This Row],[fecha]]="","",TEXT(Tabla1[[#This Row],[fecha]],"DMMAAAA")&amp;TEXT(Tabla1[[#This Row],[hora]],"HHmm"))</f>
        <v>#VALUE!</v>
      </c>
      <c r="S516" s="19" t="e">
        <f>_xlfn.CONCAT(Tabla1[[#This Row],[codigo_]],Tabla1[[#This Row],[correlativo_]])</f>
        <v>#VALUE!</v>
      </c>
      <c r="T516" s="2" t="str">
        <f t="shared" si="8"/>
        <v>6 de noviembre del 2025</v>
      </c>
      <c r="U516" s="2" t="e">
        <f>_xlfn.XLOOKUP(Tabla1[[#This Row],[instructor_2]],diccionario_!$A$1:$A$11,diccionario_!$D$1:$D$11,,0)</f>
        <v>#VALUE!</v>
      </c>
      <c r="V516" s="2" t="str">
        <f t="shared" si="9"/>
        <v>100%</v>
      </c>
      <c r="W516" s="2" t="s">
        <v>4439</v>
      </c>
    </row>
    <row r="517" spans="1:23" ht="16.5" customHeight="1">
      <c r="A517" s="2">
        <v>639</v>
      </c>
      <c r="B517" s="24" t="s">
        <v>14</v>
      </c>
      <c r="C517" s="24" t="s">
        <v>15</v>
      </c>
      <c r="D517" s="24" t="s">
        <v>9</v>
      </c>
      <c r="E517" s="11">
        <v>45967</v>
      </c>
      <c r="F517" s="14">
        <v>0.656944444444444</v>
      </c>
      <c r="G517" s="24" t="s">
        <v>997</v>
      </c>
      <c r="H517" s="24" t="s">
        <v>998</v>
      </c>
      <c r="I517" s="24" t="s">
        <v>11</v>
      </c>
      <c r="J517" s="24" t="s">
        <v>24</v>
      </c>
      <c r="K517" s="24" t="s">
        <v>19</v>
      </c>
      <c r="L517" s="24" t="s">
        <v>13</v>
      </c>
      <c r="M517" s="24"/>
      <c r="N517" s="27" t="s">
        <v>3548</v>
      </c>
      <c r="O517" s="6">
        <v>1</v>
      </c>
      <c r="P517" s="2" t="s">
        <v>3503</v>
      </c>
      <c r="Q517" s="24" t="e">
        <f>IF(Tabla1[[#This Row],[evaluacion_]]="","",IF(Tabla1[[#This Row],[evaluacion_]]=1,"Habilitado","No Habilitado"))</f>
        <v>#VALUE!</v>
      </c>
      <c r="R517" s="2" t="e">
        <f>IF(Tabla1[[#This Row],[fecha]]="","",TEXT(Tabla1[[#This Row],[fecha]],"DMMAAAA")&amp;TEXT(Tabla1[[#This Row],[hora]],"HHmm"))</f>
        <v>#VALUE!</v>
      </c>
      <c r="S517" s="19" t="e">
        <f>_xlfn.CONCAT(Tabla1[[#This Row],[codigo_]],Tabla1[[#This Row],[correlativo_]])</f>
        <v>#VALUE!</v>
      </c>
      <c r="T517" s="2" t="str">
        <f t="shared" si="8"/>
        <v>6 de noviembre del 2025</v>
      </c>
      <c r="U517" s="2" t="e">
        <f>_xlfn.XLOOKUP(Tabla1[[#This Row],[instructor_2]],diccionario_!$A$1:$A$11,diccionario_!$D$1:$D$11,,0)</f>
        <v>#VALUE!</v>
      </c>
      <c r="V517" s="2" t="str">
        <f t="shared" si="9"/>
        <v>100%</v>
      </c>
      <c r="W517" s="2" t="s">
        <v>4440</v>
      </c>
    </row>
    <row r="518" spans="1:23" ht="16.5" customHeight="1">
      <c r="A518" s="2">
        <v>640</v>
      </c>
      <c r="B518" s="24" t="s">
        <v>14</v>
      </c>
      <c r="C518" s="24" t="s">
        <v>15</v>
      </c>
      <c r="D518" s="24" t="s">
        <v>9</v>
      </c>
      <c r="E518" s="11">
        <v>45967</v>
      </c>
      <c r="F518" s="14">
        <v>0.65833333333333299</v>
      </c>
      <c r="G518" s="24" t="s">
        <v>997</v>
      </c>
      <c r="H518" s="24" t="s">
        <v>998</v>
      </c>
      <c r="I518" s="24" t="s">
        <v>23</v>
      </c>
      <c r="J518" s="24" t="s">
        <v>24</v>
      </c>
      <c r="K518" s="24" t="s">
        <v>44</v>
      </c>
      <c r="L518" s="24" t="s">
        <v>45</v>
      </c>
      <c r="M518" s="24" t="s">
        <v>41</v>
      </c>
      <c r="N518" s="27" t="s">
        <v>3647</v>
      </c>
      <c r="O518" s="6">
        <v>1</v>
      </c>
      <c r="P518" s="2" t="s">
        <v>3503</v>
      </c>
      <c r="Q518" s="24" t="e">
        <f>IF(Tabla1[[#This Row],[evaluacion_]]="","",IF(Tabla1[[#This Row],[evaluacion_]]=1,"Habilitado","No Habilitado"))</f>
        <v>#VALUE!</v>
      </c>
      <c r="R518" s="2" t="e">
        <f>IF(Tabla1[[#This Row],[fecha]]="","",TEXT(Tabla1[[#This Row],[fecha]],"DMMAAAA")&amp;TEXT(Tabla1[[#This Row],[hora]],"HHmm"))</f>
        <v>#VALUE!</v>
      </c>
      <c r="S518" s="19" t="e">
        <f>_xlfn.CONCAT(Tabla1[[#This Row],[codigo_]],Tabla1[[#This Row],[correlativo_]])</f>
        <v>#VALUE!</v>
      </c>
      <c r="T518" s="2" t="str">
        <f t="shared" si="8"/>
        <v>6 de noviembre del 2025</v>
      </c>
      <c r="U518" s="2" t="e">
        <f>_xlfn.XLOOKUP(Tabla1[[#This Row],[instructor_2]],diccionario_!$A$1:$A$11,diccionario_!$D$1:$D$11,,0)</f>
        <v>#VALUE!</v>
      </c>
      <c r="V518" s="2" t="str">
        <f t="shared" si="9"/>
        <v>100%</v>
      </c>
      <c r="W518" s="2" t="s">
        <v>4440</v>
      </c>
    </row>
    <row r="519" spans="1:23" ht="16.5" customHeight="1">
      <c r="A519" s="2">
        <v>641</v>
      </c>
      <c r="B519" s="24" t="s">
        <v>14</v>
      </c>
      <c r="C519" s="24" t="s">
        <v>15</v>
      </c>
      <c r="D519" s="24" t="s">
        <v>9</v>
      </c>
      <c r="E519" s="11">
        <v>45967</v>
      </c>
      <c r="F519" s="14">
        <v>0.66111111111111098</v>
      </c>
      <c r="G519" s="24" t="s">
        <v>997</v>
      </c>
      <c r="H519" s="24" t="s">
        <v>998</v>
      </c>
      <c r="I519" s="24" t="s">
        <v>29</v>
      </c>
      <c r="J519" s="24" t="s">
        <v>24</v>
      </c>
      <c r="K519" s="24" t="s">
        <v>47</v>
      </c>
      <c r="L519" s="24" t="s">
        <v>46</v>
      </c>
      <c r="M519" s="24"/>
      <c r="N519" s="27" t="s">
        <v>3574</v>
      </c>
      <c r="O519" s="6">
        <v>1</v>
      </c>
      <c r="P519" s="2" t="s">
        <v>3503</v>
      </c>
      <c r="Q519" s="24" t="e">
        <f>IF(Tabla1[[#This Row],[evaluacion_]]="","",IF(Tabla1[[#This Row],[evaluacion_]]=1,"Habilitado","No Habilitado"))</f>
        <v>#VALUE!</v>
      </c>
      <c r="R519" s="2" t="e">
        <f>IF(Tabla1[[#This Row],[fecha]]="","",TEXT(Tabla1[[#This Row],[fecha]],"DMMAAAA")&amp;TEXT(Tabla1[[#This Row],[hora]],"HHmm"))</f>
        <v>#VALUE!</v>
      </c>
      <c r="S519" s="19" t="e">
        <f>_xlfn.CONCAT(Tabla1[[#This Row],[codigo_]],Tabla1[[#This Row],[correlativo_]])</f>
        <v>#VALUE!</v>
      </c>
      <c r="T519" s="2" t="str">
        <f t="shared" si="8"/>
        <v>6 de noviembre del 2025</v>
      </c>
      <c r="U519" s="2" t="e">
        <f>_xlfn.XLOOKUP(Tabla1[[#This Row],[instructor_2]],diccionario_!$A$1:$A$11,diccionario_!$D$1:$D$11,,0)</f>
        <v>#VALUE!</v>
      </c>
      <c r="V519" s="2" t="str">
        <f t="shared" si="9"/>
        <v>100%</v>
      </c>
      <c r="W519" s="2" t="s">
        <v>4440</v>
      </c>
    </row>
    <row r="520" spans="1:23" ht="16.5" customHeight="1">
      <c r="A520" s="2">
        <v>642</v>
      </c>
      <c r="B520" s="24" t="s">
        <v>14</v>
      </c>
      <c r="C520" s="24" t="s">
        <v>15</v>
      </c>
      <c r="D520" s="24" t="s">
        <v>9</v>
      </c>
      <c r="E520" s="11">
        <v>45940</v>
      </c>
      <c r="F520" s="14">
        <v>0.66249999999999998</v>
      </c>
      <c r="G520" s="24" t="s">
        <v>817</v>
      </c>
      <c r="H520" s="24" t="s">
        <v>818</v>
      </c>
      <c r="I520" s="24" t="s">
        <v>23</v>
      </c>
      <c r="J520" s="24" t="s">
        <v>24</v>
      </c>
      <c r="K520" s="24" t="s">
        <v>44</v>
      </c>
      <c r="L520" s="24" t="s">
        <v>45</v>
      </c>
      <c r="M520" s="24" t="s">
        <v>41</v>
      </c>
      <c r="N520" s="27" t="s">
        <v>3647</v>
      </c>
      <c r="O520" s="6">
        <v>1</v>
      </c>
      <c r="P520" s="2" t="s">
        <v>3503</v>
      </c>
      <c r="Q520" s="24" t="e">
        <f>IF(Tabla1[[#This Row],[evaluacion_]]="","",IF(Tabla1[[#This Row],[evaluacion_]]=1,"Habilitado","No Habilitado"))</f>
        <v>#VALUE!</v>
      </c>
      <c r="R520" s="2" t="e">
        <f>IF(Tabla1[[#This Row],[fecha]]="","",TEXT(Tabla1[[#This Row],[fecha]],"DMMAAAA")&amp;TEXT(Tabla1[[#This Row],[hora]],"HHmm"))</f>
        <v>#VALUE!</v>
      </c>
      <c r="S520" s="19" t="e">
        <f>_xlfn.CONCAT(Tabla1[[#This Row],[codigo_]],Tabla1[[#This Row],[correlativo_]])</f>
        <v>#VALUE!</v>
      </c>
      <c r="T520" s="2" t="str">
        <f t="shared" si="8"/>
        <v>10 de octubre del 2025</v>
      </c>
      <c r="U520" s="2" t="e">
        <f>_xlfn.XLOOKUP(Tabla1[[#This Row],[instructor_2]],diccionario_!$A$1:$A$11,diccionario_!$D$1:$D$11,,0)</f>
        <v>#VALUE!</v>
      </c>
      <c r="V520" s="2" t="str">
        <f t="shared" si="9"/>
        <v>100%</v>
      </c>
      <c r="W520" s="2" t="s">
        <v>4441</v>
      </c>
    </row>
    <row r="521" spans="1:23" ht="16.5" customHeight="1">
      <c r="A521" s="2">
        <v>643</v>
      </c>
      <c r="B521" s="24" t="s">
        <v>14</v>
      </c>
      <c r="C521" s="24" t="s">
        <v>15</v>
      </c>
      <c r="D521" s="24" t="s">
        <v>9</v>
      </c>
      <c r="E521" s="11">
        <v>45940</v>
      </c>
      <c r="F521" s="14">
        <v>0.66527777777777797</v>
      </c>
      <c r="G521" s="24" t="s">
        <v>817</v>
      </c>
      <c r="H521" s="24" t="s">
        <v>818</v>
      </c>
      <c r="I521" s="24" t="s">
        <v>29</v>
      </c>
      <c r="J521" s="24" t="s">
        <v>24</v>
      </c>
      <c r="K521" s="24" t="s">
        <v>47</v>
      </c>
      <c r="L521" s="24" t="s">
        <v>46</v>
      </c>
      <c r="M521" s="24"/>
      <c r="N521" s="27" t="s">
        <v>3574</v>
      </c>
      <c r="O521" s="6">
        <v>1</v>
      </c>
      <c r="P521" s="2" t="s">
        <v>3503</v>
      </c>
      <c r="Q521" s="24" t="e">
        <f>IF(Tabla1[[#This Row],[evaluacion_]]="","",IF(Tabla1[[#This Row],[evaluacion_]]=1,"Habilitado","No Habilitado"))</f>
        <v>#VALUE!</v>
      </c>
      <c r="R521" s="2" t="e">
        <f>IF(Tabla1[[#This Row],[fecha]]="","",TEXT(Tabla1[[#This Row],[fecha]],"DMMAAAA")&amp;TEXT(Tabla1[[#This Row],[hora]],"HHmm"))</f>
        <v>#VALUE!</v>
      </c>
      <c r="S521" s="19" t="e">
        <f>_xlfn.CONCAT(Tabla1[[#This Row],[codigo_]],Tabla1[[#This Row],[correlativo_]])</f>
        <v>#VALUE!</v>
      </c>
      <c r="T521" s="2" t="str">
        <f t="shared" si="8"/>
        <v>10 de octubre del 2025</v>
      </c>
      <c r="U521" s="2" t="e">
        <f>_xlfn.XLOOKUP(Tabla1[[#This Row],[instructor_2]],diccionario_!$A$1:$A$11,diccionario_!$D$1:$D$11,,0)</f>
        <v>#VALUE!</v>
      </c>
      <c r="V521" s="2" t="str">
        <f t="shared" si="9"/>
        <v>100%</v>
      </c>
      <c r="W521" s="2" t="s">
        <v>4441</v>
      </c>
    </row>
    <row r="522" spans="1:23" ht="16.5" customHeight="1">
      <c r="A522" s="2">
        <v>644</v>
      </c>
      <c r="B522" s="24" t="s">
        <v>14</v>
      </c>
      <c r="C522" s="24" t="s">
        <v>15</v>
      </c>
      <c r="D522" s="24" t="s">
        <v>9</v>
      </c>
      <c r="E522" s="11">
        <v>45955</v>
      </c>
      <c r="F522" s="14">
        <v>0.65902777777777799</v>
      </c>
      <c r="G522" s="24" t="s">
        <v>3099</v>
      </c>
      <c r="H522" s="24" t="s">
        <v>3100</v>
      </c>
      <c r="I522" s="24" t="s">
        <v>23</v>
      </c>
      <c r="J522" s="24" t="s">
        <v>24</v>
      </c>
      <c r="K522" s="24" t="s">
        <v>44</v>
      </c>
      <c r="L522" s="24" t="s">
        <v>45</v>
      </c>
      <c r="M522" s="24" t="s">
        <v>41</v>
      </c>
      <c r="N522" s="27" t="s">
        <v>3647</v>
      </c>
      <c r="O522" s="6">
        <v>1</v>
      </c>
      <c r="P522" s="2" t="s">
        <v>3503</v>
      </c>
      <c r="Q522" s="24" t="e">
        <f>IF(Tabla1[[#This Row],[evaluacion_]]="","",IF(Tabla1[[#This Row],[evaluacion_]]=1,"Habilitado","No Habilitado"))</f>
        <v>#VALUE!</v>
      </c>
      <c r="R522" s="2" t="e">
        <f>IF(Tabla1[[#This Row],[fecha]]="","",TEXT(Tabla1[[#This Row],[fecha]],"DMMAAAA")&amp;TEXT(Tabla1[[#This Row],[hora]],"HHmm"))</f>
        <v>#VALUE!</v>
      </c>
      <c r="S522" s="19" t="e">
        <f>_xlfn.CONCAT(Tabla1[[#This Row],[codigo_]],Tabla1[[#This Row],[correlativo_]])</f>
        <v>#VALUE!</v>
      </c>
      <c r="T522" s="2" t="str">
        <f t="shared" si="8"/>
        <v>25 de octubre del 2025</v>
      </c>
      <c r="U522" s="2" t="e">
        <f>_xlfn.XLOOKUP(Tabla1[[#This Row],[instructor_2]],diccionario_!$A$1:$A$11,diccionario_!$D$1:$D$11,,0)</f>
        <v>#VALUE!</v>
      </c>
      <c r="V522" s="2" t="str">
        <f t="shared" si="9"/>
        <v>100%</v>
      </c>
      <c r="W522" s="2" t="s">
        <v>4442</v>
      </c>
    </row>
    <row r="523" spans="1:23" ht="16.5" customHeight="1">
      <c r="A523" s="2">
        <v>645</v>
      </c>
      <c r="B523" s="24" t="s">
        <v>14</v>
      </c>
      <c r="C523" s="24" t="s">
        <v>15</v>
      </c>
      <c r="D523" s="24" t="s">
        <v>9</v>
      </c>
      <c r="E523" s="11">
        <v>45955</v>
      </c>
      <c r="F523" s="14">
        <v>0.66180555555555598</v>
      </c>
      <c r="G523" s="24" t="s">
        <v>3099</v>
      </c>
      <c r="H523" s="24" t="s">
        <v>3100</v>
      </c>
      <c r="I523" s="24" t="s">
        <v>29</v>
      </c>
      <c r="J523" s="24" t="s">
        <v>24</v>
      </c>
      <c r="K523" s="24" t="s">
        <v>47</v>
      </c>
      <c r="L523" s="24" t="s">
        <v>46</v>
      </c>
      <c r="M523" s="24"/>
      <c r="N523" s="27" t="s">
        <v>3574</v>
      </c>
      <c r="O523" s="6">
        <v>1</v>
      </c>
      <c r="P523" s="2" t="s">
        <v>3503</v>
      </c>
      <c r="Q523" s="24" t="e">
        <f>IF(Tabla1[[#This Row],[evaluacion_]]="","",IF(Tabla1[[#This Row],[evaluacion_]]=1,"Habilitado","No Habilitado"))</f>
        <v>#VALUE!</v>
      </c>
      <c r="R523" s="2" t="e">
        <f>IF(Tabla1[[#This Row],[fecha]]="","",TEXT(Tabla1[[#This Row],[fecha]],"DMMAAAA")&amp;TEXT(Tabla1[[#This Row],[hora]],"HHmm"))</f>
        <v>#VALUE!</v>
      </c>
      <c r="S523" s="19" t="e">
        <f>_xlfn.CONCAT(Tabla1[[#This Row],[codigo_]],Tabla1[[#This Row],[correlativo_]])</f>
        <v>#VALUE!</v>
      </c>
      <c r="T523" s="2" t="str">
        <f t="shared" si="8"/>
        <v>25 de octubre del 2025</v>
      </c>
      <c r="U523" s="2" t="e">
        <f>_xlfn.XLOOKUP(Tabla1[[#This Row],[instructor_2]],diccionario_!$A$1:$A$11,diccionario_!$D$1:$D$11,,0)</f>
        <v>#VALUE!</v>
      </c>
      <c r="V523" s="2" t="str">
        <f t="shared" si="9"/>
        <v>100%</v>
      </c>
      <c r="W523" s="2" t="s">
        <v>4442</v>
      </c>
    </row>
    <row r="524" spans="1:23" ht="16.5" customHeight="1">
      <c r="A524" s="2">
        <v>646</v>
      </c>
      <c r="B524" s="24" t="s">
        <v>32</v>
      </c>
      <c r="C524" s="24" t="s">
        <v>33</v>
      </c>
      <c r="D524" s="24" t="s">
        <v>9</v>
      </c>
      <c r="E524" s="11">
        <v>45995</v>
      </c>
      <c r="F524" s="14">
        <v>0.75</v>
      </c>
      <c r="G524" s="24" t="s">
        <v>1595</v>
      </c>
      <c r="H524" s="24" t="s">
        <v>1596</v>
      </c>
      <c r="I524" s="24" t="s">
        <v>11</v>
      </c>
      <c r="J524" s="24" t="s">
        <v>36</v>
      </c>
      <c r="K524" s="24" t="s">
        <v>25</v>
      </c>
      <c r="L524" s="24"/>
      <c r="M524" s="24"/>
      <c r="N524" s="27" t="s">
        <v>25</v>
      </c>
      <c r="O524" s="6">
        <v>1</v>
      </c>
      <c r="P524" s="2" t="s">
        <v>3503</v>
      </c>
      <c r="Q524" s="24" t="e">
        <f>IF(Tabla1[[#This Row],[evaluacion_]]="","",IF(Tabla1[[#This Row],[evaluacion_]]=1,"Habilitado","No Habilitado"))</f>
        <v>#VALUE!</v>
      </c>
      <c r="R524" s="2" t="e">
        <f>IF(Tabla1[[#This Row],[fecha]]="","",TEXT(Tabla1[[#This Row],[fecha]],"DMMAAAA")&amp;TEXT(Tabla1[[#This Row],[hora]],"HHmm"))</f>
        <v>#VALUE!</v>
      </c>
      <c r="S524" s="19" t="e">
        <f>_xlfn.CONCAT(Tabla1[[#This Row],[codigo_]],Tabla1[[#This Row],[correlativo_]])</f>
        <v>#VALUE!</v>
      </c>
      <c r="T524" s="2" t="str">
        <f t="shared" si="8"/>
        <v>4 de diciembre del 2025</v>
      </c>
      <c r="U524" s="2" t="e">
        <f>_xlfn.XLOOKUP(Tabla1[[#This Row],[instructor_2]],diccionario_!$A$1:$A$11,diccionario_!$D$1:$D$11,,0)</f>
        <v>#VALUE!</v>
      </c>
      <c r="V524" s="2" t="str">
        <f t="shared" si="9"/>
        <v>100%</v>
      </c>
      <c r="W524" s="2" t="s">
        <v>4443</v>
      </c>
    </row>
    <row r="525" spans="1:23" ht="16.5" customHeight="1">
      <c r="A525" s="2">
        <v>647</v>
      </c>
      <c r="B525" s="24" t="s">
        <v>32</v>
      </c>
      <c r="C525" s="24" t="s">
        <v>33</v>
      </c>
      <c r="D525" s="24" t="s">
        <v>9</v>
      </c>
      <c r="E525" s="11">
        <v>45961</v>
      </c>
      <c r="F525" s="14">
        <v>0.75</v>
      </c>
      <c r="G525" s="24" t="s">
        <v>2589</v>
      </c>
      <c r="H525" s="24" t="s">
        <v>2590</v>
      </c>
      <c r="I525" s="24" t="s">
        <v>4444</v>
      </c>
      <c r="J525" s="24" t="s">
        <v>30</v>
      </c>
      <c r="K525" s="24" t="s">
        <v>37</v>
      </c>
      <c r="L525" s="24"/>
      <c r="M525" s="24"/>
      <c r="N525" s="27" t="s">
        <v>37</v>
      </c>
      <c r="O525" s="6">
        <v>1</v>
      </c>
      <c r="P525" s="2" t="s">
        <v>3503</v>
      </c>
      <c r="Q525" s="24" t="e">
        <f>IF(Tabla1[[#This Row],[evaluacion_]]="","",IF(Tabla1[[#This Row],[evaluacion_]]=1,"Habilitado","No Habilitado"))</f>
        <v>#VALUE!</v>
      </c>
      <c r="R525" s="2" t="e">
        <f>IF(Tabla1[[#This Row],[fecha]]="","",TEXT(Tabla1[[#This Row],[fecha]],"DMMAAAA")&amp;TEXT(Tabla1[[#This Row],[hora]],"HHmm"))</f>
        <v>#VALUE!</v>
      </c>
      <c r="S525" s="19" t="e">
        <f>_xlfn.CONCAT(Tabla1[[#This Row],[codigo_]],Tabla1[[#This Row],[correlativo_]])</f>
        <v>#VALUE!</v>
      </c>
      <c r="T525" s="2" t="str">
        <f t="shared" si="8"/>
        <v>31 de octubre del 2025</v>
      </c>
      <c r="U525" s="2" t="e">
        <f>_xlfn.XLOOKUP(Tabla1[[#This Row],[instructor_2]],diccionario_!$A$1:$A$11,diccionario_!$D$1:$D$11,,0)</f>
        <v>#VALUE!</v>
      </c>
      <c r="V525" s="2" t="str">
        <f t="shared" si="9"/>
        <v>100%</v>
      </c>
      <c r="W525" s="2" t="s">
        <v>4445</v>
      </c>
    </row>
    <row r="526" spans="1:23" ht="16.5" customHeight="1">
      <c r="A526" s="2">
        <v>648</v>
      </c>
      <c r="B526" s="24" t="s">
        <v>7</v>
      </c>
      <c r="C526" s="24" t="s">
        <v>8</v>
      </c>
      <c r="D526" s="24" t="s">
        <v>9</v>
      </c>
      <c r="E526" s="11">
        <v>45968</v>
      </c>
      <c r="F526" s="14">
        <v>0.625</v>
      </c>
      <c r="G526" s="24" t="s">
        <v>2589</v>
      </c>
      <c r="H526" s="24" t="s">
        <v>2590</v>
      </c>
      <c r="I526" s="24" t="s">
        <v>11</v>
      </c>
      <c r="J526" s="24" t="s">
        <v>36</v>
      </c>
      <c r="K526" s="24" t="s">
        <v>25</v>
      </c>
      <c r="L526" s="24"/>
      <c r="M526" s="24"/>
      <c r="N526" s="27" t="s">
        <v>25</v>
      </c>
      <c r="O526" s="6">
        <v>1</v>
      </c>
      <c r="P526" s="2" t="s">
        <v>3503</v>
      </c>
      <c r="Q526" s="24" t="e">
        <f>IF(Tabla1[[#This Row],[evaluacion_]]="","",IF(Tabla1[[#This Row],[evaluacion_]]=1,"Habilitado","No Habilitado"))</f>
        <v>#VALUE!</v>
      </c>
      <c r="R526" s="2" t="e">
        <f>IF(Tabla1[[#This Row],[fecha]]="","",TEXT(Tabla1[[#This Row],[fecha]],"DMMAAAA")&amp;TEXT(Tabla1[[#This Row],[hora]],"HHmm"))</f>
        <v>#VALUE!</v>
      </c>
      <c r="S526" s="19" t="e">
        <f>_xlfn.CONCAT(Tabla1[[#This Row],[codigo_]],Tabla1[[#This Row],[correlativo_]])</f>
        <v>#VALUE!</v>
      </c>
      <c r="T526" s="2" t="str">
        <f t="shared" si="8"/>
        <v>7 de noviembre del 2025</v>
      </c>
      <c r="U526" s="2" t="e">
        <f>_xlfn.XLOOKUP(Tabla1[[#This Row],[instructor_2]],diccionario_!$A$1:$A$11,diccionario_!$D$1:$D$11,,0)</f>
        <v>#VALUE!</v>
      </c>
      <c r="V526" s="2" t="str">
        <f t="shared" si="9"/>
        <v>100%</v>
      </c>
      <c r="W526" s="2" t="s">
        <v>4446</v>
      </c>
    </row>
    <row r="527" spans="1:23" ht="16.5" customHeight="1">
      <c r="A527" s="2">
        <v>649</v>
      </c>
      <c r="B527" s="24" t="s">
        <v>7</v>
      </c>
      <c r="C527" s="24" t="s">
        <v>8</v>
      </c>
      <c r="D527" s="24" t="s">
        <v>9</v>
      </c>
      <c r="E527" s="11">
        <v>45968</v>
      </c>
      <c r="F527" s="14">
        <v>0.5</v>
      </c>
      <c r="G527" s="24" t="s">
        <v>2589</v>
      </c>
      <c r="H527" s="24" t="s">
        <v>2590</v>
      </c>
      <c r="I527" s="24" t="s">
        <v>11</v>
      </c>
      <c r="J527" s="24" t="s">
        <v>30</v>
      </c>
      <c r="K527" s="24" t="s">
        <v>37</v>
      </c>
      <c r="L527" s="24"/>
      <c r="M527" s="24"/>
      <c r="N527" s="27" t="s">
        <v>37</v>
      </c>
      <c r="O527" s="6">
        <v>1</v>
      </c>
      <c r="P527" s="2" t="s">
        <v>3503</v>
      </c>
      <c r="Q527" s="24" t="e">
        <f>IF(Tabla1[[#This Row],[evaluacion_]]="","",IF(Tabla1[[#This Row],[evaluacion_]]=1,"Habilitado","No Habilitado"))</f>
        <v>#VALUE!</v>
      </c>
      <c r="R527" s="2" t="e">
        <f>IF(Tabla1[[#This Row],[fecha]]="","",TEXT(Tabla1[[#This Row],[fecha]],"DMMAAAA")&amp;TEXT(Tabla1[[#This Row],[hora]],"HHmm"))</f>
        <v>#VALUE!</v>
      </c>
      <c r="S527" s="19" t="e">
        <f>_xlfn.CONCAT(Tabla1[[#This Row],[codigo_]],Tabla1[[#This Row],[correlativo_]])</f>
        <v>#VALUE!</v>
      </c>
      <c r="T527" s="2" t="str">
        <f t="shared" si="8"/>
        <v>7 de noviembre del 2025</v>
      </c>
      <c r="U527" s="2" t="e">
        <f>_xlfn.XLOOKUP(Tabla1[[#This Row],[instructor_2]],diccionario_!$A$1:$A$11,diccionario_!$D$1:$D$11,,0)</f>
        <v>#VALUE!</v>
      </c>
      <c r="V527" s="2" t="str">
        <f t="shared" si="9"/>
        <v>100%</v>
      </c>
      <c r="W527" s="2" t="s">
        <v>4446</v>
      </c>
    </row>
    <row r="528" spans="1:23" ht="16.5" customHeight="1">
      <c r="A528" s="2">
        <v>650</v>
      </c>
      <c r="B528" s="24" t="s">
        <v>32</v>
      </c>
      <c r="C528" s="24" t="s">
        <v>33</v>
      </c>
      <c r="D528" s="24" t="s">
        <v>9</v>
      </c>
      <c r="E528" s="11">
        <v>45995</v>
      </c>
      <c r="F528" s="14">
        <v>0.75</v>
      </c>
      <c r="G528" s="24" t="s">
        <v>1595</v>
      </c>
      <c r="H528" s="24" t="s">
        <v>1596</v>
      </c>
      <c r="I528" s="24" t="s">
        <v>4447</v>
      </c>
      <c r="J528" s="24" t="s">
        <v>36</v>
      </c>
      <c r="K528" s="24" t="s">
        <v>25</v>
      </c>
      <c r="L528" s="24"/>
      <c r="M528" s="24"/>
      <c r="N528" s="27" t="s">
        <v>25</v>
      </c>
      <c r="O528" s="6">
        <v>1</v>
      </c>
      <c r="P528" s="2" t="s">
        <v>3503</v>
      </c>
      <c r="Q528" s="24" t="e">
        <f>IF(Tabla1[[#This Row],[evaluacion_]]="","",IF(Tabla1[[#This Row],[evaluacion_]]=1,"Habilitado","No Habilitado"))</f>
        <v>#VALUE!</v>
      </c>
      <c r="R528" s="2" t="e">
        <f>IF(Tabla1[[#This Row],[fecha]]="","",TEXT(Tabla1[[#This Row],[fecha]],"DMMAAAA")&amp;TEXT(Tabla1[[#This Row],[hora]],"HHmm"))</f>
        <v>#VALUE!</v>
      </c>
      <c r="S528" s="19" t="e">
        <f>_xlfn.CONCAT(Tabla1[[#This Row],[codigo_]],Tabla1[[#This Row],[correlativo_]])</f>
        <v>#VALUE!</v>
      </c>
      <c r="T528" s="2" t="str">
        <f t="shared" si="8"/>
        <v>4 de diciembre del 2025</v>
      </c>
      <c r="U528" s="2" t="e">
        <f>_xlfn.XLOOKUP(Tabla1[[#This Row],[instructor_2]],diccionario_!$A$1:$A$11,diccionario_!$D$1:$D$11,,0)</f>
        <v>#VALUE!</v>
      </c>
      <c r="V528" s="2" t="str">
        <f t="shared" si="9"/>
        <v>100%</v>
      </c>
      <c r="W528" s="2" t="s">
        <v>4448</v>
      </c>
    </row>
    <row r="529" spans="1:23" ht="16.5" customHeight="1">
      <c r="A529" s="2">
        <v>651</v>
      </c>
      <c r="B529" s="24" t="s">
        <v>32</v>
      </c>
      <c r="C529" s="24" t="s">
        <v>33</v>
      </c>
      <c r="D529" s="24" t="s">
        <v>9</v>
      </c>
      <c r="E529" s="11">
        <v>45995</v>
      </c>
      <c r="F529" s="14">
        <v>0.75</v>
      </c>
      <c r="G529" s="24" t="s">
        <v>3232</v>
      </c>
      <c r="H529" s="24" t="s">
        <v>3233</v>
      </c>
      <c r="I529" s="24" t="s">
        <v>4449</v>
      </c>
      <c r="J529" s="24" t="s">
        <v>36</v>
      </c>
      <c r="K529" s="24" t="s">
        <v>25</v>
      </c>
      <c r="L529" s="24"/>
      <c r="M529" s="24"/>
      <c r="N529" s="27" t="s">
        <v>25</v>
      </c>
      <c r="O529" s="6">
        <v>1</v>
      </c>
      <c r="P529" s="2" t="s">
        <v>3503</v>
      </c>
      <c r="Q529" s="24" t="e">
        <f>IF(Tabla1[[#This Row],[evaluacion_]]="","",IF(Tabla1[[#This Row],[evaluacion_]]=1,"Habilitado","No Habilitado"))</f>
        <v>#VALUE!</v>
      </c>
      <c r="R529" s="2" t="e">
        <f>IF(Tabla1[[#This Row],[fecha]]="","",TEXT(Tabla1[[#This Row],[fecha]],"DMMAAAA")&amp;TEXT(Tabla1[[#This Row],[hora]],"HHmm"))</f>
        <v>#VALUE!</v>
      </c>
      <c r="S529" s="19" t="e">
        <f>_xlfn.CONCAT(Tabla1[[#This Row],[codigo_]],Tabla1[[#This Row],[correlativo_]])</f>
        <v>#VALUE!</v>
      </c>
      <c r="T529" s="2" t="str">
        <f t="shared" si="8"/>
        <v>4 de diciembre del 2025</v>
      </c>
      <c r="U529" s="2" t="e">
        <f>_xlfn.XLOOKUP(Tabla1[[#This Row],[instructor_2]],diccionario_!$A$1:$A$11,diccionario_!$D$1:$D$11,,0)</f>
        <v>#VALUE!</v>
      </c>
      <c r="V529" s="2" t="str">
        <f t="shared" si="9"/>
        <v>100%</v>
      </c>
      <c r="W529" s="2" t="s">
        <v>4450</v>
      </c>
    </row>
    <row r="530" spans="1:23" ht="16.5" customHeight="1">
      <c r="A530" s="2">
        <v>652</v>
      </c>
      <c r="B530" s="24" t="s">
        <v>32</v>
      </c>
      <c r="C530" s="24" t="s">
        <v>33</v>
      </c>
      <c r="D530" s="24" t="s">
        <v>9</v>
      </c>
      <c r="E530" s="11">
        <v>45995</v>
      </c>
      <c r="F530" s="14">
        <v>0.75</v>
      </c>
      <c r="G530" s="24" t="s">
        <v>3415</v>
      </c>
      <c r="H530" s="24" t="s">
        <v>3416</v>
      </c>
      <c r="I530" s="24" t="s">
        <v>4444</v>
      </c>
      <c r="J530" s="24" t="s">
        <v>36</v>
      </c>
      <c r="K530" s="24" t="s">
        <v>25</v>
      </c>
      <c r="L530" s="24"/>
      <c r="M530" s="24"/>
      <c r="N530" s="27" t="s">
        <v>25</v>
      </c>
      <c r="O530" s="6">
        <v>1</v>
      </c>
      <c r="P530" s="2" t="s">
        <v>3503</v>
      </c>
      <c r="Q530" s="24" t="e">
        <f>IF(Tabla1[[#This Row],[evaluacion_]]="","",IF(Tabla1[[#This Row],[evaluacion_]]=1,"Habilitado","No Habilitado"))</f>
        <v>#VALUE!</v>
      </c>
      <c r="R530" s="2" t="e">
        <f>IF(Tabla1[[#This Row],[fecha]]="","",TEXT(Tabla1[[#This Row],[fecha]],"DMMAAAA")&amp;TEXT(Tabla1[[#This Row],[hora]],"HHmm"))</f>
        <v>#VALUE!</v>
      </c>
      <c r="S530" s="19" t="e">
        <f>_xlfn.CONCAT(Tabla1[[#This Row],[codigo_]],Tabla1[[#This Row],[correlativo_]])</f>
        <v>#VALUE!</v>
      </c>
      <c r="T530" s="2" t="str">
        <f t="shared" si="8"/>
        <v>4 de diciembre del 2025</v>
      </c>
      <c r="U530" s="2" t="e">
        <f>_xlfn.XLOOKUP(Tabla1[[#This Row],[instructor_2]],diccionario_!$A$1:$A$11,diccionario_!$D$1:$D$11,,0)</f>
        <v>#VALUE!</v>
      </c>
      <c r="V530" s="2" t="str">
        <f t="shared" si="9"/>
        <v>100%</v>
      </c>
      <c r="W530" s="2" t="s">
        <v>4451</v>
      </c>
    </row>
    <row r="531" spans="1:23" ht="16.5" customHeight="1">
      <c r="A531" s="2">
        <v>653</v>
      </c>
      <c r="B531" s="24" t="s">
        <v>32</v>
      </c>
      <c r="C531" s="24" t="s">
        <v>33</v>
      </c>
      <c r="D531" s="24" t="s">
        <v>9</v>
      </c>
      <c r="E531" s="11">
        <v>46009</v>
      </c>
      <c r="F531" s="14">
        <v>0.75</v>
      </c>
      <c r="G531" s="24" t="s">
        <v>2469</v>
      </c>
      <c r="H531" s="24" t="s">
        <v>2470</v>
      </c>
      <c r="I531" s="24" t="s">
        <v>11</v>
      </c>
      <c r="J531" s="24" t="s">
        <v>36</v>
      </c>
      <c r="K531" s="24" t="s">
        <v>25</v>
      </c>
      <c r="L531" s="24"/>
      <c r="M531" s="24"/>
      <c r="N531" s="27" t="s">
        <v>25</v>
      </c>
      <c r="O531" s="6">
        <v>1</v>
      </c>
      <c r="P531" s="2" t="s">
        <v>3503</v>
      </c>
      <c r="Q531" s="24" t="e">
        <f>IF(Tabla1[[#This Row],[evaluacion_]]="","",IF(Tabla1[[#This Row],[evaluacion_]]=1,"Habilitado","No Habilitado"))</f>
        <v>#VALUE!</v>
      </c>
      <c r="R531" s="2" t="e">
        <f>IF(Tabla1[[#This Row],[fecha]]="","",TEXT(Tabla1[[#This Row],[fecha]],"DMMAAAA")&amp;TEXT(Tabla1[[#This Row],[hora]],"HHmm"))</f>
        <v>#VALUE!</v>
      </c>
      <c r="S531" s="19" t="e">
        <f>_xlfn.CONCAT(Tabla1[[#This Row],[codigo_]],Tabla1[[#This Row],[correlativo_]])</f>
        <v>#VALUE!</v>
      </c>
      <c r="T531" s="2" t="str">
        <f t="shared" si="8"/>
        <v>18 de diciembre del 2025</v>
      </c>
      <c r="U531" s="2" t="e">
        <f>_xlfn.XLOOKUP(Tabla1[[#This Row],[instructor_2]],diccionario_!$A$1:$A$11,diccionario_!$D$1:$D$11,,0)</f>
        <v>#VALUE!</v>
      </c>
      <c r="V531" s="2" t="str">
        <f t="shared" si="9"/>
        <v>100%</v>
      </c>
      <c r="W531" s="2" t="s">
        <v>4452</v>
      </c>
    </row>
    <row r="532" spans="1:23" ht="16.5" customHeight="1">
      <c r="A532" s="2">
        <v>654</v>
      </c>
      <c r="B532" s="24" t="s">
        <v>32</v>
      </c>
      <c r="C532" s="24" t="s">
        <v>33</v>
      </c>
      <c r="D532" s="24" t="s">
        <v>9</v>
      </c>
      <c r="E532" s="11">
        <v>45993</v>
      </c>
      <c r="F532" s="14">
        <v>0.75</v>
      </c>
      <c r="G532" s="24" t="s">
        <v>1825</v>
      </c>
      <c r="H532" s="24" t="s">
        <v>1826</v>
      </c>
      <c r="I532" s="24" t="s">
        <v>11</v>
      </c>
      <c r="J532" s="24" t="s">
        <v>12</v>
      </c>
      <c r="K532" s="24" t="s">
        <v>25</v>
      </c>
      <c r="L532" s="24" t="s">
        <v>13</v>
      </c>
      <c r="M532" s="24"/>
      <c r="N532" s="27" t="s">
        <v>4344</v>
      </c>
      <c r="O532" s="6">
        <v>1</v>
      </c>
      <c r="P532" s="2" t="s">
        <v>3503</v>
      </c>
      <c r="Q532" s="24" t="e">
        <f>IF(Tabla1[[#This Row],[evaluacion_]]="","",IF(Tabla1[[#This Row],[evaluacion_]]=1,"Habilitado","No Habilitado"))</f>
        <v>#VALUE!</v>
      </c>
      <c r="R532" s="2" t="e">
        <f>IF(Tabla1[[#This Row],[fecha]]="","",TEXT(Tabla1[[#This Row],[fecha]],"DMMAAAA")&amp;TEXT(Tabla1[[#This Row],[hora]],"HHmm"))</f>
        <v>#VALUE!</v>
      </c>
      <c r="S532" s="19" t="e">
        <f>_xlfn.CONCAT(Tabla1[[#This Row],[codigo_]],Tabla1[[#This Row],[correlativo_]])</f>
        <v>#VALUE!</v>
      </c>
      <c r="T532" s="2" t="str">
        <f t="shared" si="8"/>
        <v>2 de diciembre del 2025</v>
      </c>
      <c r="U532" s="2" t="e">
        <f>_xlfn.XLOOKUP(Tabla1[[#This Row],[instructor_2]],diccionario_!$A$1:$A$11,diccionario_!$D$1:$D$11,,0)</f>
        <v>#VALUE!</v>
      </c>
      <c r="V532" s="2" t="str">
        <f t="shared" si="9"/>
        <v>100%</v>
      </c>
      <c r="W532" s="2" t="s">
        <v>4453</v>
      </c>
    </row>
    <row r="533" spans="1:23" ht="16.5" customHeight="1">
      <c r="A533" s="2">
        <v>655</v>
      </c>
      <c r="B533" s="24" t="s">
        <v>32</v>
      </c>
      <c r="C533" s="24" t="s">
        <v>33</v>
      </c>
      <c r="D533" s="24" t="s">
        <v>9</v>
      </c>
      <c r="E533" s="11">
        <v>45993</v>
      </c>
      <c r="F533" s="14">
        <v>0.75</v>
      </c>
      <c r="G533" s="24" t="s">
        <v>1825</v>
      </c>
      <c r="H533" s="24" t="s">
        <v>1826</v>
      </c>
      <c r="I533" s="24" t="s">
        <v>23</v>
      </c>
      <c r="J533" s="24" t="s">
        <v>12</v>
      </c>
      <c r="K533" s="24" t="s">
        <v>41</v>
      </c>
      <c r="L533" s="24" t="s">
        <v>43</v>
      </c>
      <c r="M533" s="24"/>
      <c r="N533" s="27" t="s">
        <v>3612</v>
      </c>
      <c r="O533" s="6">
        <v>1</v>
      </c>
      <c r="P533" s="2" t="s">
        <v>3503</v>
      </c>
      <c r="Q533" s="24" t="e">
        <f>IF(Tabla1[[#This Row],[evaluacion_]]="","",IF(Tabla1[[#This Row],[evaluacion_]]=1,"Habilitado","No Habilitado"))</f>
        <v>#VALUE!</v>
      </c>
      <c r="R533" s="2" t="e">
        <f>IF(Tabla1[[#This Row],[fecha]]="","",TEXT(Tabla1[[#This Row],[fecha]],"DMMAAAA")&amp;TEXT(Tabla1[[#This Row],[hora]],"HHmm"))</f>
        <v>#VALUE!</v>
      </c>
      <c r="S533" s="19" t="e">
        <f>_xlfn.CONCAT(Tabla1[[#This Row],[codigo_]],Tabla1[[#This Row],[correlativo_]])</f>
        <v>#VALUE!</v>
      </c>
      <c r="T533" s="2" t="str">
        <f t="shared" si="8"/>
        <v>2 de diciembre del 2025</v>
      </c>
      <c r="U533" s="2" t="e">
        <f>_xlfn.XLOOKUP(Tabla1[[#This Row],[instructor_2]],diccionario_!$A$1:$A$11,diccionario_!$D$1:$D$11,,0)</f>
        <v>#VALUE!</v>
      </c>
      <c r="V533" s="2" t="str">
        <f t="shared" si="9"/>
        <v>100%</v>
      </c>
      <c r="W533" s="2" t="s">
        <v>4454</v>
      </c>
    </row>
    <row r="534" spans="1:23" ht="16.5" customHeight="1">
      <c r="A534" s="2">
        <v>656</v>
      </c>
      <c r="B534" s="24" t="s">
        <v>32</v>
      </c>
      <c r="C534" s="24" t="s">
        <v>33</v>
      </c>
      <c r="D534" s="24" t="s">
        <v>9</v>
      </c>
      <c r="E534" s="11">
        <v>46009</v>
      </c>
      <c r="F534" s="14">
        <v>0.75</v>
      </c>
      <c r="G534" s="24" t="s">
        <v>2007</v>
      </c>
      <c r="H534" s="24" t="s">
        <v>2008</v>
      </c>
      <c r="I534" s="24" t="s">
        <v>11</v>
      </c>
      <c r="J534" s="24" t="s">
        <v>30</v>
      </c>
      <c r="K534" s="24" t="s">
        <v>25</v>
      </c>
      <c r="L534" s="24" t="s">
        <v>37</v>
      </c>
      <c r="M534" s="24"/>
      <c r="N534" s="27" t="s">
        <v>3959</v>
      </c>
      <c r="O534" s="6">
        <v>1</v>
      </c>
      <c r="P534" s="2" t="s">
        <v>3503</v>
      </c>
      <c r="Q534" s="24" t="e">
        <f>IF(Tabla1[[#This Row],[evaluacion_]]="","",IF(Tabla1[[#This Row],[evaluacion_]]=1,"Habilitado","No Habilitado"))</f>
        <v>#VALUE!</v>
      </c>
      <c r="R534" s="2" t="e">
        <f>IF(Tabla1[[#This Row],[fecha]]="","",TEXT(Tabla1[[#This Row],[fecha]],"DMMAAAA")&amp;TEXT(Tabla1[[#This Row],[hora]],"HHmm"))</f>
        <v>#VALUE!</v>
      </c>
      <c r="S534" s="19" t="e">
        <f>_xlfn.CONCAT(Tabla1[[#This Row],[codigo_]],Tabla1[[#This Row],[correlativo_]])</f>
        <v>#VALUE!</v>
      </c>
      <c r="T534" s="2" t="str">
        <f t="shared" si="8"/>
        <v>18 de diciembre del 2025</v>
      </c>
      <c r="U534" s="2" t="e">
        <f>_xlfn.XLOOKUP(Tabla1[[#This Row],[instructor_2]],diccionario_!$A$1:$A$11,diccionario_!$D$1:$D$11,,0)</f>
        <v>#VALUE!</v>
      </c>
      <c r="V534" s="2" t="str">
        <f t="shared" si="9"/>
        <v>100%</v>
      </c>
      <c r="W534" s="2" t="s">
        <v>4455</v>
      </c>
    </row>
    <row r="535" spans="1:23" ht="16.5" customHeight="1">
      <c r="A535" s="2">
        <v>657</v>
      </c>
      <c r="B535" s="24" t="s">
        <v>32</v>
      </c>
      <c r="C535" s="24" t="s">
        <v>33</v>
      </c>
      <c r="D535" s="24" t="s">
        <v>9</v>
      </c>
      <c r="E535" s="11">
        <v>46009</v>
      </c>
      <c r="F535" s="14">
        <v>0.75</v>
      </c>
      <c r="G535" s="24" t="s">
        <v>1659</v>
      </c>
      <c r="H535" s="24" t="s">
        <v>1660</v>
      </c>
      <c r="I535" s="24" t="s">
        <v>11</v>
      </c>
      <c r="J535" s="24" t="s">
        <v>12</v>
      </c>
      <c r="K535" s="24" t="s">
        <v>13</v>
      </c>
      <c r="L535" s="24" t="s">
        <v>25</v>
      </c>
      <c r="M535" s="24"/>
      <c r="N535" s="27" t="s">
        <v>3579</v>
      </c>
      <c r="O535" s="6">
        <v>1</v>
      </c>
      <c r="P535" s="2" t="s">
        <v>3955</v>
      </c>
      <c r="Q535" s="24" t="e">
        <f>IF(Tabla1[[#This Row],[evaluacion_]]="","",IF(Tabla1[[#This Row],[evaluacion_]]=1,"Habilitado","No Habilitado"))</f>
        <v>#VALUE!</v>
      </c>
      <c r="R535" s="2" t="e">
        <f>IF(Tabla1[[#This Row],[fecha]]="","",TEXT(Tabla1[[#This Row],[fecha]],"DMMAAAA")&amp;TEXT(Tabla1[[#This Row],[hora]],"HHmm"))</f>
        <v>#VALUE!</v>
      </c>
      <c r="S535" s="19" t="e">
        <f>_xlfn.CONCAT(Tabla1[[#This Row],[codigo_]],Tabla1[[#This Row],[correlativo_]])</f>
        <v>#VALUE!</v>
      </c>
      <c r="T535" s="2" t="str">
        <f t="shared" si="8"/>
        <v>18 de diciembre del 2025</v>
      </c>
      <c r="U535" s="2" t="e">
        <f>_xlfn.XLOOKUP(Tabla1[[#This Row],[instructor_2]],diccionario_!$A$1:$A$11,diccionario_!$D$1:$D$11,,0)</f>
        <v>#VALUE!</v>
      </c>
      <c r="V535" s="2" t="str">
        <f t="shared" si="9"/>
        <v>100%</v>
      </c>
      <c r="W535" s="2" t="s">
        <v>4456</v>
      </c>
    </row>
    <row r="536" spans="1:23" ht="16.5" customHeight="1">
      <c r="A536" s="2">
        <v>658</v>
      </c>
      <c r="B536" s="24" t="s">
        <v>32</v>
      </c>
      <c r="C536" s="24" t="s">
        <v>33</v>
      </c>
      <c r="D536" s="24" t="s">
        <v>9</v>
      </c>
      <c r="E536" s="11">
        <v>46009</v>
      </c>
      <c r="F536" s="14">
        <v>0.75</v>
      </c>
      <c r="G536" s="24" t="s">
        <v>1659</v>
      </c>
      <c r="H536" s="24" t="s">
        <v>1660</v>
      </c>
      <c r="I536" s="24" t="s">
        <v>23</v>
      </c>
      <c r="J536" s="24" t="s">
        <v>12</v>
      </c>
      <c r="K536" s="24" t="s">
        <v>41</v>
      </c>
      <c r="L536" s="24"/>
      <c r="M536" s="24"/>
      <c r="N536" s="27" t="s">
        <v>41</v>
      </c>
      <c r="O536" s="6">
        <v>1</v>
      </c>
      <c r="P536" s="2" t="s">
        <v>3955</v>
      </c>
      <c r="Q536" s="24" t="e">
        <f>IF(Tabla1[[#This Row],[evaluacion_]]="","",IF(Tabla1[[#This Row],[evaluacion_]]=1,"Habilitado","No Habilitado"))</f>
        <v>#VALUE!</v>
      </c>
      <c r="R536" s="2" t="e">
        <f>IF(Tabla1[[#This Row],[fecha]]="","",TEXT(Tabla1[[#This Row],[fecha]],"DMMAAAA")&amp;TEXT(Tabla1[[#This Row],[hora]],"HHmm"))</f>
        <v>#VALUE!</v>
      </c>
      <c r="S536" s="19" t="e">
        <f>_xlfn.CONCAT(Tabla1[[#This Row],[codigo_]],Tabla1[[#This Row],[correlativo_]])</f>
        <v>#VALUE!</v>
      </c>
      <c r="T536" s="2" t="str">
        <f t="shared" si="8"/>
        <v>18 de diciembre del 2025</v>
      </c>
      <c r="U536" s="2" t="e">
        <f>_xlfn.XLOOKUP(Tabla1[[#This Row],[instructor_2]],diccionario_!$A$1:$A$11,diccionario_!$D$1:$D$11,,0)</f>
        <v>#VALUE!</v>
      </c>
      <c r="V536" s="2" t="str">
        <f t="shared" si="9"/>
        <v>100%</v>
      </c>
      <c r="W536" s="2" t="s">
        <v>4457</v>
      </c>
    </row>
    <row r="537" spans="1:23" ht="16.5" customHeight="1">
      <c r="A537" s="2">
        <v>659</v>
      </c>
      <c r="B537" s="24" t="s">
        <v>32</v>
      </c>
      <c r="C537" s="24" t="s">
        <v>33</v>
      </c>
      <c r="D537" s="24" t="s">
        <v>9</v>
      </c>
      <c r="E537" s="11">
        <v>46008</v>
      </c>
      <c r="F537" s="14">
        <v>0.75</v>
      </c>
      <c r="G537" s="24" t="s">
        <v>4458</v>
      </c>
      <c r="H537" s="24" t="s">
        <v>4459</v>
      </c>
      <c r="I537" s="24" t="s">
        <v>11</v>
      </c>
      <c r="J537" s="24" t="s">
        <v>24</v>
      </c>
      <c r="K537" s="24" t="s">
        <v>19</v>
      </c>
      <c r="L537" s="24" t="s">
        <v>25</v>
      </c>
      <c r="M537" s="24"/>
      <c r="N537" s="27" t="s">
        <v>4149</v>
      </c>
      <c r="O537" s="6">
        <v>1</v>
      </c>
      <c r="P537" s="2" t="s">
        <v>3503</v>
      </c>
      <c r="Q537" s="24" t="e">
        <f>IF(Tabla1[[#This Row],[evaluacion_]]="","",IF(Tabla1[[#This Row],[evaluacion_]]=1,"Habilitado","No Habilitado"))</f>
        <v>#VALUE!</v>
      </c>
      <c r="R537" s="2" t="e">
        <f>IF(Tabla1[[#This Row],[fecha]]="","",TEXT(Tabla1[[#This Row],[fecha]],"DMMAAAA")&amp;TEXT(Tabla1[[#This Row],[hora]],"HHmm"))</f>
        <v>#VALUE!</v>
      </c>
      <c r="S537" s="19" t="e">
        <f>_xlfn.CONCAT(Tabla1[[#This Row],[codigo_]],Tabla1[[#This Row],[correlativo_]])</f>
        <v>#VALUE!</v>
      </c>
      <c r="T537" s="2" t="str">
        <f t="shared" si="8"/>
        <v>17 de diciembre del 2025</v>
      </c>
      <c r="U537" s="2" t="e">
        <f>_xlfn.XLOOKUP(Tabla1[[#This Row],[instructor_2]],diccionario_!$A$1:$A$11,diccionario_!$D$1:$D$11,,0)</f>
        <v>#VALUE!</v>
      </c>
      <c r="V537" s="2" t="str">
        <f t="shared" si="9"/>
        <v>100%</v>
      </c>
      <c r="W537" s="2" t="s">
        <v>4460</v>
      </c>
    </row>
    <row r="538" spans="1:23" ht="16.5" customHeight="1">
      <c r="A538" s="2">
        <v>660</v>
      </c>
      <c r="B538" s="24" t="s">
        <v>32</v>
      </c>
      <c r="C538" s="24" t="s">
        <v>33</v>
      </c>
      <c r="D538" s="24" t="s">
        <v>9</v>
      </c>
      <c r="E538" s="11">
        <v>46008</v>
      </c>
      <c r="F538" s="14">
        <v>0.75</v>
      </c>
      <c r="G538" s="24" t="s">
        <v>4458</v>
      </c>
      <c r="H538" s="24" t="s">
        <v>4459</v>
      </c>
      <c r="I538" s="24" t="s">
        <v>23</v>
      </c>
      <c r="J538" s="24" t="s">
        <v>24</v>
      </c>
      <c r="K538" s="24" t="s">
        <v>45</v>
      </c>
      <c r="L538" s="24" t="s">
        <v>44</v>
      </c>
      <c r="M538" s="24"/>
      <c r="N538" s="27" t="s">
        <v>4153</v>
      </c>
      <c r="O538" s="6">
        <v>1</v>
      </c>
      <c r="P538" s="2" t="s">
        <v>3955</v>
      </c>
      <c r="Q538" s="24" t="e">
        <f>IF(Tabla1[[#This Row],[evaluacion_]]="","",IF(Tabla1[[#This Row],[evaluacion_]]=1,"Habilitado","No Habilitado"))</f>
        <v>#VALUE!</v>
      </c>
      <c r="R538" s="2" t="e">
        <f>IF(Tabla1[[#This Row],[fecha]]="","",TEXT(Tabla1[[#This Row],[fecha]],"DMMAAAA")&amp;TEXT(Tabla1[[#This Row],[hora]],"HHmm"))</f>
        <v>#VALUE!</v>
      </c>
      <c r="S538" s="19" t="e">
        <f>_xlfn.CONCAT(Tabla1[[#This Row],[codigo_]],Tabla1[[#This Row],[correlativo_]])</f>
        <v>#VALUE!</v>
      </c>
      <c r="T538" s="2" t="str">
        <f t="shared" si="8"/>
        <v>17 de diciembre del 2025</v>
      </c>
      <c r="U538" s="2" t="e">
        <f>_xlfn.XLOOKUP(Tabla1[[#This Row],[instructor_2]],diccionario_!$A$1:$A$11,diccionario_!$D$1:$D$11,,0)</f>
        <v>#VALUE!</v>
      </c>
      <c r="V538" s="2" t="str">
        <f t="shared" si="9"/>
        <v>100%</v>
      </c>
      <c r="W538" s="2" t="s">
        <v>4461</v>
      </c>
    </row>
    <row r="539" spans="1:23" ht="16.5" customHeight="1">
      <c r="A539" s="2">
        <v>661</v>
      </c>
      <c r="B539" s="24" t="s">
        <v>7</v>
      </c>
      <c r="C539" s="24" t="s">
        <v>8</v>
      </c>
      <c r="D539" s="24" t="s">
        <v>9</v>
      </c>
      <c r="E539" s="11">
        <v>46008</v>
      </c>
      <c r="F539" s="14">
        <v>0.75</v>
      </c>
      <c r="G539" s="24" t="s">
        <v>4458</v>
      </c>
      <c r="H539" s="24" t="s">
        <v>4459</v>
      </c>
      <c r="I539" s="24" t="s">
        <v>29</v>
      </c>
      <c r="J539" s="24" t="s">
        <v>24</v>
      </c>
      <c r="K539" s="24" t="s">
        <v>46</v>
      </c>
      <c r="L539" s="24" t="s">
        <v>47</v>
      </c>
      <c r="M539" s="24"/>
      <c r="N539" s="27" t="s">
        <v>3521</v>
      </c>
      <c r="O539" s="6">
        <v>1</v>
      </c>
      <c r="P539" s="2" t="s">
        <v>3503</v>
      </c>
      <c r="Q539" s="24" t="e">
        <f>IF(Tabla1[[#This Row],[evaluacion_]]="","",IF(Tabla1[[#This Row],[evaluacion_]]=1,"Habilitado","No Habilitado"))</f>
        <v>#VALUE!</v>
      </c>
      <c r="R539" s="2" t="e">
        <f>IF(Tabla1[[#This Row],[fecha]]="","",TEXT(Tabla1[[#This Row],[fecha]],"DMMAAAA")&amp;TEXT(Tabla1[[#This Row],[hora]],"HHmm"))</f>
        <v>#VALUE!</v>
      </c>
      <c r="S539" s="19" t="e">
        <f>_xlfn.CONCAT(Tabla1[[#This Row],[codigo_]],Tabla1[[#This Row],[correlativo_]])</f>
        <v>#VALUE!</v>
      </c>
      <c r="T539" s="2" t="str">
        <f t="shared" si="8"/>
        <v>17 de diciembre del 2025</v>
      </c>
      <c r="U539" s="2" t="e">
        <f>_xlfn.XLOOKUP(Tabla1[[#This Row],[instructor_2]],diccionario_!$A$1:$A$11,diccionario_!$D$1:$D$11,,0)</f>
        <v>#VALUE!</v>
      </c>
      <c r="V539" s="2" t="str">
        <f t="shared" si="9"/>
        <v>100%</v>
      </c>
      <c r="W539" s="2" t="s">
        <v>4462</v>
      </c>
    </row>
    <row r="540" spans="1:23" ht="16.5" customHeight="1">
      <c r="A540" s="2">
        <v>662</v>
      </c>
      <c r="B540" s="24" t="s">
        <v>32</v>
      </c>
      <c r="C540" s="24" t="s">
        <v>33</v>
      </c>
      <c r="D540" s="24"/>
      <c r="E540" s="11">
        <v>45995</v>
      </c>
      <c r="F540" s="14">
        <v>0.75</v>
      </c>
      <c r="G540" s="24" t="s">
        <v>2040</v>
      </c>
      <c r="H540" s="24" t="s">
        <v>2041</v>
      </c>
      <c r="I540" s="24" t="s">
        <v>11</v>
      </c>
      <c r="J540" s="24" t="s">
        <v>12</v>
      </c>
      <c r="K540" s="24" t="s">
        <v>13</v>
      </c>
      <c r="L540" s="24" t="s">
        <v>25</v>
      </c>
      <c r="M540" s="24"/>
      <c r="N540" s="27" t="s">
        <v>3579</v>
      </c>
      <c r="O540" s="6">
        <v>1</v>
      </c>
      <c r="P540" s="2" t="s">
        <v>3503</v>
      </c>
      <c r="Q540" s="24" t="e">
        <f>IF(Tabla1[[#This Row],[evaluacion_]]="","",IF(Tabla1[[#This Row],[evaluacion_]]=1,"Habilitado","No Habilitado"))</f>
        <v>#VALUE!</v>
      </c>
      <c r="R540" s="2" t="e">
        <f>IF(Tabla1[[#This Row],[fecha]]="","",TEXT(Tabla1[[#This Row],[fecha]],"DMMAAAA")&amp;TEXT(Tabla1[[#This Row],[hora]],"HHmm"))</f>
        <v>#VALUE!</v>
      </c>
      <c r="S540" s="19" t="e">
        <f>_xlfn.CONCAT(Tabla1[[#This Row],[codigo_]],Tabla1[[#This Row],[correlativo_]])</f>
        <v>#VALUE!</v>
      </c>
      <c r="T540" s="2" t="str">
        <f t="shared" si="8"/>
        <v>4 de diciembre del 2025</v>
      </c>
      <c r="U540" s="2" t="e">
        <f>_xlfn.XLOOKUP(Tabla1[[#This Row],[instructor_2]],diccionario_!$A$1:$A$11,diccionario_!$D$1:$D$11,,0)</f>
        <v>#VALUE!</v>
      </c>
      <c r="V540" s="2" t="str">
        <f t="shared" si="9"/>
        <v>100%</v>
      </c>
      <c r="W540" s="2" t="s">
        <v>4463</v>
      </c>
    </row>
    <row r="541" spans="1:23" ht="16.5" customHeight="1">
      <c r="A541" s="2">
        <v>663</v>
      </c>
      <c r="B541" s="24" t="s">
        <v>32</v>
      </c>
      <c r="C541" s="24" t="s">
        <v>33</v>
      </c>
      <c r="D541" s="24"/>
      <c r="E541" s="11">
        <v>45995</v>
      </c>
      <c r="F541" s="14">
        <v>0.75</v>
      </c>
      <c r="G541" s="24" t="s">
        <v>2040</v>
      </c>
      <c r="H541" s="24" t="s">
        <v>2041</v>
      </c>
      <c r="I541" s="24" t="s">
        <v>23</v>
      </c>
      <c r="J541" s="24" t="s">
        <v>12</v>
      </c>
      <c r="K541" s="24" t="s">
        <v>41</v>
      </c>
      <c r="L541" s="24"/>
      <c r="M541" s="24"/>
      <c r="N541" s="27" t="s">
        <v>41</v>
      </c>
      <c r="O541" s="6">
        <v>1</v>
      </c>
      <c r="P541" s="2" t="s">
        <v>3503</v>
      </c>
      <c r="Q541" s="24" t="e">
        <f>IF(Tabla1[[#This Row],[evaluacion_]]="","",IF(Tabla1[[#This Row],[evaluacion_]]=1,"Habilitado","No Habilitado"))</f>
        <v>#VALUE!</v>
      </c>
      <c r="R541" s="2" t="e">
        <f>IF(Tabla1[[#This Row],[fecha]]="","",TEXT(Tabla1[[#This Row],[fecha]],"DMMAAAA")&amp;TEXT(Tabla1[[#This Row],[hora]],"HHmm"))</f>
        <v>#VALUE!</v>
      </c>
      <c r="S541" s="19" t="e">
        <f>_xlfn.CONCAT(Tabla1[[#This Row],[codigo_]],Tabla1[[#This Row],[correlativo_]])</f>
        <v>#VALUE!</v>
      </c>
      <c r="T541" s="2" t="str">
        <f t="shared" si="8"/>
        <v>4 de diciembre del 2025</v>
      </c>
      <c r="U541" s="2" t="e">
        <f>_xlfn.XLOOKUP(Tabla1[[#This Row],[instructor_2]],diccionario_!$A$1:$A$11,diccionario_!$D$1:$D$11,,0)</f>
        <v>#VALUE!</v>
      </c>
      <c r="V541" s="2" t="str">
        <f t="shared" si="9"/>
        <v>100%</v>
      </c>
      <c r="W541" s="2" t="s">
        <v>4464</v>
      </c>
    </row>
    <row r="542" spans="1:23" ht="16.5" customHeight="1">
      <c r="A542" s="2">
        <v>664</v>
      </c>
      <c r="B542" s="24" t="s">
        <v>32</v>
      </c>
      <c r="C542" s="24" t="s">
        <v>33</v>
      </c>
      <c r="D542" s="24" t="s">
        <v>9</v>
      </c>
      <c r="E542" s="11">
        <v>46008</v>
      </c>
      <c r="F542" s="14">
        <v>0.75</v>
      </c>
      <c r="G542" s="24" t="s">
        <v>4465</v>
      </c>
      <c r="H542" s="24" t="s">
        <v>4466</v>
      </c>
      <c r="I542" s="24" t="s">
        <v>11</v>
      </c>
      <c r="J542" s="24" t="s">
        <v>24</v>
      </c>
      <c r="K542" s="24" t="s">
        <v>19</v>
      </c>
      <c r="L542" s="24" t="s">
        <v>25</v>
      </c>
      <c r="M542" s="24"/>
      <c r="N542" s="27" t="s">
        <v>4149</v>
      </c>
      <c r="O542" s="6">
        <v>1</v>
      </c>
      <c r="P542" s="2" t="s">
        <v>3503</v>
      </c>
      <c r="Q542" s="24" t="e">
        <f>IF(Tabla1[[#This Row],[evaluacion_]]="","",IF(Tabla1[[#This Row],[evaluacion_]]=1,"Habilitado","No Habilitado"))</f>
        <v>#VALUE!</v>
      </c>
      <c r="R542" s="2" t="e">
        <f>IF(Tabla1[[#This Row],[fecha]]="","",TEXT(Tabla1[[#This Row],[fecha]],"DMMAAAA")&amp;TEXT(Tabla1[[#This Row],[hora]],"HHmm"))</f>
        <v>#VALUE!</v>
      </c>
      <c r="S542" s="19" t="e">
        <f>_xlfn.CONCAT(Tabla1[[#This Row],[codigo_]],Tabla1[[#This Row],[correlativo_]])</f>
        <v>#VALUE!</v>
      </c>
      <c r="T542" s="2" t="str">
        <f t="shared" si="8"/>
        <v>17 de diciembre del 2025</v>
      </c>
      <c r="U542" s="2" t="e">
        <f>_xlfn.XLOOKUP(Tabla1[[#This Row],[instructor_2]],diccionario_!$A$1:$A$11,diccionario_!$D$1:$D$11,,0)</f>
        <v>#VALUE!</v>
      </c>
      <c r="V542" s="2" t="str">
        <f t="shared" si="9"/>
        <v>100%</v>
      </c>
      <c r="W542" s="2" t="s">
        <v>4467</v>
      </c>
    </row>
    <row r="543" spans="1:23" ht="16.5" customHeight="1">
      <c r="A543" s="2">
        <v>665</v>
      </c>
      <c r="B543" s="24" t="s">
        <v>32</v>
      </c>
      <c r="C543" s="24" t="s">
        <v>33</v>
      </c>
      <c r="D543" s="24" t="s">
        <v>9</v>
      </c>
      <c r="E543" s="11">
        <v>46009</v>
      </c>
      <c r="F543" s="14">
        <v>0.75</v>
      </c>
      <c r="G543" s="24" t="s">
        <v>4465</v>
      </c>
      <c r="H543" s="24" t="s">
        <v>4466</v>
      </c>
      <c r="I543" s="24" t="s">
        <v>23</v>
      </c>
      <c r="J543" s="24" t="s">
        <v>24</v>
      </c>
      <c r="K543" s="24" t="s">
        <v>45</v>
      </c>
      <c r="L543" s="24" t="s">
        <v>44</v>
      </c>
      <c r="M543" s="24"/>
      <c r="N543" s="27" t="s">
        <v>4153</v>
      </c>
      <c r="O543" s="6">
        <v>1</v>
      </c>
      <c r="P543" s="2" t="s">
        <v>3503</v>
      </c>
      <c r="Q543" s="24" t="e">
        <f>IF(Tabla1[[#This Row],[evaluacion_]]="","",IF(Tabla1[[#This Row],[evaluacion_]]=1,"Habilitado","No Habilitado"))</f>
        <v>#VALUE!</v>
      </c>
      <c r="R543" s="2" t="e">
        <f>IF(Tabla1[[#This Row],[fecha]]="","",TEXT(Tabla1[[#This Row],[fecha]],"DMMAAAA")&amp;TEXT(Tabla1[[#This Row],[hora]],"HHmm"))</f>
        <v>#VALUE!</v>
      </c>
      <c r="S543" s="19" t="e">
        <f>_xlfn.CONCAT(Tabla1[[#This Row],[codigo_]],Tabla1[[#This Row],[correlativo_]])</f>
        <v>#VALUE!</v>
      </c>
      <c r="T543" s="2" t="str">
        <f t="shared" si="8"/>
        <v>18 de diciembre del 2025</v>
      </c>
      <c r="U543" s="2" t="e">
        <f>_xlfn.XLOOKUP(Tabla1[[#This Row],[instructor_2]],diccionario_!$A$1:$A$11,diccionario_!$D$1:$D$11,,0)</f>
        <v>#VALUE!</v>
      </c>
      <c r="V543" s="2" t="str">
        <f t="shared" si="9"/>
        <v>100%</v>
      </c>
      <c r="W543" s="2" t="s">
        <v>4468</v>
      </c>
    </row>
    <row r="544" spans="1:23" ht="16.5" customHeight="1">
      <c r="A544" s="2">
        <v>666</v>
      </c>
      <c r="B544" s="24" t="s">
        <v>32</v>
      </c>
      <c r="C544" s="24" t="s">
        <v>33</v>
      </c>
      <c r="D544" s="24" t="s">
        <v>9</v>
      </c>
      <c r="E544" s="11">
        <v>46009</v>
      </c>
      <c r="F544" s="14">
        <v>0.75</v>
      </c>
      <c r="G544" s="24" t="s">
        <v>4465</v>
      </c>
      <c r="H544" s="24" t="s">
        <v>4466</v>
      </c>
      <c r="I544" s="24" t="s">
        <v>29</v>
      </c>
      <c r="J544" s="24" t="s">
        <v>24</v>
      </c>
      <c r="K544" s="24" t="s">
        <v>46</v>
      </c>
      <c r="L544" s="24" t="s">
        <v>47</v>
      </c>
      <c r="M544" s="24"/>
      <c r="N544" s="27" t="s">
        <v>3521</v>
      </c>
      <c r="O544" s="6">
        <v>1</v>
      </c>
      <c r="P544" s="2" t="s">
        <v>3503</v>
      </c>
      <c r="Q544" s="24" t="e">
        <f>IF(Tabla1[[#This Row],[evaluacion_]]="","",IF(Tabla1[[#This Row],[evaluacion_]]=1,"Habilitado","No Habilitado"))</f>
        <v>#VALUE!</v>
      </c>
      <c r="R544" s="2" t="e">
        <f>IF(Tabla1[[#This Row],[fecha]]="","",TEXT(Tabla1[[#This Row],[fecha]],"DMMAAAA")&amp;TEXT(Tabla1[[#This Row],[hora]],"HHmm"))</f>
        <v>#VALUE!</v>
      </c>
      <c r="S544" s="19" t="e">
        <f>_xlfn.CONCAT(Tabla1[[#This Row],[codigo_]],Tabla1[[#This Row],[correlativo_]])</f>
        <v>#VALUE!</v>
      </c>
      <c r="T544" s="2" t="str">
        <f t="shared" ref="T544:T575" si="10">DAY(E544) &amp; " de " &amp; TEXT(E544, "mmmm") &amp; " del " &amp; YEAR(E544)</f>
        <v>18 de diciembre del 2025</v>
      </c>
      <c r="U544" s="2" t="e">
        <f>_xlfn.XLOOKUP(Tabla1[[#This Row],[instructor_2]],diccionario_!$A$1:$A$11,diccionario_!$D$1:$D$11,,0)</f>
        <v>#VALUE!</v>
      </c>
      <c r="V544" s="2" t="str">
        <f t="shared" ref="V544:V575" si="11">TEXT(O544,"0%")</f>
        <v>100%</v>
      </c>
      <c r="W544" s="2" t="s">
        <v>4469</v>
      </c>
    </row>
    <row r="545" spans="1:23" ht="16.5" customHeight="1">
      <c r="A545" s="2">
        <v>667</v>
      </c>
      <c r="B545" s="24" t="s">
        <v>32</v>
      </c>
      <c r="C545" s="24" t="s">
        <v>33</v>
      </c>
      <c r="D545" s="24" t="s">
        <v>9</v>
      </c>
      <c r="E545" s="11">
        <v>46002</v>
      </c>
      <c r="F545" s="14">
        <v>0.75</v>
      </c>
      <c r="G545" s="24" t="s">
        <v>1729</v>
      </c>
      <c r="H545" s="24" t="s">
        <v>1730</v>
      </c>
      <c r="I545" s="24" t="s">
        <v>11</v>
      </c>
      <c r="J545" s="24" t="s">
        <v>36</v>
      </c>
      <c r="K545" s="24" t="s">
        <v>25</v>
      </c>
      <c r="L545" s="24"/>
      <c r="M545" s="24"/>
      <c r="N545" s="27" t="s">
        <v>25</v>
      </c>
      <c r="O545" s="6">
        <v>1</v>
      </c>
      <c r="P545" s="2" t="s">
        <v>3503</v>
      </c>
      <c r="Q545" s="24" t="e">
        <f>IF(Tabla1[[#This Row],[evaluacion_]]="","",IF(Tabla1[[#This Row],[evaluacion_]]=1,"Habilitado","No Habilitado"))</f>
        <v>#VALUE!</v>
      </c>
      <c r="R545" s="2" t="e">
        <f>IF(Tabla1[[#This Row],[fecha]]="","",TEXT(Tabla1[[#This Row],[fecha]],"DMMAAAA")&amp;TEXT(Tabla1[[#This Row],[hora]],"HHmm"))</f>
        <v>#VALUE!</v>
      </c>
      <c r="S545" s="19" t="e">
        <f>_xlfn.CONCAT(Tabla1[[#This Row],[codigo_]],Tabla1[[#This Row],[correlativo_]])</f>
        <v>#VALUE!</v>
      </c>
      <c r="T545" s="2" t="str">
        <f t="shared" si="10"/>
        <v>11 de diciembre del 2025</v>
      </c>
      <c r="U545" s="2" t="e">
        <f>_xlfn.XLOOKUP(Tabla1[[#This Row],[instructor_2]],diccionario_!$A$1:$A$11,diccionario_!$D$1:$D$11,,0)</f>
        <v>#VALUE!</v>
      </c>
      <c r="V545" s="2" t="str">
        <f t="shared" si="11"/>
        <v>100%</v>
      </c>
      <c r="W545" s="2" t="s">
        <v>4470</v>
      </c>
    </row>
    <row r="546" spans="1:23" ht="16.5" customHeight="1">
      <c r="A546" s="2">
        <v>668</v>
      </c>
      <c r="B546" s="24" t="s">
        <v>32</v>
      </c>
      <c r="C546" s="24" t="s">
        <v>33</v>
      </c>
      <c r="D546" s="24" t="s">
        <v>9</v>
      </c>
      <c r="E546" s="11"/>
      <c r="F546" s="14"/>
      <c r="G546" s="24"/>
      <c r="H546" s="24"/>
      <c r="I546" s="24"/>
      <c r="J546" s="24"/>
      <c r="K546" s="24"/>
      <c r="L546" s="24"/>
      <c r="M546" s="24"/>
      <c r="N546" s="27"/>
      <c r="O546" s="6" t="s">
        <v>3507</v>
      </c>
      <c r="P546" s="2" t="s">
        <v>3503</v>
      </c>
      <c r="Q546" s="24" t="e">
        <f>IF(Tabla1[[#This Row],[evaluacion_]]="","",IF(Tabla1[[#This Row],[evaluacion_]]=1,"Habilitado","No Habilitado"))</f>
        <v>#VALUE!</v>
      </c>
      <c r="R546" s="2" t="e">
        <f>IF(Tabla1[[#This Row],[fecha]]="","",TEXT(Tabla1[[#This Row],[fecha]],"DMMAAAA")&amp;TEXT(Tabla1[[#This Row],[hora]],"HHmm"))</f>
        <v>#VALUE!</v>
      </c>
      <c r="S546" s="19" t="e">
        <f>_xlfn.CONCAT(Tabla1[[#This Row],[codigo_]],Tabla1[[#This Row],[correlativo_]])</f>
        <v>#VALUE!</v>
      </c>
      <c r="T546" s="2" t="str">
        <f t="shared" si="10"/>
        <v>0 de enero del 1900</v>
      </c>
      <c r="U546" s="2" t="e">
        <f>_xlfn.XLOOKUP(Tabla1[[#This Row],[instructor_2]],diccionario_!$A$1:$A$11,diccionario_!$D$1:$D$11,,0)</f>
        <v>#VALUE!</v>
      </c>
      <c r="V546" s="2" t="str">
        <f t="shared" si="11"/>
        <v>información de calificación errónea</v>
      </c>
      <c r="W546" s="2" t="s">
        <v>4471</v>
      </c>
    </row>
    <row r="547" spans="1:23" ht="16.5" customHeight="1">
      <c r="A547" s="2">
        <v>669</v>
      </c>
      <c r="B547" s="24" t="s">
        <v>7</v>
      </c>
      <c r="C547" s="24" t="s">
        <v>8</v>
      </c>
      <c r="D547" s="24" t="s">
        <v>9</v>
      </c>
      <c r="E547" s="11">
        <v>46014</v>
      </c>
      <c r="F547" s="14">
        <v>0.51388888888888895</v>
      </c>
      <c r="G547" s="24" t="s">
        <v>1240</v>
      </c>
      <c r="H547" s="24" t="s">
        <v>1241</v>
      </c>
      <c r="I547" s="24" t="s">
        <v>11</v>
      </c>
      <c r="J547" s="24" t="s">
        <v>36</v>
      </c>
      <c r="K547" s="24" t="s">
        <v>25</v>
      </c>
      <c r="L547" s="24"/>
      <c r="M547" s="24"/>
      <c r="N547" s="27" t="s">
        <v>25</v>
      </c>
      <c r="O547" s="6">
        <v>1</v>
      </c>
      <c r="P547" s="2" t="s">
        <v>3503</v>
      </c>
      <c r="Q547" s="24" t="e">
        <f>IF(Tabla1[[#This Row],[evaluacion_]]="","",IF(Tabla1[[#This Row],[evaluacion_]]=1,"Habilitado","No Habilitado"))</f>
        <v>#VALUE!</v>
      </c>
      <c r="R547" s="2" t="e">
        <f>IF(Tabla1[[#This Row],[fecha]]="","",TEXT(Tabla1[[#This Row],[fecha]],"DMMAAAA")&amp;TEXT(Tabla1[[#This Row],[hora]],"HHmm"))</f>
        <v>#VALUE!</v>
      </c>
      <c r="S547" s="19" t="e">
        <f>_xlfn.CONCAT(Tabla1[[#This Row],[codigo_]],Tabla1[[#This Row],[correlativo_]])</f>
        <v>#VALUE!</v>
      </c>
      <c r="T547" s="2" t="str">
        <f t="shared" si="10"/>
        <v>23 de diciembre del 2025</v>
      </c>
      <c r="U547" s="2" t="e">
        <f>_xlfn.XLOOKUP(Tabla1[[#This Row],[instructor_2]],diccionario_!$A$1:$A$11,diccionario_!$D$1:$D$11,,0)</f>
        <v>#VALUE!</v>
      </c>
      <c r="V547" s="2" t="str">
        <f t="shared" si="11"/>
        <v>100%</v>
      </c>
      <c r="W547" s="2" t="s">
        <v>4472</v>
      </c>
    </row>
    <row r="548" spans="1:23" ht="16.5" customHeight="1">
      <c r="A548" s="2">
        <v>670</v>
      </c>
      <c r="B548" s="24" t="s">
        <v>7</v>
      </c>
      <c r="C548" s="24" t="s">
        <v>8</v>
      </c>
      <c r="D548" s="24" t="s">
        <v>9</v>
      </c>
      <c r="E548" s="11">
        <v>46014</v>
      </c>
      <c r="F548" s="14">
        <v>0.51388888888888895</v>
      </c>
      <c r="G548" s="24" t="s">
        <v>1501</v>
      </c>
      <c r="H548" s="24" t="s">
        <v>1502</v>
      </c>
      <c r="I548" s="24" t="s">
        <v>11</v>
      </c>
      <c r="J548" s="24" t="s">
        <v>12</v>
      </c>
      <c r="K548" s="24" t="s">
        <v>13</v>
      </c>
      <c r="L548" s="24" t="s">
        <v>37</v>
      </c>
      <c r="M548" s="24"/>
      <c r="N548" s="27" t="s">
        <v>3509</v>
      </c>
      <c r="O548" s="6">
        <v>1</v>
      </c>
      <c r="P548" s="2" t="s">
        <v>3503</v>
      </c>
      <c r="Q548" s="24" t="e">
        <f>IF(Tabla1[[#This Row],[evaluacion_]]="","",IF(Tabla1[[#This Row],[evaluacion_]]=1,"Habilitado","No Habilitado"))</f>
        <v>#VALUE!</v>
      </c>
      <c r="R548" s="2" t="e">
        <f>IF(Tabla1[[#This Row],[fecha]]="","",TEXT(Tabla1[[#This Row],[fecha]],"DMMAAAA")&amp;TEXT(Tabla1[[#This Row],[hora]],"HHmm"))</f>
        <v>#VALUE!</v>
      </c>
      <c r="S548" s="19" t="e">
        <f>_xlfn.CONCAT(Tabla1[[#This Row],[codigo_]],Tabla1[[#This Row],[correlativo_]])</f>
        <v>#VALUE!</v>
      </c>
      <c r="T548" s="2" t="str">
        <f t="shared" si="10"/>
        <v>23 de diciembre del 2025</v>
      </c>
      <c r="U548" s="2" t="e">
        <f>_xlfn.XLOOKUP(Tabla1[[#This Row],[instructor_2]],diccionario_!$A$1:$A$11,diccionario_!$D$1:$D$11,,0)</f>
        <v>#VALUE!</v>
      </c>
      <c r="V548" s="2" t="str">
        <f t="shared" si="11"/>
        <v>100%</v>
      </c>
      <c r="W548" s="2" t="s">
        <v>4473</v>
      </c>
    </row>
    <row r="549" spans="1:23" ht="16.5" customHeight="1">
      <c r="A549" s="2">
        <v>671</v>
      </c>
      <c r="B549" s="24" t="s">
        <v>7</v>
      </c>
      <c r="C549" s="24" t="s">
        <v>8</v>
      </c>
      <c r="D549" s="24" t="s">
        <v>9</v>
      </c>
      <c r="E549" s="11">
        <v>46014</v>
      </c>
      <c r="F549" s="14">
        <v>0.51458333333333295</v>
      </c>
      <c r="G549" s="24" t="s">
        <v>1501</v>
      </c>
      <c r="H549" s="24" t="s">
        <v>1502</v>
      </c>
      <c r="I549" s="24" t="s">
        <v>23</v>
      </c>
      <c r="J549" s="24" t="s">
        <v>12</v>
      </c>
      <c r="K549" s="24" t="s">
        <v>41</v>
      </c>
      <c r="L549" s="24"/>
      <c r="M549" s="24"/>
      <c r="N549" s="27" t="s">
        <v>41</v>
      </c>
      <c r="O549" s="6">
        <v>1</v>
      </c>
      <c r="P549" s="2" t="s">
        <v>3503</v>
      </c>
      <c r="Q549" s="24" t="e">
        <f>IF(Tabla1[[#This Row],[evaluacion_]]="","",IF(Tabla1[[#This Row],[evaluacion_]]=1,"Habilitado","No Habilitado"))</f>
        <v>#VALUE!</v>
      </c>
      <c r="R549" s="2" t="e">
        <f>IF(Tabla1[[#This Row],[fecha]]="","",TEXT(Tabla1[[#This Row],[fecha]],"DMMAAAA")&amp;TEXT(Tabla1[[#This Row],[hora]],"HHmm"))</f>
        <v>#VALUE!</v>
      </c>
      <c r="S549" s="19" t="e">
        <f>_xlfn.CONCAT(Tabla1[[#This Row],[codigo_]],Tabla1[[#This Row],[correlativo_]])</f>
        <v>#VALUE!</v>
      </c>
      <c r="T549" s="2" t="str">
        <f t="shared" si="10"/>
        <v>23 de diciembre del 2025</v>
      </c>
      <c r="U549" s="2" t="e">
        <f>_xlfn.XLOOKUP(Tabla1[[#This Row],[instructor_2]],diccionario_!$A$1:$A$11,diccionario_!$D$1:$D$11,,0)</f>
        <v>#VALUE!</v>
      </c>
      <c r="V549" s="2" t="str">
        <f t="shared" si="11"/>
        <v>100%</v>
      </c>
      <c r="W549" s="2" t="s">
        <v>4473</v>
      </c>
    </row>
    <row r="550" spans="1:23" ht="16.5" customHeight="1">
      <c r="A550" s="2">
        <v>672</v>
      </c>
      <c r="B550" s="24" t="s">
        <v>7</v>
      </c>
      <c r="C550" s="24" t="s">
        <v>8</v>
      </c>
      <c r="D550" s="24" t="s">
        <v>9</v>
      </c>
      <c r="E550" s="11">
        <v>46014</v>
      </c>
      <c r="F550" s="14">
        <v>0.51527777777777795</v>
      </c>
      <c r="G550" s="24" t="s">
        <v>1501</v>
      </c>
      <c r="H550" s="24" t="s">
        <v>1502</v>
      </c>
      <c r="I550" s="24" t="s">
        <v>11</v>
      </c>
      <c r="J550" s="24" t="s">
        <v>36</v>
      </c>
      <c r="K550" s="24" t="s">
        <v>25</v>
      </c>
      <c r="L550" s="24"/>
      <c r="M550" s="24"/>
      <c r="N550" s="27" t="s">
        <v>25</v>
      </c>
      <c r="O550" s="6">
        <v>1</v>
      </c>
      <c r="P550" s="2" t="s">
        <v>3503</v>
      </c>
      <c r="Q550" s="24" t="e">
        <f>IF(Tabla1[[#This Row],[evaluacion_]]="","",IF(Tabla1[[#This Row],[evaluacion_]]=1,"Habilitado","No Habilitado"))</f>
        <v>#VALUE!</v>
      </c>
      <c r="R550" s="2" t="e">
        <f>IF(Tabla1[[#This Row],[fecha]]="","",TEXT(Tabla1[[#This Row],[fecha]],"DMMAAAA")&amp;TEXT(Tabla1[[#This Row],[hora]],"HHmm"))</f>
        <v>#VALUE!</v>
      </c>
      <c r="S550" s="19" t="e">
        <f>_xlfn.CONCAT(Tabla1[[#This Row],[codigo_]],Tabla1[[#This Row],[correlativo_]])</f>
        <v>#VALUE!</v>
      </c>
      <c r="T550" s="2" t="str">
        <f t="shared" si="10"/>
        <v>23 de diciembre del 2025</v>
      </c>
      <c r="U550" s="2" t="e">
        <f>_xlfn.XLOOKUP(Tabla1[[#This Row],[instructor_2]],diccionario_!$A$1:$A$11,diccionario_!$D$1:$D$11,,0)</f>
        <v>#VALUE!</v>
      </c>
      <c r="V550" s="2" t="str">
        <f t="shared" si="11"/>
        <v>100%</v>
      </c>
      <c r="W550" s="2" t="s">
        <v>4473</v>
      </c>
    </row>
    <row r="551" spans="1:23" ht="16.5" customHeight="1">
      <c r="A551" s="2">
        <v>673</v>
      </c>
      <c r="B551" s="24" t="s">
        <v>7</v>
      </c>
      <c r="C551" s="24" t="s">
        <v>8</v>
      </c>
      <c r="D551" s="24" t="s">
        <v>9</v>
      </c>
      <c r="E551" s="11">
        <v>46020</v>
      </c>
      <c r="F551" s="14">
        <v>0.625</v>
      </c>
      <c r="G551" s="24" t="s">
        <v>731</v>
      </c>
      <c r="H551" s="24" t="s">
        <v>732</v>
      </c>
      <c r="I551" s="24" t="s">
        <v>11</v>
      </c>
      <c r="J551" s="24" t="s">
        <v>36</v>
      </c>
      <c r="K551" s="24" t="s">
        <v>25</v>
      </c>
      <c r="L551" s="24"/>
      <c r="M551" s="24"/>
      <c r="N551" s="27" t="s">
        <v>25</v>
      </c>
      <c r="O551" s="6">
        <v>1</v>
      </c>
      <c r="P551" s="2" t="s">
        <v>3503</v>
      </c>
      <c r="Q551" s="24" t="e">
        <f>IF(Tabla1[[#This Row],[evaluacion_]]="","",IF(Tabla1[[#This Row],[evaluacion_]]=1,"Habilitado","No Habilitado"))</f>
        <v>#VALUE!</v>
      </c>
      <c r="R551" s="2" t="e">
        <f>IF(Tabla1[[#This Row],[fecha]]="","",TEXT(Tabla1[[#This Row],[fecha]],"DMMAAAA")&amp;TEXT(Tabla1[[#This Row],[hora]],"HHmm"))</f>
        <v>#VALUE!</v>
      </c>
      <c r="S551" s="19" t="e">
        <f>_xlfn.CONCAT(Tabla1[[#This Row],[codigo_]],Tabla1[[#This Row],[correlativo_]])</f>
        <v>#VALUE!</v>
      </c>
      <c r="T551" s="2" t="str">
        <f t="shared" si="10"/>
        <v>29 de diciembre del 2025</v>
      </c>
      <c r="U551" s="2" t="e">
        <f>_xlfn.XLOOKUP(Tabla1[[#This Row],[instructor_2]],diccionario_!$A$1:$A$11,diccionario_!$D$1:$D$11,,0)</f>
        <v>#VALUE!</v>
      </c>
      <c r="V551" s="2" t="str">
        <f t="shared" si="11"/>
        <v>100%</v>
      </c>
      <c r="W551" s="2" t="s">
        <v>4474</v>
      </c>
    </row>
    <row r="552" spans="1:23" ht="16.5" customHeight="1">
      <c r="A552" s="2">
        <v>674</v>
      </c>
      <c r="B552" s="24" t="s">
        <v>7</v>
      </c>
      <c r="C552" s="24" t="s">
        <v>8</v>
      </c>
      <c r="D552" s="24" t="s">
        <v>9</v>
      </c>
      <c r="E552" s="11">
        <v>46020</v>
      </c>
      <c r="F552" s="14">
        <v>0.62847222222222199</v>
      </c>
      <c r="G552" s="24" t="s">
        <v>2407</v>
      </c>
      <c r="H552" s="24" t="s">
        <v>2408</v>
      </c>
      <c r="I552" s="24" t="s">
        <v>11</v>
      </c>
      <c r="J552" s="24" t="s">
        <v>12</v>
      </c>
      <c r="K552" s="24" t="s">
        <v>13</v>
      </c>
      <c r="L552" s="24"/>
      <c r="M552" s="24"/>
      <c r="N552" s="27" t="s">
        <v>13</v>
      </c>
      <c r="O552" s="6">
        <v>1</v>
      </c>
      <c r="P552" s="2" t="s">
        <v>3503</v>
      </c>
      <c r="Q552" s="24" t="e">
        <f>IF(Tabla1[[#This Row],[evaluacion_]]="","",IF(Tabla1[[#This Row],[evaluacion_]]=1,"Habilitado","No Habilitado"))</f>
        <v>#VALUE!</v>
      </c>
      <c r="R552" s="2" t="e">
        <f>IF(Tabla1[[#This Row],[fecha]]="","",TEXT(Tabla1[[#This Row],[fecha]],"DMMAAAA")&amp;TEXT(Tabla1[[#This Row],[hora]],"HHmm"))</f>
        <v>#VALUE!</v>
      </c>
      <c r="S552" s="19" t="e">
        <f>_xlfn.CONCAT(Tabla1[[#This Row],[codigo_]],Tabla1[[#This Row],[correlativo_]])</f>
        <v>#VALUE!</v>
      </c>
      <c r="T552" s="2" t="str">
        <f t="shared" si="10"/>
        <v>29 de diciembre del 2025</v>
      </c>
      <c r="U552" s="2" t="e">
        <f>_xlfn.XLOOKUP(Tabla1[[#This Row],[instructor_2]],diccionario_!$A$1:$A$11,diccionario_!$D$1:$D$11,,0)</f>
        <v>#VALUE!</v>
      </c>
      <c r="V552" s="2" t="str">
        <f t="shared" si="11"/>
        <v>100%</v>
      </c>
      <c r="W552" s="2" t="s">
        <v>4474</v>
      </c>
    </row>
    <row r="553" spans="1:23" ht="16.5" customHeight="1">
      <c r="A553" s="2">
        <v>675</v>
      </c>
      <c r="B553" s="24" t="s">
        <v>7</v>
      </c>
      <c r="C553" s="24" t="s">
        <v>8</v>
      </c>
      <c r="D553" s="24" t="s">
        <v>9</v>
      </c>
      <c r="E553" s="11">
        <v>46020</v>
      </c>
      <c r="F553" s="14">
        <v>0.63541666666666696</v>
      </c>
      <c r="G553" s="24" t="s">
        <v>2407</v>
      </c>
      <c r="H553" s="24" t="s">
        <v>2408</v>
      </c>
      <c r="I553" s="24" t="s">
        <v>23</v>
      </c>
      <c r="J553" s="24" t="s">
        <v>12</v>
      </c>
      <c r="K553" s="24" t="s">
        <v>41</v>
      </c>
      <c r="L553" s="24"/>
      <c r="M553" s="24"/>
      <c r="N553" s="27" t="s">
        <v>41</v>
      </c>
      <c r="O553" s="6">
        <v>1</v>
      </c>
      <c r="P553" s="2" t="s">
        <v>3503</v>
      </c>
      <c r="Q553" s="24" t="e">
        <f>IF(Tabla1[[#This Row],[evaluacion_]]="","",IF(Tabla1[[#This Row],[evaluacion_]]=1,"Habilitado","No Habilitado"))</f>
        <v>#VALUE!</v>
      </c>
      <c r="R553" s="2" t="e">
        <f>IF(Tabla1[[#This Row],[fecha]]="","",TEXT(Tabla1[[#This Row],[fecha]],"DMMAAAA")&amp;TEXT(Tabla1[[#This Row],[hora]],"HHmm"))</f>
        <v>#VALUE!</v>
      </c>
      <c r="S553" s="19" t="e">
        <f>_xlfn.CONCAT(Tabla1[[#This Row],[codigo_]],Tabla1[[#This Row],[correlativo_]])</f>
        <v>#VALUE!</v>
      </c>
      <c r="T553" s="2" t="str">
        <f t="shared" si="10"/>
        <v>29 de diciembre del 2025</v>
      </c>
      <c r="U553" s="2" t="e">
        <f>_xlfn.XLOOKUP(Tabla1[[#This Row],[instructor_2]],diccionario_!$A$1:$A$11,diccionario_!$D$1:$D$11,,0)</f>
        <v>#VALUE!</v>
      </c>
      <c r="V553" s="2" t="str">
        <f t="shared" si="11"/>
        <v>100%</v>
      </c>
      <c r="W553" s="2" t="s">
        <v>4474</v>
      </c>
    </row>
    <row r="554" spans="1:23" ht="16.5" customHeight="1">
      <c r="A554" s="2">
        <v>676</v>
      </c>
      <c r="B554" s="24" t="s">
        <v>7</v>
      </c>
      <c r="C554" s="24" t="s">
        <v>8</v>
      </c>
      <c r="D554" s="24" t="s">
        <v>9</v>
      </c>
      <c r="E554" s="11">
        <v>46020</v>
      </c>
      <c r="F554" s="14">
        <v>0.64583333333333304</v>
      </c>
      <c r="G554" s="24" t="s">
        <v>2407</v>
      </c>
      <c r="H554" s="24" t="s">
        <v>2408</v>
      </c>
      <c r="I554" s="24" t="s">
        <v>11</v>
      </c>
      <c r="J554" s="24" t="s">
        <v>36</v>
      </c>
      <c r="K554" s="24" t="s">
        <v>25</v>
      </c>
      <c r="L554" s="24"/>
      <c r="M554" s="24"/>
      <c r="N554" s="27" t="s">
        <v>25</v>
      </c>
      <c r="O554" s="6">
        <v>1</v>
      </c>
      <c r="P554" s="2" t="s">
        <v>3503</v>
      </c>
      <c r="Q554" s="24" t="e">
        <f>IF(Tabla1[[#This Row],[evaluacion_]]="","",IF(Tabla1[[#This Row],[evaluacion_]]=1,"Habilitado","No Habilitado"))</f>
        <v>#VALUE!</v>
      </c>
      <c r="R554" s="2" t="e">
        <f>IF(Tabla1[[#This Row],[fecha]]="","",TEXT(Tabla1[[#This Row],[fecha]],"DMMAAAA")&amp;TEXT(Tabla1[[#This Row],[hora]],"HHmm"))</f>
        <v>#VALUE!</v>
      </c>
      <c r="S554" s="19" t="e">
        <f>_xlfn.CONCAT(Tabla1[[#This Row],[codigo_]],Tabla1[[#This Row],[correlativo_]])</f>
        <v>#VALUE!</v>
      </c>
      <c r="T554" s="2" t="str">
        <f t="shared" si="10"/>
        <v>29 de diciembre del 2025</v>
      </c>
      <c r="U554" s="2" t="e">
        <f>_xlfn.XLOOKUP(Tabla1[[#This Row],[instructor_2]],diccionario_!$A$1:$A$11,diccionario_!$D$1:$D$11,,0)</f>
        <v>#VALUE!</v>
      </c>
      <c r="V554" s="2" t="str">
        <f t="shared" si="11"/>
        <v>100%</v>
      </c>
      <c r="W554" s="2" t="s">
        <v>4474</v>
      </c>
    </row>
    <row r="555" spans="1:23" ht="16.5" customHeight="1">
      <c r="A555" s="2">
        <v>677</v>
      </c>
      <c r="B555" s="24" t="s">
        <v>7</v>
      </c>
      <c r="C555" s="24" t="s">
        <v>8</v>
      </c>
      <c r="D555" s="24" t="s">
        <v>9</v>
      </c>
      <c r="E555" s="11">
        <v>46021</v>
      </c>
      <c r="F555" s="14">
        <v>0.45138888888888901</v>
      </c>
      <c r="G555" s="24" t="s">
        <v>2441</v>
      </c>
      <c r="H555" s="24" t="s">
        <v>2442</v>
      </c>
      <c r="I555" s="24" t="s">
        <v>11</v>
      </c>
      <c r="J555" s="24" t="s">
        <v>36</v>
      </c>
      <c r="K555" s="24" t="s">
        <v>25</v>
      </c>
      <c r="L555" s="24"/>
      <c r="M555" s="24"/>
      <c r="N555" s="27" t="s">
        <v>25</v>
      </c>
      <c r="O555" s="6">
        <v>1</v>
      </c>
      <c r="P555" s="2" t="s">
        <v>3503</v>
      </c>
      <c r="Q555" s="24" t="e">
        <f>IF(Tabla1[[#This Row],[evaluacion_]]="","",IF(Tabla1[[#This Row],[evaluacion_]]=1,"Habilitado","No Habilitado"))</f>
        <v>#VALUE!</v>
      </c>
      <c r="R555" s="2" t="e">
        <f>IF(Tabla1[[#This Row],[fecha]]="","",TEXT(Tabla1[[#This Row],[fecha]],"DMMAAAA")&amp;TEXT(Tabla1[[#This Row],[hora]],"HHmm"))</f>
        <v>#VALUE!</v>
      </c>
      <c r="S555" s="19" t="e">
        <f>_xlfn.CONCAT(Tabla1[[#This Row],[codigo_]],Tabla1[[#This Row],[correlativo_]])</f>
        <v>#VALUE!</v>
      </c>
      <c r="T555" s="2" t="str">
        <f t="shared" si="10"/>
        <v>30 de diciembre del 2025</v>
      </c>
      <c r="U555" s="2" t="e">
        <f>_xlfn.XLOOKUP(Tabla1[[#This Row],[instructor_2]],diccionario_!$A$1:$A$11,diccionario_!$D$1:$D$11,,0)</f>
        <v>#VALUE!</v>
      </c>
      <c r="V555" s="2" t="str">
        <f t="shared" si="11"/>
        <v>100%</v>
      </c>
      <c r="W555" s="2" t="s">
        <v>4475</v>
      </c>
    </row>
    <row r="556" spans="1:23" ht="16.5" customHeight="1">
      <c r="A556" s="2">
        <v>678</v>
      </c>
      <c r="B556" s="24" t="s">
        <v>7</v>
      </c>
      <c r="C556" s="24" t="s">
        <v>8</v>
      </c>
      <c r="D556" s="24" t="s">
        <v>9</v>
      </c>
      <c r="E556" s="11">
        <v>46031</v>
      </c>
      <c r="F556" s="14">
        <v>0.41666666666666702</v>
      </c>
      <c r="G556" s="24" t="s">
        <v>1987</v>
      </c>
      <c r="H556" s="24" t="s">
        <v>1988</v>
      </c>
      <c r="I556" s="24" t="s">
        <v>17</v>
      </c>
      <c r="J556" s="24" t="s">
        <v>12</v>
      </c>
      <c r="K556" s="24" t="s">
        <v>49</v>
      </c>
      <c r="L556" s="24"/>
      <c r="M556" s="24"/>
      <c r="N556" s="27" t="s">
        <v>49</v>
      </c>
      <c r="O556" s="6">
        <v>1</v>
      </c>
      <c r="P556" s="2" t="s">
        <v>3503</v>
      </c>
      <c r="Q556" s="24" t="e">
        <f>IF(Tabla1[[#This Row],[evaluacion_]]="","",IF(Tabla1[[#This Row],[evaluacion_]]=1,"Habilitado","No Habilitado"))</f>
        <v>#VALUE!</v>
      </c>
      <c r="R556" s="2" t="e">
        <f>IF(Tabla1[[#This Row],[fecha]]="","",TEXT(Tabla1[[#This Row],[fecha]],"DMMAAAA")&amp;TEXT(Tabla1[[#This Row],[hora]],"HHmm"))</f>
        <v>#VALUE!</v>
      </c>
      <c r="S556" s="19" t="e">
        <f>_xlfn.CONCAT(Tabla1[[#This Row],[codigo_]],Tabla1[[#This Row],[correlativo_]])</f>
        <v>#VALUE!</v>
      </c>
      <c r="T556" s="2" t="str">
        <f t="shared" si="10"/>
        <v>9 de enero del 2026</v>
      </c>
      <c r="U556" s="2" t="e">
        <f>_xlfn.XLOOKUP(Tabla1[[#This Row],[instructor_2]],diccionario_!$A$1:$A$11,diccionario_!$D$1:$D$11,,0)</f>
        <v>#VALUE!</v>
      </c>
      <c r="V556" s="2" t="str">
        <f t="shared" si="11"/>
        <v>100%</v>
      </c>
      <c r="W556" s="2" t="s">
        <v>4476</v>
      </c>
    </row>
    <row r="557" spans="1:23" ht="16.5" customHeight="1">
      <c r="A557" s="2">
        <v>679</v>
      </c>
      <c r="B557" s="24" t="s">
        <v>7</v>
      </c>
      <c r="C557" s="24" t="s">
        <v>8</v>
      </c>
      <c r="D557" s="24" t="s">
        <v>9</v>
      </c>
      <c r="E557" s="11">
        <v>46031</v>
      </c>
      <c r="F557" s="14">
        <v>0.41736111111111102</v>
      </c>
      <c r="G557" s="24" t="s">
        <v>1987</v>
      </c>
      <c r="H557" s="24" t="s">
        <v>1988</v>
      </c>
      <c r="I557" s="24" t="s">
        <v>11</v>
      </c>
      <c r="J557" s="24" t="s">
        <v>12</v>
      </c>
      <c r="K557" s="24" t="s">
        <v>13</v>
      </c>
      <c r="L557" s="24"/>
      <c r="M557" s="24"/>
      <c r="N557" s="27" t="s">
        <v>13</v>
      </c>
      <c r="O557" s="6">
        <v>1</v>
      </c>
      <c r="P557" s="2" t="s">
        <v>3503</v>
      </c>
      <c r="Q557" s="24" t="e">
        <f>IF(Tabla1[[#This Row],[evaluacion_]]="","",IF(Tabla1[[#This Row],[evaluacion_]]=1,"Habilitado","No Habilitado"))</f>
        <v>#VALUE!</v>
      </c>
      <c r="R557" s="2" t="e">
        <f>IF(Tabla1[[#This Row],[fecha]]="","",TEXT(Tabla1[[#This Row],[fecha]],"DMMAAAA")&amp;TEXT(Tabla1[[#This Row],[hora]],"HHmm"))</f>
        <v>#VALUE!</v>
      </c>
      <c r="S557" s="19" t="e">
        <f>_xlfn.CONCAT(Tabla1[[#This Row],[codigo_]],Tabla1[[#This Row],[correlativo_]])</f>
        <v>#VALUE!</v>
      </c>
      <c r="T557" s="2" t="str">
        <f t="shared" si="10"/>
        <v>9 de enero del 2026</v>
      </c>
      <c r="U557" s="2" t="e">
        <f>_xlfn.XLOOKUP(Tabla1[[#This Row],[instructor_2]],diccionario_!$A$1:$A$11,diccionario_!$D$1:$D$11,,0)</f>
        <v>#VALUE!</v>
      </c>
      <c r="V557" s="2" t="str">
        <f t="shared" si="11"/>
        <v>100%</v>
      </c>
      <c r="W557" s="2" t="s">
        <v>4476</v>
      </c>
    </row>
    <row r="558" spans="1:23" ht="16.5" customHeight="1">
      <c r="A558" s="2">
        <v>680</v>
      </c>
      <c r="B558" s="24" t="s">
        <v>7</v>
      </c>
      <c r="C558" s="24" t="s">
        <v>8</v>
      </c>
      <c r="D558" s="24" t="s">
        <v>9</v>
      </c>
      <c r="E558" s="11">
        <v>46031</v>
      </c>
      <c r="F558" s="14">
        <v>0.41736111111111102</v>
      </c>
      <c r="G558" s="24" t="s">
        <v>3230</v>
      </c>
      <c r="H558" s="24" t="s">
        <v>3231</v>
      </c>
      <c r="I558" s="24" t="s">
        <v>11</v>
      </c>
      <c r="J558" s="24" t="s">
        <v>12</v>
      </c>
      <c r="K558" s="24" t="s">
        <v>13</v>
      </c>
      <c r="L558" s="24"/>
      <c r="M558" s="24"/>
      <c r="N558" s="27" t="s">
        <v>13</v>
      </c>
      <c r="O558" s="6">
        <v>1</v>
      </c>
      <c r="P558" s="2" t="s">
        <v>3503</v>
      </c>
      <c r="Q558" s="24" t="e">
        <f>IF(Tabla1[[#This Row],[evaluacion_]]="","",IF(Tabla1[[#This Row],[evaluacion_]]=1,"Habilitado","No Habilitado"))</f>
        <v>#VALUE!</v>
      </c>
      <c r="R558" s="2" t="e">
        <f>IF(Tabla1[[#This Row],[fecha]]="","",TEXT(Tabla1[[#This Row],[fecha]],"DMMAAAA")&amp;TEXT(Tabla1[[#This Row],[hora]],"HHmm"))</f>
        <v>#VALUE!</v>
      </c>
      <c r="S558" s="19" t="e">
        <f>_xlfn.CONCAT(Tabla1[[#This Row],[codigo_]],Tabla1[[#This Row],[correlativo_]])</f>
        <v>#VALUE!</v>
      </c>
      <c r="T558" s="2" t="str">
        <f t="shared" si="10"/>
        <v>9 de enero del 2026</v>
      </c>
      <c r="U558" s="2" t="e">
        <f>_xlfn.XLOOKUP(Tabla1[[#This Row],[instructor_2]],diccionario_!$A$1:$A$11,diccionario_!$D$1:$D$11,,0)</f>
        <v>#VALUE!</v>
      </c>
      <c r="V558" s="2" t="str">
        <f t="shared" si="11"/>
        <v>100%</v>
      </c>
      <c r="W558" s="2" t="s">
        <v>4476</v>
      </c>
    </row>
    <row r="559" spans="1:23" ht="16.5" customHeight="1">
      <c r="A559" s="2">
        <v>681</v>
      </c>
      <c r="B559" s="24" t="s">
        <v>7</v>
      </c>
      <c r="C559" s="24" t="s">
        <v>8</v>
      </c>
      <c r="D559" s="24" t="s">
        <v>9</v>
      </c>
      <c r="E559" s="11">
        <v>46031</v>
      </c>
      <c r="F559" s="14">
        <v>0.42013888888888901</v>
      </c>
      <c r="G559" s="24" t="s">
        <v>3230</v>
      </c>
      <c r="H559" s="24" t="s">
        <v>3231</v>
      </c>
      <c r="I559" s="24" t="s">
        <v>17</v>
      </c>
      <c r="J559" s="24" t="s">
        <v>12</v>
      </c>
      <c r="K559" s="24" t="s">
        <v>49</v>
      </c>
      <c r="L559" s="24"/>
      <c r="M559" s="24"/>
      <c r="N559" s="27" t="s">
        <v>49</v>
      </c>
      <c r="O559" s="6">
        <v>1</v>
      </c>
      <c r="P559" s="2" t="s">
        <v>3503</v>
      </c>
      <c r="Q559" s="24" t="e">
        <f>IF(Tabla1[[#This Row],[evaluacion_]]="","",IF(Tabla1[[#This Row],[evaluacion_]]=1,"Habilitado","No Habilitado"))</f>
        <v>#VALUE!</v>
      </c>
      <c r="R559" s="2" t="e">
        <f>IF(Tabla1[[#This Row],[fecha]]="","",TEXT(Tabla1[[#This Row],[fecha]],"DMMAAAA")&amp;TEXT(Tabla1[[#This Row],[hora]],"HHmm"))</f>
        <v>#VALUE!</v>
      </c>
      <c r="S559" s="19" t="e">
        <f>_xlfn.CONCAT(Tabla1[[#This Row],[codigo_]],Tabla1[[#This Row],[correlativo_]])</f>
        <v>#VALUE!</v>
      </c>
      <c r="T559" s="2" t="str">
        <f t="shared" si="10"/>
        <v>9 de enero del 2026</v>
      </c>
      <c r="U559" s="2" t="e">
        <f>_xlfn.XLOOKUP(Tabla1[[#This Row],[instructor_2]],diccionario_!$A$1:$A$11,diccionario_!$D$1:$D$11,,0)</f>
        <v>#VALUE!</v>
      </c>
      <c r="V559" s="2" t="str">
        <f t="shared" si="11"/>
        <v>100%</v>
      </c>
      <c r="W559" s="2" t="s">
        <v>4476</v>
      </c>
    </row>
    <row r="560" spans="1:23" ht="16.5" customHeight="1">
      <c r="A560" s="2">
        <v>682</v>
      </c>
      <c r="B560" s="24" t="s">
        <v>7</v>
      </c>
      <c r="C560" s="24" t="s">
        <v>8</v>
      </c>
      <c r="D560" s="24" t="s">
        <v>9</v>
      </c>
      <c r="E560" s="11">
        <v>46031</v>
      </c>
      <c r="F560" s="14">
        <v>0.41875000000000001</v>
      </c>
      <c r="G560" s="24" t="s">
        <v>392</v>
      </c>
      <c r="H560" s="24" t="s">
        <v>393</v>
      </c>
      <c r="I560" s="24" t="s">
        <v>11</v>
      </c>
      <c r="J560" s="24" t="s">
        <v>12</v>
      </c>
      <c r="K560" s="24" t="s">
        <v>13</v>
      </c>
      <c r="L560" s="24"/>
      <c r="M560" s="24"/>
      <c r="N560" s="27" t="s">
        <v>13</v>
      </c>
      <c r="O560" s="6">
        <v>1</v>
      </c>
      <c r="P560" s="2" t="s">
        <v>3503</v>
      </c>
      <c r="Q560" s="24" t="e">
        <f>IF(Tabla1[[#This Row],[evaluacion_]]="","",IF(Tabla1[[#This Row],[evaluacion_]]=1,"Habilitado","No Habilitado"))</f>
        <v>#VALUE!</v>
      </c>
      <c r="R560" s="2" t="e">
        <f>IF(Tabla1[[#This Row],[fecha]]="","",TEXT(Tabla1[[#This Row],[fecha]],"DMMAAAA")&amp;TEXT(Tabla1[[#This Row],[hora]],"HHmm"))</f>
        <v>#VALUE!</v>
      </c>
      <c r="S560" s="19" t="e">
        <f>_xlfn.CONCAT(Tabla1[[#This Row],[codigo_]],Tabla1[[#This Row],[correlativo_]])</f>
        <v>#VALUE!</v>
      </c>
      <c r="T560" s="2" t="str">
        <f t="shared" si="10"/>
        <v>9 de enero del 2026</v>
      </c>
      <c r="U560" s="2" t="e">
        <f>_xlfn.XLOOKUP(Tabla1[[#This Row],[instructor_2]],diccionario_!$A$1:$A$11,diccionario_!$D$1:$D$11,,0)</f>
        <v>#VALUE!</v>
      </c>
      <c r="V560" s="2" t="str">
        <f t="shared" si="11"/>
        <v>100%</v>
      </c>
      <c r="W560" s="2" t="s">
        <v>4476</v>
      </c>
    </row>
    <row r="561" spans="1:23" ht="16.5" customHeight="1">
      <c r="A561" s="2">
        <v>683</v>
      </c>
      <c r="B561" s="24" t="s">
        <v>7</v>
      </c>
      <c r="C561" s="24" t="s">
        <v>8</v>
      </c>
      <c r="D561" s="24" t="s">
        <v>9</v>
      </c>
      <c r="E561" s="11">
        <v>46031</v>
      </c>
      <c r="F561" s="14">
        <v>0.42361111111111099</v>
      </c>
      <c r="G561" s="24" t="s">
        <v>392</v>
      </c>
      <c r="H561" s="24" t="s">
        <v>393</v>
      </c>
      <c r="I561" s="24" t="s">
        <v>17</v>
      </c>
      <c r="J561" s="24" t="s">
        <v>12</v>
      </c>
      <c r="K561" s="24" t="s">
        <v>49</v>
      </c>
      <c r="L561" s="24"/>
      <c r="M561" s="24"/>
      <c r="N561" s="27" t="s">
        <v>49</v>
      </c>
      <c r="O561" s="6">
        <v>1</v>
      </c>
      <c r="P561" s="2" t="s">
        <v>3503</v>
      </c>
      <c r="Q561" s="24" t="e">
        <f>IF(Tabla1[[#This Row],[evaluacion_]]="","",IF(Tabla1[[#This Row],[evaluacion_]]=1,"Habilitado","No Habilitado"))</f>
        <v>#VALUE!</v>
      </c>
      <c r="R561" s="2" t="e">
        <f>IF(Tabla1[[#This Row],[fecha]]="","",TEXT(Tabla1[[#This Row],[fecha]],"DMMAAAA")&amp;TEXT(Tabla1[[#This Row],[hora]],"HHmm"))</f>
        <v>#VALUE!</v>
      </c>
      <c r="S561" s="19" t="e">
        <f>_xlfn.CONCAT(Tabla1[[#This Row],[codigo_]],Tabla1[[#This Row],[correlativo_]])</f>
        <v>#VALUE!</v>
      </c>
      <c r="T561" s="2" t="str">
        <f t="shared" si="10"/>
        <v>9 de enero del 2026</v>
      </c>
      <c r="U561" s="2" t="e">
        <f>_xlfn.XLOOKUP(Tabla1[[#This Row],[instructor_2]],diccionario_!$A$1:$A$11,diccionario_!$D$1:$D$11,,0)</f>
        <v>#VALUE!</v>
      </c>
      <c r="V561" s="2" t="str">
        <f t="shared" si="11"/>
        <v>100%</v>
      </c>
      <c r="W561" s="2" t="s">
        <v>4476</v>
      </c>
    </row>
    <row r="562" spans="1:23" ht="16.5" customHeight="1">
      <c r="A562" s="2">
        <v>684</v>
      </c>
      <c r="B562" s="24" t="s">
        <v>7</v>
      </c>
      <c r="C562" s="24" t="s">
        <v>8</v>
      </c>
      <c r="D562" s="24" t="s">
        <v>9</v>
      </c>
      <c r="E562" s="11">
        <v>46031</v>
      </c>
      <c r="F562" s="14">
        <v>0.42499999999999999</v>
      </c>
      <c r="G562" s="24" t="s">
        <v>527</v>
      </c>
      <c r="H562" s="24" t="s">
        <v>528</v>
      </c>
      <c r="I562" s="24" t="s">
        <v>11</v>
      </c>
      <c r="J562" s="24" t="s">
        <v>12</v>
      </c>
      <c r="K562" s="24" t="s">
        <v>13</v>
      </c>
      <c r="L562" s="24"/>
      <c r="M562" s="24"/>
      <c r="N562" s="27" t="s">
        <v>13</v>
      </c>
      <c r="O562" s="6">
        <v>1</v>
      </c>
      <c r="P562" s="2" t="s">
        <v>3503</v>
      </c>
      <c r="Q562" s="24" t="e">
        <f>IF(Tabla1[[#This Row],[evaluacion_]]="","",IF(Tabla1[[#This Row],[evaluacion_]]=1,"Habilitado","No Habilitado"))</f>
        <v>#VALUE!</v>
      </c>
      <c r="R562" s="2" t="e">
        <f>IF(Tabla1[[#This Row],[fecha]]="","",TEXT(Tabla1[[#This Row],[fecha]],"DMMAAAA")&amp;TEXT(Tabla1[[#This Row],[hora]],"HHmm"))</f>
        <v>#VALUE!</v>
      </c>
      <c r="S562" s="19" t="e">
        <f>_xlfn.CONCAT(Tabla1[[#This Row],[codigo_]],Tabla1[[#This Row],[correlativo_]])</f>
        <v>#VALUE!</v>
      </c>
      <c r="T562" s="2" t="str">
        <f t="shared" si="10"/>
        <v>9 de enero del 2026</v>
      </c>
      <c r="U562" s="2" t="e">
        <f>_xlfn.XLOOKUP(Tabla1[[#This Row],[instructor_2]],diccionario_!$A$1:$A$11,diccionario_!$D$1:$D$11,,0)</f>
        <v>#VALUE!</v>
      </c>
      <c r="V562" s="2" t="str">
        <f t="shared" si="11"/>
        <v>100%</v>
      </c>
      <c r="W562" s="2" t="s">
        <v>4476</v>
      </c>
    </row>
    <row r="563" spans="1:23" ht="16.5" customHeight="1">
      <c r="A563" s="2">
        <v>685</v>
      </c>
      <c r="B563" s="24" t="s">
        <v>7</v>
      </c>
      <c r="C563" s="24" t="s">
        <v>8</v>
      </c>
      <c r="D563" s="24" t="s">
        <v>9</v>
      </c>
      <c r="E563" s="11">
        <v>46031</v>
      </c>
      <c r="F563" s="14">
        <v>0.42708333333333298</v>
      </c>
      <c r="G563" s="24" t="s">
        <v>527</v>
      </c>
      <c r="H563" s="24" t="s">
        <v>528</v>
      </c>
      <c r="I563" s="24" t="s">
        <v>17</v>
      </c>
      <c r="J563" s="24" t="s">
        <v>12</v>
      </c>
      <c r="K563" s="24" t="s">
        <v>49</v>
      </c>
      <c r="L563" s="24"/>
      <c r="M563" s="24"/>
      <c r="N563" s="27" t="s">
        <v>49</v>
      </c>
      <c r="O563" s="6">
        <v>1</v>
      </c>
      <c r="P563" s="2" t="s">
        <v>3503</v>
      </c>
      <c r="Q563" s="24" t="e">
        <f>IF(Tabla1[[#This Row],[evaluacion_]]="","",IF(Tabla1[[#This Row],[evaluacion_]]=1,"Habilitado","No Habilitado"))</f>
        <v>#VALUE!</v>
      </c>
      <c r="R563" s="2" t="e">
        <f>IF(Tabla1[[#This Row],[fecha]]="","",TEXT(Tabla1[[#This Row],[fecha]],"DMMAAAA")&amp;TEXT(Tabla1[[#This Row],[hora]],"HHmm"))</f>
        <v>#VALUE!</v>
      </c>
      <c r="S563" s="19" t="e">
        <f>_xlfn.CONCAT(Tabla1[[#This Row],[codigo_]],Tabla1[[#This Row],[correlativo_]])</f>
        <v>#VALUE!</v>
      </c>
      <c r="T563" s="2" t="str">
        <f t="shared" si="10"/>
        <v>9 de enero del 2026</v>
      </c>
      <c r="U563" s="2" t="e">
        <f>_xlfn.XLOOKUP(Tabla1[[#This Row],[instructor_2]],diccionario_!$A$1:$A$11,diccionario_!$D$1:$D$11,,0)</f>
        <v>#VALUE!</v>
      </c>
      <c r="V563" s="2" t="str">
        <f t="shared" si="11"/>
        <v>100%</v>
      </c>
      <c r="W563" s="2" t="s">
        <v>4476</v>
      </c>
    </row>
    <row r="564" spans="1:23" ht="16.5" customHeight="1">
      <c r="A564" s="2">
        <v>686</v>
      </c>
      <c r="B564" s="24" t="s">
        <v>7</v>
      </c>
      <c r="C564" s="24" t="s">
        <v>8</v>
      </c>
      <c r="D564" s="24" t="s">
        <v>9</v>
      </c>
      <c r="E564" s="11">
        <v>46031</v>
      </c>
      <c r="F564" s="14">
        <v>0.43055555555555602</v>
      </c>
      <c r="G564" s="24" t="s">
        <v>2264</v>
      </c>
      <c r="H564" s="24" t="s">
        <v>2265</v>
      </c>
      <c r="I564" s="24" t="s">
        <v>11</v>
      </c>
      <c r="J564" s="24" t="s">
        <v>12</v>
      </c>
      <c r="K564" s="24" t="s">
        <v>13</v>
      </c>
      <c r="L564" s="24"/>
      <c r="M564" s="24"/>
      <c r="N564" s="27" t="s">
        <v>13</v>
      </c>
      <c r="O564" s="6">
        <v>1</v>
      </c>
      <c r="P564" s="2" t="s">
        <v>3503</v>
      </c>
      <c r="Q564" s="24" t="e">
        <f>IF(Tabla1[[#This Row],[evaluacion_]]="","",IF(Tabla1[[#This Row],[evaluacion_]]=1,"Habilitado","No Habilitado"))</f>
        <v>#VALUE!</v>
      </c>
      <c r="R564" s="2" t="e">
        <f>IF(Tabla1[[#This Row],[fecha]]="","",TEXT(Tabla1[[#This Row],[fecha]],"DMMAAAA")&amp;TEXT(Tabla1[[#This Row],[hora]],"HHmm"))</f>
        <v>#VALUE!</v>
      </c>
      <c r="S564" s="19" t="e">
        <f>_xlfn.CONCAT(Tabla1[[#This Row],[codigo_]],Tabla1[[#This Row],[correlativo_]])</f>
        <v>#VALUE!</v>
      </c>
      <c r="T564" s="2" t="str">
        <f t="shared" si="10"/>
        <v>9 de enero del 2026</v>
      </c>
      <c r="U564" s="2" t="e">
        <f>_xlfn.XLOOKUP(Tabla1[[#This Row],[instructor_2]],diccionario_!$A$1:$A$11,diccionario_!$D$1:$D$11,,0)</f>
        <v>#VALUE!</v>
      </c>
      <c r="V564" s="2" t="str">
        <f t="shared" si="11"/>
        <v>100%</v>
      </c>
      <c r="W564" s="2" t="s">
        <v>4476</v>
      </c>
    </row>
    <row r="565" spans="1:23" ht="16.5" customHeight="1">
      <c r="A565" s="2">
        <v>687</v>
      </c>
      <c r="B565" s="24" t="s">
        <v>7</v>
      </c>
      <c r="C565" s="24" t="s">
        <v>8</v>
      </c>
      <c r="D565" s="24" t="s">
        <v>9</v>
      </c>
      <c r="E565" s="11">
        <v>46031</v>
      </c>
      <c r="F565" s="14">
        <v>0.43402777777777801</v>
      </c>
      <c r="G565" s="24" t="s">
        <v>2264</v>
      </c>
      <c r="H565" s="24" t="s">
        <v>2265</v>
      </c>
      <c r="I565" s="24" t="s">
        <v>17</v>
      </c>
      <c r="J565" s="24" t="s">
        <v>12</v>
      </c>
      <c r="K565" s="24" t="s">
        <v>49</v>
      </c>
      <c r="L565" s="24"/>
      <c r="M565" s="24"/>
      <c r="N565" s="27" t="s">
        <v>49</v>
      </c>
      <c r="O565" s="6">
        <v>1</v>
      </c>
      <c r="P565" s="2" t="s">
        <v>3503</v>
      </c>
      <c r="Q565" s="24" t="e">
        <f>IF(Tabla1[[#This Row],[evaluacion_]]="","",IF(Tabla1[[#This Row],[evaluacion_]]=1,"Habilitado","No Habilitado"))</f>
        <v>#VALUE!</v>
      </c>
      <c r="R565" s="2" t="e">
        <f>IF(Tabla1[[#This Row],[fecha]]="","",TEXT(Tabla1[[#This Row],[fecha]],"DMMAAAA")&amp;TEXT(Tabla1[[#This Row],[hora]],"HHmm"))</f>
        <v>#VALUE!</v>
      </c>
      <c r="S565" s="19" t="e">
        <f>_xlfn.CONCAT(Tabla1[[#This Row],[codigo_]],Tabla1[[#This Row],[correlativo_]])</f>
        <v>#VALUE!</v>
      </c>
      <c r="T565" s="2" t="str">
        <f t="shared" si="10"/>
        <v>9 de enero del 2026</v>
      </c>
      <c r="U565" s="2" t="e">
        <f>_xlfn.XLOOKUP(Tabla1[[#This Row],[instructor_2]],diccionario_!$A$1:$A$11,diccionario_!$D$1:$D$11,,0)</f>
        <v>#VALUE!</v>
      </c>
      <c r="V565" s="2" t="str">
        <f t="shared" si="11"/>
        <v>100%</v>
      </c>
      <c r="W565" s="2" t="s">
        <v>4476</v>
      </c>
    </row>
    <row r="566" spans="1:23" ht="16.5" customHeight="1">
      <c r="A566" s="2">
        <v>688</v>
      </c>
      <c r="B566" s="24" t="s">
        <v>7</v>
      </c>
      <c r="C566" s="24" t="s">
        <v>8</v>
      </c>
      <c r="D566" s="24" t="s">
        <v>9</v>
      </c>
      <c r="E566" s="11">
        <v>46030</v>
      </c>
      <c r="F566" s="14">
        <v>0.41666666666666702</v>
      </c>
      <c r="G566" s="24" t="s">
        <v>1987</v>
      </c>
      <c r="H566" s="24" t="s">
        <v>1988</v>
      </c>
      <c r="I566" s="24" t="s">
        <v>17</v>
      </c>
      <c r="J566" s="24" t="s">
        <v>12</v>
      </c>
      <c r="K566" s="24" t="s">
        <v>49</v>
      </c>
      <c r="L566" s="24"/>
      <c r="M566" s="24"/>
      <c r="N566" s="27" t="s">
        <v>49</v>
      </c>
      <c r="O566" s="6">
        <v>1</v>
      </c>
      <c r="P566" s="2" t="s">
        <v>3503</v>
      </c>
      <c r="Q566" s="24" t="e">
        <f>IF(Tabla1[[#This Row],[evaluacion_]]="","",IF(Tabla1[[#This Row],[evaluacion_]]=1,"Habilitado","No Habilitado"))</f>
        <v>#VALUE!</v>
      </c>
      <c r="R566" s="2" t="e">
        <f>IF(Tabla1[[#This Row],[fecha]]="","",TEXT(Tabla1[[#This Row],[fecha]],"DMMAAAA")&amp;TEXT(Tabla1[[#This Row],[hora]],"HHmm"))</f>
        <v>#VALUE!</v>
      </c>
      <c r="S566" s="19" t="e">
        <f>_xlfn.CONCAT(Tabla1[[#This Row],[codigo_]],Tabla1[[#This Row],[correlativo_]])</f>
        <v>#VALUE!</v>
      </c>
      <c r="T566" s="2" t="str">
        <f t="shared" si="10"/>
        <v>8 de enero del 2026</v>
      </c>
      <c r="U566" s="2" t="e">
        <f>_xlfn.XLOOKUP(Tabla1[[#This Row],[instructor_2]],diccionario_!$A$1:$A$11,diccionario_!$D$1:$D$11,,0)</f>
        <v>#VALUE!</v>
      </c>
      <c r="V566" s="2" t="str">
        <f t="shared" si="11"/>
        <v>100%</v>
      </c>
      <c r="W566" s="2" t="s">
        <v>4477</v>
      </c>
    </row>
    <row r="567" spans="1:23" ht="16.5" customHeight="1">
      <c r="A567" s="2">
        <v>689</v>
      </c>
      <c r="B567" s="24" t="s">
        <v>7</v>
      </c>
      <c r="C567" s="24" t="s">
        <v>8</v>
      </c>
      <c r="D567" s="24" t="s">
        <v>9</v>
      </c>
      <c r="E567" s="11">
        <v>46030</v>
      </c>
      <c r="F567" s="14">
        <v>0.42361111111111099</v>
      </c>
      <c r="G567" s="24" t="s">
        <v>527</v>
      </c>
      <c r="H567" s="24" t="s">
        <v>528</v>
      </c>
      <c r="I567" s="24" t="s">
        <v>17</v>
      </c>
      <c r="J567" s="24" t="s">
        <v>12</v>
      </c>
      <c r="K567" s="24" t="s">
        <v>49</v>
      </c>
      <c r="L567" s="24"/>
      <c r="M567" s="24"/>
      <c r="N567" s="27" t="s">
        <v>49</v>
      </c>
      <c r="O567" s="6">
        <v>1</v>
      </c>
      <c r="P567" s="2" t="s">
        <v>3503</v>
      </c>
      <c r="Q567" s="24" t="e">
        <f>IF(Tabla1[[#This Row],[evaluacion_]]="","",IF(Tabla1[[#This Row],[evaluacion_]]=1,"Habilitado","No Habilitado"))</f>
        <v>#VALUE!</v>
      </c>
      <c r="R567" s="2" t="e">
        <f>IF(Tabla1[[#This Row],[fecha]]="","",TEXT(Tabla1[[#This Row],[fecha]],"DMMAAAA")&amp;TEXT(Tabla1[[#This Row],[hora]],"HHmm"))</f>
        <v>#VALUE!</v>
      </c>
      <c r="S567" s="19" t="e">
        <f>_xlfn.CONCAT(Tabla1[[#This Row],[codigo_]],Tabla1[[#This Row],[correlativo_]])</f>
        <v>#VALUE!</v>
      </c>
      <c r="T567" s="2" t="str">
        <f t="shared" si="10"/>
        <v>8 de enero del 2026</v>
      </c>
      <c r="U567" s="2" t="e">
        <f>_xlfn.XLOOKUP(Tabla1[[#This Row],[instructor_2]],diccionario_!$A$1:$A$11,diccionario_!$D$1:$D$11,,0)</f>
        <v>#VALUE!</v>
      </c>
      <c r="V567" s="2" t="str">
        <f t="shared" si="11"/>
        <v>100%</v>
      </c>
      <c r="W567" s="2" t="s">
        <v>4478</v>
      </c>
    </row>
    <row r="568" spans="1:23" ht="16.5" customHeight="1">
      <c r="A568" s="2">
        <v>690</v>
      </c>
      <c r="B568" s="24" t="s">
        <v>7</v>
      </c>
      <c r="C568" s="24" t="s">
        <v>8</v>
      </c>
      <c r="D568" s="24" t="s">
        <v>9</v>
      </c>
      <c r="E568" s="11">
        <v>46030</v>
      </c>
      <c r="F568" s="14">
        <v>0.42708333333333298</v>
      </c>
      <c r="G568" s="24" t="s">
        <v>392</v>
      </c>
      <c r="H568" s="24" t="s">
        <v>393</v>
      </c>
      <c r="I568" s="24" t="s">
        <v>17</v>
      </c>
      <c r="J568" s="24" t="s">
        <v>12</v>
      </c>
      <c r="K568" s="24" t="s">
        <v>49</v>
      </c>
      <c r="L568" s="24"/>
      <c r="M568" s="24"/>
      <c r="N568" s="27" t="s">
        <v>49</v>
      </c>
      <c r="O568" s="6">
        <v>1</v>
      </c>
      <c r="P568" s="2" t="s">
        <v>3503</v>
      </c>
      <c r="Q568" s="24" t="e">
        <f>IF(Tabla1[[#This Row],[evaluacion_]]="","",IF(Tabla1[[#This Row],[evaluacion_]]=1,"Habilitado","No Habilitado"))</f>
        <v>#VALUE!</v>
      </c>
      <c r="R568" s="2" t="e">
        <f>IF(Tabla1[[#This Row],[fecha]]="","",TEXT(Tabla1[[#This Row],[fecha]],"DMMAAAA")&amp;TEXT(Tabla1[[#This Row],[hora]],"HHmm"))</f>
        <v>#VALUE!</v>
      </c>
      <c r="S568" s="19" t="e">
        <f>_xlfn.CONCAT(Tabla1[[#This Row],[codigo_]],Tabla1[[#This Row],[correlativo_]])</f>
        <v>#VALUE!</v>
      </c>
      <c r="T568" s="2" t="str">
        <f t="shared" si="10"/>
        <v>8 de enero del 2026</v>
      </c>
      <c r="U568" s="2" t="e">
        <f>_xlfn.XLOOKUP(Tabla1[[#This Row],[instructor_2]],diccionario_!$A$1:$A$11,diccionario_!$D$1:$D$11,,0)</f>
        <v>#VALUE!</v>
      </c>
      <c r="V568" s="2" t="str">
        <f t="shared" si="11"/>
        <v>100%</v>
      </c>
      <c r="W568" s="2" t="s">
        <v>4478</v>
      </c>
    </row>
    <row r="569" spans="1:23" ht="16.5" customHeight="1">
      <c r="A569" s="2">
        <v>691</v>
      </c>
      <c r="B569" s="24" t="s">
        <v>7</v>
      </c>
      <c r="C569" s="24" t="s">
        <v>8</v>
      </c>
      <c r="D569" s="24" t="s">
        <v>9</v>
      </c>
      <c r="E569" s="11">
        <v>46030</v>
      </c>
      <c r="F569" s="14">
        <v>0.43055555555555602</v>
      </c>
      <c r="G569" s="24" t="s">
        <v>3230</v>
      </c>
      <c r="H569" s="24" t="s">
        <v>3231</v>
      </c>
      <c r="I569" s="24" t="s">
        <v>17</v>
      </c>
      <c r="J569" s="24" t="s">
        <v>12</v>
      </c>
      <c r="K569" s="24" t="s">
        <v>49</v>
      </c>
      <c r="L569" s="24"/>
      <c r="M569" s="24"/>
      <c r="N569" s="27" t="s">
        <v>49</v>
      </c>
      <c r="O569" s="6">
        <v>1</v>
      </c>
      <c r="P569" s="2" t="s">
        <v>3503</v>
      </c>
      <c r="Q569" s="24" t="e">
        <f>IF(Tabla1[[#This Row],[evaluacion_]]="","",IF(Tabla1[[#This Row],[evaluacion_]]=1,"Habilitado","No Habilitado"))</f>
        <v>#VALUE!</v>
      </c>
      <c r="R569" s="2" t="e">
        <f>IF(Tabla1[[#This Row],[fecha]]="","",TEXT(Tabla1[[#This Row],[fecha]],"DMMAAAA")&amp;TEXT(Tabla1[[#This Row],[hora]],"HHmm"))</f>
        <v>#VALUE!</v>
      </c>
      <c r="S569" s="19" t="e">
        <f>_xlfn.CONCAT(Tabla1[[#This Row],[codigo_]],Tabla1[[#This Row],[correlativo_]])</f>
        <v>#VALUE!</v>
      </c>
      <c r="T569" s="2" t="str">
        <f t="shared" si="10"/>
        <v>8 de enero del 2026</v>
      </c>
      <c r="U569" s="2" t="e">
        <f>_xlfn.XLOOKUP(Tabla1[[#This Row],[instructor_2]],diccionario_!$A$1:$A$11,diccionario_!$D$1:$D$11,,0)</f>
        <v>#VALUE!</v>
      </c>
      <c r="V569" s="2" t="str">
        <f t="shared" si="11"/>
        <v>100%</v>
      </c>
      <c r="W569" s="2" t="s">
        <v>4478</v>
      </c>
    </row>
    <row r="570" spans="1:23" ht="16.5" customHeight="1">
      <c r="A570" s="2">
        <v>692</v>
      </c>
      <c r="B570" s="24" t="s">
        <v>7</v>
      </c>
      <c r="C570" s="24" t="s">
        <v>8</v>
      </c>
      <c r="D570" s="24" t="s">
        <v>9</v>
      </c>
      <c r="E570" s="11">
        <v>46030</v>
      </c>
      <c r="F570" s="14">
        <v>0.44791666666666702</v>
      </c>
      <c r="G570" s="24" t="s">
        <v>1172</v>
      </c>
      <c r="H570" s="24" t="s">
        <v>1173</v>
      </c>
      <c r="I570" s="24" t="s">
        <v>17</v>
      </c>
      <c r="J570" s="24" t="s">
        <v>12</v>
      </c>
      <c r="K570" s="24" t="s">
        <v>49</v>
      </c>
      <c r="L570" s="24"/>
      <c r="M570" s="24"/>
      <c r="N570" s="27" t="s">
        <v>49</v>
      </c>
      <c r="O570" s="6">
        <v>1</v>
      </c>
      <c r="P570" s="2" t="s">
        <v>3503</v>
      </c>
      <c r="Q570" s="24" t="e">
        <f>IF(Tabla1[[#This Row],[evaluacion_]]="","",IF(Tabla1[[#This Row],[evaluacion_]]=1,"Habilitado","No Habilitado"))</f>
        <v>#VALUE!</v>
      </c>
      <c r="R570" s="2" t="e">
        <f>IF(Tabla1[[#This Row],[fecha]]="","",TEXT(Tabla1[[#This Row],[fecha]],"DMMAAAA")&amp;TEXT(Tabla1[[#This Row],[hora]],"HHmm"))</f>
        <v>#VALUE!</v>
      </c>
      <c r="S570" s="19" t="e">
        <f>_xlfn.CONCAT(Tabla1[[#This Row],[codigo_]],Tabla1[[#This Row],[correlativo_]])</f>
        <v>#VALUE!</v>
      </c>
      <c r="T570" s="2" t="str">
        <f t="shared" si="10"/>
        <v>8 de enero del 2026</v>
      </c>
      <c r="U570" s="2" t="e">
        <f>_xlfn.XLOOKUP(Tabla1[[#This Row],[instructor_2]],diccionario_!$A$1:$A$11,diccionario_!$D$1:$D$11,,0)</f>
        <v>#VALUE!</v>
      </c>
      <c r="V570" s="2" t="str">
        <f t="shared" si="11"/>
        <v>100%</v>
      </c>
      <c r="W570" s="2" t="s">
        <v>4479</v>
      </c>
    </row>
    <row r="571" spans="1:23" ht="16.5" customHeight="1">
      <c r="A571" s="2">
        <v>693</v>
      </c>
      <c r="B571" s="24" t="s">
        <v>7</v>
      </c>
      <c r="C571" s="24" t="s">
        <v>8</v>
      </c>
      <c r="D571" s="24" t="s">
        <v>9</v>
      </c>
      <c r="E571" s="11">
        <v>46034</v>
      </c>
      <c r="F571" s="14">
        <v>0.66666666666666696</v>
      </c>
      <c r="G571" s="24" t="s">
        <v>2285</v>
      </c>
      <c r="H571" s="24" t="s">
        <v>2286</v>
      </c>
      <c r="I571" s="24" t="s">
        <v>11</v>
      </c>
      <c r="J571" s="24" t="s">
        <v>12</v>
      </c>
      <c r="K571" s="24" t="s">
        <v>13</v>
      </c>
      <c r="L571" s="24"/>
      <c r="M571" s="24"/>
      <c r="N571" s="27" t="s">
        <v>13</v>
      </c>
      <c r="O571" s="6">
        <v>1</v>
      </c>
      <c r="P571" s="2" t="s">
        <v>3503</v>
      </c>
      <c r="Q571" s="24" t="e">
        <f>IF(Tabla1[[#This Row],[evaluacion_]]="","",IF(Tabla1[[#This Row],[evaluacion_]]=1,"Habilitado","No Habilitado"))</f>
        <v>#VALUE!</v>
      </c>
      <c r="R571" s="2" t="e">
        <f>IF(Tabla1[[#This Row],[fecha]]="","",TEXT(Tabla1[[#This Row],[fecha]],"DMMAAAA")&amp;TEXT(Tabla1[[#This Row],[hora]],"HHmm"))</f>
        <v>#VALUE!</v>
      </c>
      <c r="S571" s="19" t="e">
        <f>_xlfn.CONCAT(Tabla1[[#This Row],[codigo_]],Tabla1[[#This Row],[correlativo_]])</f>
        <v>#VALUE!</v>
      </c>
      <c r="T571" s="2" t="str">
        <f t="shared" si="10"/>
        <v>12 de enero del 2026</v>
      </c>
      <c r="U571" s="2" t="e">
        <f>_xlfn.XLOOKUP(Tabla1[[#This Row],[instructor_2]],diccionario_!$A$1:$A$11,diccionario_!$D$1:$D$11,,0)</f>
        <v>#VALUE!</v>
      </c>
      <c r="V571" s="2" t="str">
        <f t="shared" si="11"/>
        <v>100%</v>
      </c>
      <c r="W571" s="2" t="s">
        <v>4480</v>
      </c>
    </row>
    <row r="572" spans="1:23" ht="16.5" customHeight="1">
      <c r="A572" s="2">
        <v>694</v>
      </c>
      <c r="B572" s="24" t="s">
        <v>7</v>
      </c>
      <c r="C572" s="24" t="s">
        <v>8</v>
      </c>
      <c r="D572" s="24" t="s">
        <v>9</v>
      </c>
      <c r="E572" s="11">
        <v>46034</v>
      </c>
      <c r="F572" s="14">
        <v>0.70833333333333304</v>
      </c>
      <c r="G572" s="24" t="s">
        <v>1503</v>
      </c>
      <c r="H572" s="24" t="s">
        <v>1504</v>
      </c>
      <c r="I572" s="24" t="s">
        <v>11</v>
      </c>
      <c r="J572" s="24" t="s">
        <v>12</v>
      </c>
      <c r="K572" s="24" t="s">
        <v>13</v>
      </c>
      <c r="L572" s="24"/>
      <c r="M572" s="24"/>
      <c r="N572" s="27" t="s">
        <v>13</v>
      </c>
      <c r="O572" s="6">
        <v>1</v>
      </c>
      <c r="P572" s="2" t="s">
        <v>3503</v>
      </c>
      <c r="Q572" s="24" t="e">
        <f>IF(Tabla1[[#This Row],[evaluacion_]]="","",IF(Tabla1[[#This Row],[evaluacion_]]=1,"Habilitado","No Habilitado"))</f>
        <v>#VALUE!</v>
      </c>
      <c r="R572" s="2" t="e">
        <f>IF(Tabla1[[#This Row],[fecha]]="","",TEXT(Tabla1[[#This Row],[fecha]],"DMMAAAA")&amp;TEXT(Tabla1[[#This Row],[hora]],"HHmm"))</f>
        <v>#VALUE!</v>
      </c>
      <c r="S572" s="19" t="e">
        <f>_xlfn.CONCAT(Tabla1[[#This Row],[codigo_]],Tabla1[[#This Row],[correlativo_]])</f>
        <v>#VALUE!</v>
      </c>
      <c r="T572" s="2" t="str">
        <f t="shared" si="10"/>
        <v>12 de enero del 2026</v>
      </c>
      <c r="U572" s="2" t="e">
        <f>_xlfn.XLOOKUP(Tabla1[[#This Row],[instructor_2]],diccionario_!$A$1:$A$11,diccionario_!$D$1:$D$11,,0)</f>
        <v>#VALUE!</v>
      </c>
      <c r="V572" s="2" t="str">
        <f t="shared" si="11"/>
        <v>100%</v>
      </c>
      <c r="W572" s="2" t="s">
        <v>4480</v>
      </c>
    </row>
    <row r="573" spans="1:23" ht="16.5" customHeight="1">
      <c r="A573" s="2">
        <v>695</v>
      </c>
      <c r="B573" s="24" t="s">
        <v>7</v>
      </c>
      <c r="C573" s="24" t="s">
        <v>8</v>
      </c>
      <c r="D573" s="24" t="s">
        <v>9</v>
      </c>
      <c r="E573" s="11">
        <v>46034</v>
      </c>
      <c r="F573" s="14">
        <v>0.72222222222222199</v>
      </c>
      <c r="G573" s="24" t="s">
        <v>2319</v>
      </c>
      <c r="H573" s="24" t="s">
        <v>2320</v>
      </c>
      <c r="I573" s="24" t="s">
        <v>11</v>
      </c>
      <c r="J573" s="24" t="s">
        <v>12</v>
      </c>
      <c r="K573" s="24" t="s">
        <v>13</v>
      </c>
      <c r="L573" s="24"/>
      <c r="M573" s="24"/>
      <c r="N573" s="27" t="s">
        <v>13</v>
      </c>
      <c r="O573" s="6">
        <v>1</v>
      </c>
      <c r="P573" s="2" t="s">
        <v>3503</v>
      </c>
      <c r="Q573" s="24" t="e">
        <f>IF(Tabla1[[#This Row],[evaluacion_]]="","",IF(Tabla1[[#This Row],[evaluacion_]]=1,"Habilitado","No Habilitado"))</f>
        <v>#VALUE!</v>
      </c>
      <c r="R573" s="2" t="e">
        <f>IF(Tabla1[[#This Row],[fecha]]="","",TEXT(Tabla1[[#This Row],[fecha]],"DMMAAAA")&amp;TEXT(Tabla1[[#This Row],[hora]],"HHmm"))</f>
        <v>#VALUE!</v>
      </c>
      <c r="S573" s="19" t="e">
        <f>_xlfn.CONCAT(Tabla1[[#This Row],[codigo_]],Tabla1[[#This Row],[correlativo_]])</f>
        <v>#VALUE!</v>
      </c>
      <c r="T573" s="2" t="str">
        <f t="shared" si="10"/>
        <v>12 de enero del 2026</v>
      </c>
      <c r="U573" s="2" t="e">
        <f>_xlfn.XLOOKUP(Tabla1[[#This Row],[instructor_2]],diccionario_!$A$1:$A$11,diccionario_!$D$1:$D$11,,0)</f>
        <v>#VALUE!</v>
      </c>
      <c r="V573" s="2" t="str">
        <f t="shared" si="11"/>
        <v>100%</v>
      </c>
      <c r="W573" s="2" t="s">
        <v>4480</v>
      </c>
    </row>
    <row r="574" spans="1:23" ht="16.5" customHeight="1">
      <c r="A574" s="2">
        <v>696</v>
      </c>
      <c r="B574" s="24" t="s">
        <v>7</v>
      </c>
      <c r="C574" s="24" t="s">
        <v>8</v>
      </c>
      <c r="D574" s="24" t="s">
        <v>9</v>
      </c>
      <c r="E574" s="11">
        <v>46034</v>
      </c>
      <c r="F574" s="14">
        <v>0.72569444444444398</v>
      </c>
      <c r="G574" s="24" t="s">
        <v>2610</v>
      </c>
      <c r="H574" s="24" t="s">
        <v>2611</v>
      </c>
      <c r="I574" s="24" t="s">
        <v>11</v>
      </c>
      <c r="J574" s="24" t="s">
        <v>12</v>
      </c>
      <c r="K574" s="24" t="s">
        <v>13</v>
      </c>
      <c r="L574" s="24"/>
      <c r="M574" s="24"/>
      <c r="N574" s="27" t="s">
        <v>13</v>
      </c>
      <c r="O574" s="6">
        <v>1</v>
      </c>
      <c r="P574" s="2" t="s">
        <v>3503</v>
      </c>
      <c r="Q574" s="24" t="e">
        <f>IF(Tabla1[[#This Row],[evaluacion_]]="","",IF(Tabla1[[#This Row],[evaluacion_]]=1,"Habilitado","No Habilitado"))</f>
        <v>#VALUE!</v>
      </c>
      <c r="R574" s="2" t="e">
        <f>IF(Tabla1[[#This Row],[fecha]]="","",TEXT(Tabla1[[#This Row],[fecha]],"DMMAAAA")&amp;TEXT(Tabla1[[#This Row],[hora]],"HHmm"))</f>
        <v>#VALUE!</v>
      </c>
      <c r="S574" s="19" t="e">
        <f>_xlfn.CONCAT(Tabla1[[#This Row],[codigo_]],Tabla1[[#This Row],[correlativo_]])</f>
        <v>#VALUE!</v>
      </c>
      <c r="T574" s="2" t="str">
        <f t="shared" si="10"/>
        <v>12 de enero del 2026</v>
      </c>
      <c r="U574" s="2" t="e">
        <f>_xlfn.XLOOKUP(Tabla1[[#This Row],[instructor_2]],diccionario_!$A$1:$A$11,diccionario_!$D$1:$D$11,,0)</f>
        <v>#VALUE!</v>
      </c>
      <c r="V574" s="2" t="str">
        <f t="shared" si="11"/>
        <v>100%</v>
      </c>
      <c r="W574" s="2" t="s">
        <v>4480</v>
      </c>
    </row>
    <row r="575" spans="1:23" ht="16.5" customHeight="1">
      <c r="A575" s="2">
        <v>697</v>
      </c>
      <c r="B575" s="24" t="s">
        <v>32</v>
      </c>
      <c r="C575" s="24" t="s">
        <v>33</v>
      </c>
      <c r="D575" s="24" t="s">
        <v>9</v>
      </c>
      <c r="E575" s="11">
        <v>46035</v>
      </c>
      <c r="F575" s="14">
        <v>0.5</v>
      </c>
      <c r="G575" s="24"/>
      <c r="H575" s="24"/>
      <c r="I575" s="24"/>
      <c r="J575" s="24"/>
      <c r="K575" s="24"/>
      <c r="L575" s="24"/>
      <c r="M575" s="24"/>
      <c r="N575" s="27"/>
      <c r="O575" s="6" t="s">
        <v>3507</v>
      </c>
      <c r="P575" s="2" t="s">
        <v>3503</v>
      </c>
      <c r="Q575" s="24" t="e">
        <f>IF(Tabla1[[#This Row],[evaluacion_]]="","",IF(Tabla1[[#This Row],[evaluacion_]]=1,"Habilitado","No Habilitado"))</f>
        <v>#VALUE!</v>
      </c>
      <c r="R575" s="2" t="e">
        <f>IF(Tabla1[[#This Row],[fecha]]="","",TEXT(Tabla1[[#This Row],[fecha]],"DMMAAAA")&amp;TEXT(Tabla1[[#This Row],[hora]],"HHmm"))</f>
        <v>#VALUE!</v>
      </c>
      <c r="S575" s="19" t="e">
        <f>_xlfn.CONCAT(Tabla1[[#This Row],[codigo_]],Tabla1[[#This Row],[correlativo_]])</f>
        <v>#VALUE!</v>
      </c>
      <c r="T575" s="2" t="str">
        <f t="shared" si="10"/>
        <v>13 de enero del 2026</v>
      </c>
      <c r="U575" s="2" t="e">
        <f>_xlfn.XLOOKUP(Tabla1[[#This Row],[instructor_2]],diccionario_!$A$1:$A$11,diccionario_!$D$1:$D$11,,0)</f>
        <v>#VALUE!</v>
      </c>
      <c r="V575" s="2" t="str">
        <f t="shared" si="11"/>
        <v>información de calificación errónea</v>
      </c>
      <c r="W575" s="2" t="s">
        <v>4481</v>
      </c>
    </row>
    <row r="576" spans="1:23" ht="16.5" customHeight="1">
      <c r="A576" s="2">
        <v>698</v>
      </c>
      <c r="B576" s="24" t="s">
        <v>7</v>
      </c>
      <c r="C576" s="24" t="s">
        <v>8</v>
      </c>
      <c r="D576" s="24" t="s">
        <v>9</v>
      </c>
      <c r="E576" s="11">
        <v>46037</v>
      </c>
      <c r="F576" s="14">
        <v>0.5</v>
      </c>
      <c r="G576" s="24" t="s">
        <v>2610</v>
      </c>
      <c r="H576" s="24" t="s">
        <v>2611</v>
      </c>
      <c r="I576" s="24" t="s">
        <v>17</v>
      </c>
      <c r="J576" s="24" t="s">
        <v>12</v>
      </c>
      <c r="K576" s="24" t="s">
        <v>49</v>
      </c>
      <c r="L576" s="24"/>
      <c r="M576" s="24"/>
      <c r="N576" s="27" t="s">
        <v>49</v>
      </c>
      <c r="O576" s="6">
        <v>1</v>
      </c>
      <c r="P576" s="2" t="s">
        <v>3503</v>
      </c>
      <c r="Q576" s="24" t="e">
        <f>IF(Tabla1[[#This Row],[evaluacion_]]="","",IF(Tabla1[[#This Row],[evaluacion_]]=1,"Habilitado","No Habilitado"))</f>
        <v>#VALUE!</v>
      </c>
      <c r="R576" s="2" t="e">
        <f>IF(Tabla1[[#This Row],[fecha]]="","",TEXT(Tabla1[[#This Row],[fecha]],"DMMAAAA")&amp;TEXT(Tabla1[[#This Row],[hora]],"HHmm"))</f>
        <v>#VALUE!</v>
      </c>
      <c r="S576" s="19" t="e">
        <f>_xlfn.CONCAT(Tabla1[[#This Row],[codigo_]],Tabla1[[#This Row],[correlativo_]])</f>
        <v>#VALUE!</v>
      </c>
      <c r="T576" s="2" t="str">
        <f t="shared" ref="T576:T598" si="12">DAY(E576) &amp; " de " &amp; TEXT(E576, "mmmm") &amp; " del " &amp; YEAR(E576)</f>
        <v>15 de enero del 2026</v>
      </c>
      <c r="U576" s="2" t="e">
        <f>_xlfn.XLOOKUP(Tabla1[[#This Row],[instructor_2]],diccionario_!$A$1:$A$11,diccionario_!$D$1:$D$11,,0)</f>
        <v>#VALUE!</v>
      </c>
      <c r="V576" s="2" t="str">
        <f t="shared" ref="V576:V598" si="13">TEXT(O576,"0%")</f>
        <v>100%</v>
      </c>
      <c r="W576" s="2" t="s">
        <v>4482</v>
      </c>
    </row>
    <row r="577" spans="1:23" ht="16.5" customHeight="1">
      <c r="A577" s="2">
        <v>699</v>
      </c>
      <c r="B577" s="24" t="s">
        <v>7</v>
      </c>
      <c r="C577" s="24" t="s">
        <v>8</v>
      </c>
      <c r="D577" s="24" t="s">
        <v>9</v>
      </c>
      <c r="E577" s="11">
        <v>46037</v>
      </c>
      <c r="F577" s="14">
        <v>0.50208333333333299</v>
      </c>
      <c r="G577" s="24" t="s">
        <v>1503</v>
      </c>
      <c r="H577" s="24" t="s">
        <v>1504</v>
      </c>
      <c r="I577" s="24" t="s">
        <v>11</v>
      </c>
      <c r="J577" s="24" t="s">
        <v>12</v>
      </c>
      <c r="K577" s="24" t="s">
        <v>49</v>
      </c>
      <c r="L577" s="24"/>
      <c r="M577" s="24"/>
      <c r="N577" s="27" t="s">
        <v>49</v>
      </c>
      <c r="O577" s="6">
        <v>1</v>
      </c>
      <c r="P577" s="2" t="s">
        <v>3503</v>
      </c>
      <c r="Q577" s="24" t="e">
        <f>IF(Tabla1[[#This Row],[evaluacion_]]="","",IF(Tabla1[[#This Row],[evaluacion_]]=1,"Habilitado","No Habilitado"))</f>
        <v>#VALUE!</v>
      </c>
      <c r="R577" s="2" t="e">
        <f>IF(Tabla1[[#This Row],[fecha]]="","",TEXT(Tabla1[[#This Row],[fecha]],"DMMAAAA")&amp;TEXT(Tabla1[[#This Row],[hora]],"HHmm"))</f>
        <v>#VALUE!</v>
      </c>
      <c r="S577" s="19" t="e">
        <f>_xlfn.CONCAT(Tabla1[[#This Row],[codigo_]],Tabla1[[#This Row],[correlativo_]])</f>
        <v>#VALUE!</v>
      </c>
      <c r="T577" s="2" t="str">
        <f t="shared" si="12"/>
        <v>15 de enero del 2026</v>
      </c>
      <c r="U577" s="2" t="e">
        <f>_xlfn.XLOOKUP(Tabla1[[#This Row],[instructor_2]],diccionario_!$A$1:$A$11,diccionario_!$D$1:$D$11,,0)</f>
        <v>#VALUE!</v>
      </c>
      <c r="V577" s="2" t="str">
        <f t="shared" si="13"/>
        <v>100%</v>
      </c>
      <c r="W577" s="2" t="s">
        <v>4482</v>
      </c>
    </row>
    <row r="578" spans="1:23" ht="16.5" customHeight="1">
      <c r="A578" s="2">
        <v>700</v>
      </c>
      <c r="B578" s="24" t="s">
        <v>7</v>
      </c>
      <c r="C578" s="24" t="s">
        <v>8</v>
      </c>
      <c r="D578" s="24" t="s">
        <v>9</v>
      </c>
      <c r="E578" s="11">
        <v>46037</v>
      </c>
      <c r="F578" s="14">
        <v>0.50416666666666698</v>
      </c>
      <c r="G578" s="24" t="s">
        <v>2319</v>
      </c>
      <c r="H578" s="24" t="s">
        <v>2320</v>
      </c>
      <c r="I578" s="24" t="s">
        <v>11</v>
      </c>
      <c r="J578" s="24" t="s">
        <v>12</v>
      </c>
      <c r="K578" s="24" t="s">
        <v>49</v>
      </c>
      <c r="L578" s="24"/>
      <c r="M578" s="24"/>
      <c r="N578" s="27" t="s">
        <v>49</v>
      </c>
      <c r="O578" s="6">
        <v>1</v>
      </c>
      <c r="P578" s="2" t="s">
        <v>3503</v>
      </c>
      <c r="Q578" s="24" t="e">
        <f>IF(Tabla1[[#This Row],[evaluacion_]]="","",IF(Tabla1[[#This Row],[evaluacion_]]=1,"Habilitado","No Habilitado"))</f>
        <v>#VALUE!</v>
      </c>
      <c r="R578" s="2" t="e">
        <f>IF(Tabla1[[#This Row],[fecha]]="","",TEXT(Tabla1[[#This Row],[fecha]],"DMMAAAA")&amp;TEXT(Tabla1[[#This Row],[hora]],"HHmm"))</f>
        <v>#VALUE!</v>
      </c>
      <c r="S578" s="19" t="e">
        <f>_xlfn.CONCAT(Tabla1[[#This Row],[codigo_]],Tabla1[[#This Row],[correlativo_]])</f>
        <v>#VALUE!</v>
      </c>
      <c r="T578" s="2" t="str">
        <f t="shared" si="12"/>
        <v>15 de enero del 2026</v>
      </c>
      <c r="U578" s="2" t="e">
        <f>_xlfn.XLOOKUP(Tabla1[[#This Row],[instructor_2]],diccionario_!$A$1:$A$11,diccionario_!$D$1:$D$11,,0)</f>
        <v>#VALUE!</v>
      </c>
      <c r="V578" s="2" t="str">
        <f t="shared" si="13"/>
        <v>100%</v>
      </c>
      <c r="W578" s="2" t="s">
        <v>4482</v>
      </c>
    </row>
    <row r="579" spans="1:23" ht="16.5" customHeight="1">
      <c r="A579" s="2">
        <v>701</v>
      </c>
      <c r="B579" s="24" t="s">
        <v>7</v>
      </c>
      <c r="C579" s="24" t="s">
        <v>8</v>
      </c>
      <c r="D579" s="24" t="s">
        <v>9</v>
      </c>
      <c r="E579" s="11">
        <v>46037</v>
      </c>
      <c r="F579" s="14">
        <v>0.50486111111111098</v>
      </c>
      <c r="G579" s="24" t="s">
        <v>2285</v>
      </c>
      <c r="H579" s="24" t="s">
        <v>2286</v>
      </c>
      <c r="I579" s="24" t="s">
        <v>11</v>
      </c>
      <c r="J579" s="24" t="s">
        <v>12</v>
      </c>
      <c r="K579" s="24" t="s">
        <v>49</v>
      </c>
      <c r="L579" s="24"/>
      <c r="M579" s="24"/>
      <c r="N579" s="27" t="s">
        <v>49</v>
      </c>
      <c r="O579" s="6">
        <v>1</v>
      </c>
      <c r="P579" s="2" t="s">
        <v>3503</v>
      </c>
      <c r="Q579" s="24" t="e">
        <f>IF(Tabla1[[#This Row],[evaluacion_]]="","",IF(Tabla1[[#This Row],[evaluacion_]]=1,"Habilitado","No Habilitado"))</f>
        <v>#VALUE!</v>
      </c>
      <c r="R579" s="2" t="e">
        <f>IF(Tabla1[[#This Row],[fecha]]="","",TEXT(Tabla1[[#This Row],[fecha]],"DMMAAAA")&amp;TEXT(Tabla1[[#This Row],[hora]],"HHmm"))</f>
        <v>#VALUE!</v>
      </c>
      <c r="S579" s="19" t="e">
        <f>_xlfn.CONCAT(Tabla1[[#This Row],[codigo_]],Tabla1[[#This Row],[correlativo_]])</f>
        <v>#VALUE!</v>
      </c>
      <c r="T579" s="2" t="str">
        <f t="shared" si="12"/>
        <v>15 de enero del 2026</v>
      </c>
      <c r="U579" s="2" t="e">
        <f>_xlfn.XLOOKUP(Tabla1[[#This Row],[instructor_2]],diccionario_!$A$1:$A$11,diccionario_!$D$1:$D$11,,0)</f>
        <v>#VALUE!</v>
      </c>
      <c r="V579" s="2" t="str">
        <f t="shared" si="13"/>
        <v>100%</v>
      </c>
      <c r="W579" s="2" t="s">
        <v>4482</v>
      </c>
    </row>
    <row r="580" spans="1:23" ht="16.5" customHeight="1">
      <c r="A580" s="2">
        <v>702</v>
      </c>
      <c r="B580" s="24" t="s">
        <v>26</v>
      </c>
      <c r="C580" s="24" t="s">
        <v>27</v>
      </c>
      <c r="D580" s="24" t="s">
        <v>9</v>
      </c>
      <c r="E580" s="11">
        <v>46037</v>
      </c>
      <c r="F580" s="14">
        <v>0.66666666666666696</v>
      </c>
      <c r="G580" s="24" t="s">
        <v>2849</v>
      </c>
      <c r="H580" s="24" t="s">
        <v>2850</v>
      </c>
      <c r="I580" s="24" t="s">
        <v>11</v>
      </c>
      <c r="J580" s="24" t="s">
        <v>36</v>
      </c>
      <c r="K580" s="24" t="s">
        <v>31</v>
      </c>
      <c r="L580" s="24" t="s">
        <v>25</v>
      </c>
      <c r="M580" s="24"/>
      <c r="N580" s="27" t="s">
        <v>4483</v>
      </c>
      <c r="O580" s="6">
        <v>1</v>
      </c>
      <c r="P580" s="2" t="s">
        <v>3503</v>
      </c>
      <c r="Q580" s="24" t="e">
        <f>IF(Tabla1[[#This Row],[evaluacion_]]="","",IF(Tabla1[[#This Row],[evaluacion_]]=1,"Habilitado","No Habilitado"))</f>
        <v>#VALUE!</v>
      </c>
      <c r="R580" s="2" t="e">
        <f>IF(Tabla1[[#This Row],[fecha]]="","",TEXT(Tabla1[[#This Row],[fecha]],"DMMAAAA")&amp;TEXT(Tabla1[[#This Row],[hora]],"HHmm"))</f>
        <v>#VALUE!</v>
      </c>
      <c r="S580" s="19" t="e">
        <f>_xlfn.CONCAT(Tabla1[[#This Row],[codigo_]],Tabla1[[#This Row],[correlativo_]])</f>
        <v>#VALUE!</v>
      </c>
      <c r="T580" s="2" t="str">
        <f t="shared" si="12"/>
        <v>15 de enero del 2026</v>
      </c>
      <c r="U580" s="2" t="e">
        <f>_xlfn.XLOOKUP(Tabla1[[#This Row],[instructor_2]],diccionario_!$A$1:$A$11,diccionario_!$D$1:$D$11,,0)</f>
        <v>#VALUE!</v>
      </c>
      <c r="V580" s="2" t="str">
        <f t="shared" si="13"/>
        <v>100%</v>
      </c>
      <c r="W580" s="2" t="s">
        <v>4484</v>
      </c>
    </row>
    <row r="581" spans="1:23" ht="16.5" customHeight="1">
      <c r="A581" s="2">
        <v>703</v>
      </c>
      <c r="B581" s="24" t="s">
        <v>26</v>
      </c>
      <c r="C581" s="24" t="s">
        <v>27</v>
      </c>
      <c r="D581" s="24" t="s">
        <v>9</v>
      </c>
      <c r="E581" s="11">
        <v>46037</v>
      </c>
      <c r="F581" s="14">
        <v>0.66736111111111096</v>
      </c>
      <c r="G581" s="24" t="s">
        <v>2849</v>
      </c>
      <c r="H581" s="24" t="s">
        <v>2850</v>
      </c>
      <c r="I581" s="24" t="s">
        <v>11</v>
      </c>
      <c r="J581" s="24" t="s">
        <v>12</v>
      </c>
      <c r="K581" s="24" t="s">
        <v>13</v>
      </c>
      <c r="L581" s="24"/>
      <c r="M581" s="24"/>
      <c r="N581" s="27" t="s">
        <v>13</v>
      </c>
      <c r="O581" s="6">
        <v>1</v>
      </c>
      <c r="P581" s="2" t="s">
        <v>3503</v>
      </c>
      <c r="Q581" s="24" t="e">
        <f>IF(Tabla1[[#This Row],[evaluacion_]]="","",IF(Tabla1[[#This Row],[evaluacion_]]=1,"Habilitado","No Habilitado"))</f>
        <v>#VALUE!</v>
      </c>
      <c r="R581" s="2" t="e">
        <f>IF(Tabla1[[#This Row],[fecha]]="","",TEXT(Tabla1[[#This Row],[fecha]],"DMMAAAA")&amp;TEXT(Tabla1[[#This Row],[hora]],"HHmm"))</f>
        <v>#VALUE!</v>
      </c>
      <c r="S581" s="19" t="e">
        <f>_xlfn.CONCAT(Tabla1[[#This Row],[codigo_]],Tabla1[[#This Row],[correlativo_]])</f>
        <v>#VALUE!</v>
      </c>
      <c r="T581" s="2" t="str">
        <f t="shared" si="12"/>
        <v>15 de enero del 2026</v>
      </c>
      <c r="U581" s="2" t="e">
        <f>_xlfn.XLOOKUP(Tabla1[[#This Row],[instructor_2]],diccionario_!$A$1:$A$11,diccionario_!$D$1:$D$11,,0)</f>
        <v>#VALUE!</v>
      </c>
      <c r="V581" s="2" t="str">
        <f t="shared" si="13"/>
        <v>100%</v>
      </c>
      <c r="W581" s="2" t="s">
        <v>4484</v>
      </c>
    </row>
    <row r="582" spans="1:23" ht="16.5" customHeight="1">
      <c r="A582" s="2">
        <v>704</v>
      </c>
      <c r="B582" s="24" t="s">
        <v>26</v>
      </c>
      <c r="C582" s="24" t="s">
        <v>27</v>
      </c>
      <c r="D582" s="24" t="s">
        <v>9</v>
      </c>
      <c r="E582" s="11">
        <v>46037</v>
      </c>
      <c r="F582" s="14">
        <v>0.66805555555555596</v>
      </c>
      <c r="G582" s="24" t="s">
        <v>907</v>
      </c>
      <c r="H582" s="24" t="s">
        <v>908</v>
      </c>
      <c r="I582" s="24" t="s">
        <v>11</v>
      </c>
      <c r="J582" s="24" t="s">
        <v>36</v>
      </c>
      <c r="K582" s="24" t="s">
        <v>31</v>
      </c>
      <c r="L582" s="24" t="s">
        <v>25</v>
      </c>
      <c r="M582" s="24"/>
      <c r="N582" s="27" t="s">
        <v>4483</v>
      </c>
      <c r="O582" s="6">
        <v>1</v>
      </c>
      <c r="P582" s="2" t="s">
        <v>3503</v>
      </c>
      <c r="Q582" s="24" t="e">
        <f>IF(Tabla1[[#This Row],[evaluacion_]]="","",IF(Tabla1[[#This Row],[evaluacion_]]=1,"Habilitado","No Habilitado"))</f>
        <v>#VALUE!</v>
      </c>
      <c r="R582" s="2" t="e">
        <f>IF(Tabla1[[#This Row],[fecha]]="","",TEXT(Tabla1[[#This Row],[fecha]],"DMMAAAA")&amp;TEXT(Tabla1[[#This Row],[hora]],"HHmm"))</f>
        <v>#VALUE!</v>
      </c>
      <c r="S582" s="19" t="e">
        <f>_xlfn.CONCAT(Tabla1[[#This Row],[codigo_]],Tabla1[[#This Row],[correlativo_]])</f>
        <v>#VALUE!</v>
      </c>
      <c r="T582" s="2" t="str">
        <f t="shared" si="12"/>
        <v>15 de enero del 2026</v>
      </c>
      <c r="U582" s="2" t="e">
        <f>_xlfn.XLOOKUP(Tabla1[[#This Row],[instructor_2]],diccionario_!$A$1:$A$11,diccionario_!$D$1:$D$11,,0)</f>
        <v>#VALUE!</v>
      </c>
      <c r="V582" s="2" t="str">
        <f t="shared" si="13"/>
        <v>100%</v>
      </c>
      <c r="W582" s="2" t="s">
        <v>4484</v>
      </c>
    </row>
    <row r="583" spans="1:23" ht="16.5" customHeight="1">
      <c r="A583" s="2">
        <v>705</v>
      </c>
      <c r="B583" s="24" t="s">
        <v>26</v>
      </c>
      <c r="C583" s="24" t="s">
        <v>27</v>
      </c>
      <c r="D583" s="24" t="s">
        <v>9</v>
      </c>
      <c r="E583" s="11">
        <v>46037</v>
      </c>
      <c r="F583" s="14">
        <v>0.67013888888888895</v>
      </c>
      <c r="G583" s="24" t="s">
        <v>907</v>
      </c>
      <c r="H583" s="24" t="s">
        <v>908</v>
      </c>
      <c r="I583" s="24" t="s">
        <v>11</v>
      </c>
      <c r="J583" s="24" t="s">
        <v>12</v>
      </c>
      <c r="K583" s="24" t="s">
        <v>13</v>
      </c>
      <c r="L583" s="24"/>
      <c r="M583" s="24"/>
      <c r="N583" s="27" t="s">
        <v>13</v>
      </c>
      <c r="O583" s="6">
        <v>1</v>
      </c>
      <c r="P583" s="2" t="s">
        <v>3503</v>
      </c>
      <c r="Q583" s="24" t="e">
        <f>IF(Tabla1[[#This Row],[evaluacion_]]="","",IF(Tabla1[[#This Row],[evaluacion_]]=1,"Habilitado","No Habilitado"))</f>
        <v>#VALUE!</v>
      </c>
      <c r="R583" s="2" t="e">
        <f>IF(Tabla1[[#This Row],[fecha]]="","",TEXT(Tabla1[[#This Row],[fecha]],"DMMAAAA")&amp;TEXT(Tabla1[[#This Row],[hora]],"HHmm"))</f>
        <v>#VALUE!</v>
      </c>
      <c r="S583" s="19" t="e">
        <f>_xlfn.CONCAT(Tabla1[[#This Row],[codigo_]],Tabla1[[#This Row],[correlativo_]])</f>
        <v>#VALUE!</v>
      </c>
      <c r="T583" s="2" t="str">
        <f t="shared" si="12"/>
        <v>15 de enero del 2026</v>
      </c>
      <c r="U583" s="2" t="e">
        <f>_xlfn.XLOOKUP(Tabla1[[#This Row],[instructor_2]],diccionario_!$A$1:$A$11,diccionario_!$D$1:$D$11,,0)</f>
        <v>#VALUE!</v>
      </c>
      <c r="V583" s="2" t="str">
        <f t="shared" si="13"/>
        <v>100%</v>
      </c>
      <c r="W583" s="2" t="s">
        <v>4484</v>
      </c>
    </row>
    <row r="584" spans="1:23" ht="16.5" customHeight="1">
      <c r="A584" s="2">
        <v>706</v>
      </c>
      <c r="B584" s="24" t="s">
        <v>26</v>
      </c>
      <c r="C584" s="24" t="s">
        <v>27</v>
      </c>
      <c r="D584" s="24" t="s">
        <v>9</v>
      </c>
      <c r="E584" s="11">
        <v>46037</v>
      </c>
      <c r="F584" s="14">
        <v>0.67361111111111105</v>
      </c>
      <c r="G584" s="24" t="s">
        <v>248</v>
      </c>
      <c r="H584" s="24" t="s">
        <v>249</v>
      </c>
      <c r="I584" s="24" t="s">
        <v>11</v>
      </c>
      <c r="J584" s="24" t="s">
        <v>36</v>
      </c>
      <c r="K584" s="24" t="s">
        <v>31</v>
      </c>
      <c r="L584" s="24" t="s">
        <v>25</v>
      </c>
      <c r="M584" s="24"/>
      <c r="N584" s="27" t="s">
        <v>4483</v>
      </c>
      <c r="O584" s="6">
        <v>1</v>
      </c>
      <c r="P584" s="2" t="s">
        <v>3503</v>
      </c>
      <c r="Q584" s="24" t="e">
        <f>IF(Tabla1[[#This Row],[evaluacion_]]="","",IF(Tabla1[[#This Row],[evaluacion_]]=1,"Habilitado","No Habilitado"))</f>
        <v>#VALUE!</v>
      </c>
      <c r="R584" s="2" t="e">
        <f>IF(Tabla1[[#This Row],[fecha]]="","",TEXT(Tabla1[[#This Row],[fecha]],"DMMAAAA")&amp;TEXT(Tabla1[[#This Row],[hora]],"HHmm"))</f>
        <v>#VALUE!</v>
      </c>
      <c r="S584" s="19" t="e">
        <f>_xlfn.CONCAT(Tabla1[[#This Row],[codigo_]],Tabla1[[#This Row],[correlativo_]])</f>
        <v>#VALUE!</v>
      </c>
      <c r="T584" s="2" t="str">
        <f t="shared" si="12"/>
        <v>15 de enero del 2026</v>
      </c>
      <c r="U584" s="2" t="e">
        <f>_xlfn.XLOOKUP(Tabla1[[#This Row],[instructor_2]],diccionario_!$A$1:$A$11,diccionario_!$D$1:$D$11,,0)</f>
        <v>#VALUE!</v>
      </c>
      <c r="V584" s="2" t="str">
        <f t="shared" si="13"/>
        <v>100%</v>
      </c>
      <c r="W584" s="2" t="s">
        <v>4484</v>
      </c>
    </row>
    <row r="585" spans="1:23" ht="16.5" customHeight="1">
      <c r="A585" s="2">
        <v>707</v>
      </c>
      <c r="B585" s="24" t="s">
        <v>26</v>
      </c>
      <c r="C585" s="24" t="s">
        <v>27</v>
      </c>
      <c r="D585" s="24" t="s">
        <v>9</v>
      </c>
      <c r="E585" s="11">
        <v>46037</v>
      </c>
      <c r="F585" s="14">
        <v>0.67777777777777803</v>
      </c>
      <c r="G585" s="24" t="s">
        <v>248</v>
      </c>
      <c r="H585" s="24" t="s">
        <v>249</v>
      </c>
      <c r="I585" s="24" t="s">
        <v>11</v>
      </c>
      <c r="J585" s="24" t="s">
        <v>12</v>
      </c>
      <c r="K585" s="24" t="s">
        <v>13</v>
      </c>
      <c r="L585" s="24"/>
      <c r="M585" s="24"/>
      <c r="N585" s="27" t="s">
        <v>13</v>
      </c>
      <c r="O585" s="6">
        <v>1</v>
      </c>
      <c r="P585" s="2" t="s">
        <v>3503</v>
      </c>
      <c r="Q585" s="24" t="e">
        <f>IF(Tabla1[[#This Row],[evaluacion_]]="","",IF(Tabla1[[#This Row],[evaluacion_]]=1,"Habilitado","No Habilitado"))</f>
        <v>#VALUE!</v>
      </c>
      <c r="R585" s="2" t="e">
        <f>IF(Tabla1[[#This Row],[fecha]]="","",TEXT(Tabla1[[#This Row],[fecha]],"DMMAAAA")&amp;TEXT(Tabla1[[#This Row],[hora]],"HHmm"))</f>
        <v>#VALUE!</v>
      </c>
      <c r="S585" s="19" t="e">
        <f>_xlfn.CONCAT(Tabla1[[#This Row],[codigo_]],Tabla1[[#This Row],[correlativo_]])</f>
        <v>#VALUE!</v>
      </c>
      <c r="T585" s="2" t="str">
        <f t="shared" si="12"/>
        <v>15 de enero del 2026</v>
      </c>
      <c r="U585" s="2" t="e">
        <f>_xlfn.XLOOKUP(Tabla1[[#This Row],[instructor_2]],diccionario_!$A$1:$A$11,diccionario_!$D$1:$D$11,,0)</f>
        <v>#VALUE!</v>
      </c>
      <c r="V585" s="2" t="str">
        <f t="shared" si="13"/>
        <v>100%</v>
      </c>
      <c r="W585" s="2" t="s">
        <v>4484</v>
      </c>
    </row>
    <row r="586" spans="1:23" ht="16.5" customHeight="1">
      <c r="A586" s="2">
        <v>708</v>
      </c>
      <c r="B586" s="24" t="s">
        <v>26</v>
      </c>
      <c r="C586" s="24" t="s">
        <v>27</v>
      </c>
      <c r="D586" s="24" t="s">
        <v>9</v>
      </c>
      <c r="E586" s="11">
        <v>46037</v>
      </c>
      <c r="F586" s="14">
        <v>0.68055555555555602</v>
      </c>
      <c r="G586" s="24" t="s">
        <v>2290</v>
      </c>
      <c r="H586" s="24" t="s">
        <v>2291</v>
      </c>
      <c r="I586" s="24" t="s">
        <v>11</v>
      </c>
      <c r="J586" s="24" t="s">
        <v>36</v>
      </c>
      <c r="K586" s="24" t="s">
        <v>31</v>
      </c>
      <c r="L586" s="24" t="s">
        <v>25</v>
      </c>
      <c r="M586" s="24"/>
      <c r="N586" s="27" t="s">
        <v>4483</v>
      </c>
      <c r="O586" s="6">
        <v>1</v>
      </c>
      <c r="P586" s="2" t="s">
        <v>3503</v>
      </c>
      <c r="Q586" s="24" t="e">
        <f>IF(Tabla1[[#This Row],[evaluacion_]]="","",IF(Tabla1[[#This Row],[evaluacion_]]=1,"Habilitado","No Habilitado"))</f>
        <v>#VALUE!</v>
      </c>
      <c r="R586" s="2" t="e">
        <f>IF(Tabla1[[#This Row],[fecha]]="","",TEXT(Tabla1[[#This Row],[fecha]],"DMMAAAA")&amp;TEXT(Tabla1[[#This Row],[hora]],"HHmm"))</f>
        <v>#VALUE!</v>
      </c>
      <c r="S586" s="19" t="e">
        <f>_xlfn.CONCAT(Tabla1[[#This Row],[codigo_]],Tabla1[[#This Row],[correlativo_]])</f>
        <v>#VALUE!</v>
      </c>
      <c r="T586" s="2" t="str">
        <f t="shared" si="12"/>
        <v>15 de enero del 2026</v>
      </c>
      <c r="U586" s="2" t="e">
        <f>_xlfn.XLOOKUP(Tabla1[[#This Row],[instructor_2]],diccionario_!$A$1:$A$11,diccionario_!$D$1:$D$11,,0)</f>
        <v>#VALUE!</v>
      </c>
      <c r="V586" s="2" t="str">
        <f t="shared" si="13"/>
        <v>100%</v>
      </c>
      <c r="W586" s="2" t="s">
        <v>4484</v>
      </c>
    </row>
    <row r="587" spans="1:23" ht="16.5" customHeight="1">
      <c r="A587" s="2">
        <v>709</v>
      </c>
      <c r="B587" s="24" t="s">
        <v>26</v>
      </c>
      <c r="C587" s="24" t="s">
        <v>27</v>
      </c>
      <c r="D587" s="24" t="s">
        <v>9</v>
      </c>
      <c r="E587" s="11">
        <v>46037</v>
      </c>
      <c r="F587" s="14">
        <v>0.68402777777777801</v>
      </c>
      <c r="G587" s="24" t="s">
        <v>2290</v>
      </c>
      <c r="H587" s="24" t="s">
        <v>2291</v>
      </c>
      <c r="I587" s="24" t="s">
        <v>11</v>
      </c>
      <c r="J587" s="24" t="s">
        <v>12</v>
      </c>
      <c r="K587" s="24" t="s">
        <v>13</v>
      </c>
      <c r="L587" s="24"/>
      <c r="M587" s="24"/>
      <c r="N587" s="27" t="s">
        <v>13</v>
      </c>
      <c r="O587" s="6">
        <v>1</v>
      </c>
      <c r="P587" s="2" t="s">
        <v>3503</v>
      </c>
      <c r="Q587" s="24" t="e">
        <f>IF(Tabla1[[#This Row],[evaluacion_]]="","",IF(Tabla1[[#This Row],[evaluacion_]]=1,"Habilitado","No Habilitado"))</f>
        <v>#VALUE!</v>
      </c>
      <c r="R587" s="2" t="e">
        <f>IF(Tabla1[[#This Row],[fecha]]="","",TEXT(Tabla1[[#This Row],[fecha]],"DMMAAAA")&amp;TEXT(Tabla1[[#This Row],[hora]],"HHmm"))</f>
        <v>#VALUE!</v>
      </c>
      <c r="S587" s="19" t="e">
        <f>_xlfn.CONCAT(Tabla1[[#This Row],[codigo_]],Tabla1[[#This Row],[correlativo_]])</f>
        <v>#VALUE!</v>
      </c>
      <c r="T587" s="2" t="str">
        <f t="shared" si="12"/>
        <v>15 de enero del 2026</v>
      </c>
      <c r="U587" s="2" t="e">
        <f>_xlfn.XLOOKUP(Tabla1[[#This Row],[instructor_2]],diccionario_!$A$1:$A$11,diccionario_!$D$1:$D$11,,0)</f>
        <v>#VALUE!</v>
      </c>
      <c r="V587" s="2" t="str">
        <f t="shared" si="13"/>
        <v>100%</v>
      </c>
      <c r="W587" s="2" t="s">
        <v>4484</v>
      </c>
    </row>
    <row r="588" spans="1:23" ht="16.5" customHeight="1">
      <c r="A588" s="2">
        <v>710</v>
      </c>
      <c r="B588" s="24" t="s">
        <v>32</v>
      </c>
      <c r="C588" s="24" t="s">
        <v>33</v>
      </c>
      <c r="D588" s="24" t="s">
        <v>9</v>
      </c>
      <c r="E588" s="11">
        <v>46038</v>
      </c>
      <c r="F588" s="14">
        <v>0.375</v>
      </c>
      <c r="G588" s="24" t="s">
        <v>3341</v>
      </c>
      <c r="H588" s="24" t="s">
        <v>3342</v>
      </c>
      <c r="I588" s="24" t="s">
        <v>11</v>
      </c>
      <c r="J588" s="24" t="s">
        <v>24</v>
      </c>
      <c r="K588" s="24" t="s">
        <v>19</v>
      </c>
      <c r="L588" s="24" t="s">
        <v>25</v>
      </c>
      <c r="M588" s="24"/>
      <c r="N588" s="27" t="s">
        <v>4149</v>
      </c>
      <c r="O588" s="6">
        <v>1</v>
      </c>
      <c r="P588" s="2" t="s">
        <v>3503</v>
      </c>
      <c r="Q588" s="24" t="e">
        <f>IF(Tabla1[[#This Row],[evaluacion_]]="","",IF(Tabla1[[#This Row],[evaluacion_]]=1,"Habilitado","No Habilitado"))</f>
        <v>#VALUE!</v>
      </c>
      <c r="R588" s="2" t="e">
        <f>IF(Tabla1[[#This Row],[fecha]]="","",TEXT(Tabla1[[#This Row],[fecha]],"DMMAAAA")&amp;TEXT(Tabla1[[#This Row],[hora]],"HHmm"))</f>
        <v>#VALUE!</v>
      </c>
      <c r="S588" s="19" t="e">
        <f>_xlfn.CONCAT(Tabla1[[#This Row],[codigo_]],Tabla1[[#This Row],[correlativo_]])</f>
        <v>#VALUE!</v>
      </c>
      <c r="T588" s="2" t="str">
        <f t="shared" si="12"/>
        <v>16 de enero del 2026</v>
      </c>
      <c r="U588" s="2" t="e">
        <f>_xlfn.XLOOKUP(Tabla1[[#This Row],[instructor_2]],diccionario_!$A$1:$A$11,diccionario_!$D$1:$D$11,,0)</f>
        <v>#VALUE!</v>
      </c>
      <c r="V588" s="2" t="str">
        <f t="shared" si="13"/>
        <v>100%</v>
      </c>
      <c r="W588" s="2" t="s">
        <v>4485</v>
      </c>
    </row>
    <row r="589" spans="1:23" ht="16.5" customHeight="1">
      <c r="A589" s="2">
        <v>711</v>
      </c>
      <c r="B589" s="24" t="s">
        <v>32</v>
      </c>
      <c r="C589" s="24" t="s">
        <v>33</v>
      </c>
      <c r="D589" s="24" t="s">
        <v>9</v>
      </c>
      <c r="E589" s="11">
        <v>46038</v>
      </c>
      <c r="F589" s="14">
        <v>0.375</v>
      </c>
      <c r="G589" s="24" t="s">
        <v>3341</v>
      </c>
      <c r="H589" s="24" t="s">
        <v>3342</v>
      </c>
      <c r="I589" s="24" t="s">
        <v>23</v>
      </c>
      <c r="J589" s="24" t="s">
        <v>24</v>
      </c>
      <c r="K589" s="24" t="s">
        <v>45</v>
      </c>
      <c r="L589" s="24" t="s">
        <v>43</v>
      </c>
      <c r="M589" s="24" t="s">
        <v>44</v>
      </c>
      <c r="N589" s="27" t="s">
        <v>4486</v>
      </c>
      <c r="O589" s="6">
        <v>1</v>
      </c>
      <c r="P589" s="2" t="s">
        <v>3503</v>
      </c>
      <c r="Q589" s="24" t="e">
        <f>IF(Tabla1[[#This Row],[evaluacion_]]="","",IF(Tabla1[[#This Row],[evaluacion_]]=1,"Habilitado","No Habilitado"))</f>
        <v>#VALUE!</v>
      </c>
      <c r="R589" s="2" t="e">
        <f>IF(Tabla1[[#This Row],[fecha]]="","",TEXT(Tabla1[[#This Row],[fecha]],"DMMAAAA")&amp;TEXT(Tabla1[[#This Row],[hora]],"HHmm"))</f>
        <v>#VALUE!</v>
      </c>
      <c r="S589" s="19" t="e">
        <f>_xlfn.CONCAT(Tabla1[[#This Row],[codigo_]],Tabla1[[#This Row],[correlativo_]])</f>
        <v>#VALUE!</v>
      </c>
      <c r="T589" s="2" t="str">
        <f t="shared" si="12"/>
        <v>16 de enero del 2026</v>
      </c>
      <c r="U589" s="2" t="e">
        <f>_xlfn.XLOOKUP(Tabla1[[#This Row],[instructor_2]],diccionario_!$A$1:$A$11,diccionario_!$D$1:$D$11,,0)</f>
        <v>#VALUE!</v>
      </c>
      <c r="V589" s="2" t="str">
        <f t="shared" si="13"/>
        <v>100%</v>
      </c>
      <c r="W589" s="2" t="s">
        <v>4487</v>
      </c>
    </row>
    <row r="590" spans="1:23" ht="16.5" customHeight="1">
      <c r="A590" s="2">
        <v>712</v>
      </c>
      <c r="B590" s="24" t="s">
        <v>7</v>
      </c>
      <c r="C590" s="24" t="s">
        <v>8</v>
      </c>
      <c r="D590" s="24" t="s">
        <v>9</v>
      </c>
      <c r="E590" s="11">
        <v>46038</v>
      </c>
      <c r="F590" s="14">
        <v>0.375</v>
      </c>
      <c r="G590" s="24" t="s">
        <v>3341</v>
      </c>
      <c r="H590" s="24" t="s">
        <v>3342</v>
      </c>
      <c r="I590" s="24" t="s">
        <v>29</v>
      </c>
      <c r="J590" s="24" t="s">
        <v>24</v>
      </c>
      <c r="K590" s="24" t="s">
        <v>46</v>
      </c>
      <c r="L590" s="24" t="s">
        <v>47</v>
      </c>
      <c r="M590" s="24"/>
      <c r="N590" s="27" t="s">
        <v>3521</v>
      </c>
      <c r="O590" s="6">
        <v>1</v>
      </c>
      <c r="P590" s="2" t="s">
        <v>3503</v>
      </c>
      <c r="Q590" s="24" t="e">
        <f>IF(Tabla1[[#This Row],[evaluacion_]]="","",IF(Tabla1[[#This Row],[evaluacion_]]=1,"Habilitado","No Habilitado"))</f>
        <v>#VALUE!</v>
      </c>
      <c r="R590" s="2" t="e">
        <f>IF(Tabla1[[#This Row],[fecha]]="","",TEXT(Tabla1[[#This Row],[fecha]],"DMMAAAA")&amp;TEXT(Tabla1[[#This Row],[hora]],"HHmm"))</f>
        <v>#VALUE!</v>
      </c>
      <c r="S590" s="19" t="e">
        <f>_xlfn.CONCAT(Tabla1[[#This Row],[codigo_]],Tabla1[[#This Row],[correlativo_]])</f>
        <v>#VALUE!</v>
      </c>
      <c r="T590" s="2" t="str">
        <f t="shared" si="12"/>
        <v>16 de enero del 2026</v>
      </c>
      <c r="U590" s="2" t="e">
        <f>_xlfn.XLOOKUP(Tabla1[[#This Row],[instructor_2]],diccionario_!$A$1:$A$11,diccionario_!$D$1:$D$11,,0)</f>
        <v>#VALUE!</v>
      </c>
      <c r="V590" s="2" t="str">
        <f t="shared" si="13"/>
        <v>100%</v>
      </c>
      <c r="W590" s="2" t="s">
        <v>4487</v>
      </c>
    </row>
    <row r="591" spans="1:23" ht="16.5" customHeight="1">
      <c r="A591" s="2">
        <v>713</v>
      </c>
      <c r="B591" s="24" t="s">
        <v>32</v>
      </c>
      <c r="C591" s="24" t="s">
        <v>33</v>
      </c>
      <c r="D591" s="24" t="s">
        <v>9</v>
      </c>
      <c r="E591" s="11">
        <v>46038</v>
      </c>
      <c r="F591" s="14">
        <v>0.375</v>
      </c>
      <c r="G591" s="24" t="s">
        <v>1807</v>
      </c>
      <c r="H591" s="24" t="s">
        <v>1808</v>
      </c>
      <c r="I591" s="24" t="s">
        <v>11</v>
      </c>
      <c r="J591" s="24" t="s">
        <v>24</v>
      </c>
      <c r="K591" s="24" t="s">
        <v>19</v>
      </c>
      <c r="L591" s="24" t="s">
        <v>25</v>
      </c>
      <c r="M591" s="24"/>
      <c r="N591" s="27" t="s">
        <v>4149</v>
      </c>
      <c r="O591" s="6">
        <v>1</v>
      </c>
      <c r="P591" s="2" t="s">
        <v>3503</v>
      </c>
      <c r="Q591" s="24" t="e">
        <f>IF(Tabla1[[#This Row],[evaluacion_]]="","",IF(Tabla1[[#This Row],[evaluacion_]]=1,"Habilitado","No Habilitado"))</f>
        <v>#VALUE!</v>
      </c>
      <c r="R591" s="2" t="e">
        <f>IF(Tabla1[[#This Row],[fecha]]="","",TEXT(Tabla1[[#This Row],[fecha]],"DMMAAAA")&amp;TEXT(Tabla1[[#This Row],[hora]],"HHmm"))</f>
        <v>#VALUE!</v>
      </c>
      <c r="S591" s="19" t="e">
        <f>_xlfn.CONCAT(Tabla1[[#This Row],[codigo_]],Tabla1[[#This Row],[correlativo_]])</f>
        <v>#VALUE!</v>
      </c>
      <c r="T591" s="2" t="str">
        <f t="shared" si="12"/>
        <v>16 de enero del 2026</v>
      </c>
      <c r="U591" s="2" t="e">
        <f>_xlfn.XLOOKUP(Tabla1[[#This Row],[instructor_2]],diccionario_!$A$1:$A$11,diccionario_!$D$1:$D$11,,0)</f>
        <v>#VALUE!</v>
      </c>
      <c r="V591" s="2" t="str">
        <f t="shared" si="13"/>
        <v>100%</v>
      </c>
      <c r="W591" s="2" t="s">
        <v>4488</v>
      </c>
    </row>
    <row r="592" spans="1:23" ht="16.5" customHeight="1">
      <c r="A592" s="2">
        <v>714</v>
      </c>
      <c r="B592" s="24" t="s">
        <v>32</v>
      </c>
      <c r="C592" s="24" t="s">
        <v>33</v>
      </c>
      <c r="D592" s="24" t="s">
        <v>9</v>
      </c>
      <c r="E592" s="11">
        <v>46038</v>
      </c>
      <c r="F592" s="14">
        <v>0.375</v>
      </c>
      <c r="G592" s="24" t="s">
        <v>1807</v>
      </c>
      <c r="H592" s="24" t="s">
        <v>1808</v>
      </c>
      <c r="I592" s="24" t="s">
        <v>23</v>
      </c>
      <c r="J592" s="24" t="s">
        <v>24</v>
      </c>
      <c r="K592" s="24" t="s">
        <v>45</v>
      </c>
      <c r="L592" s="24" t="s">
        <v>43</v>
      </c>
      <c r="M592" s="24" t="s">
        <v>44</v>
      </c>
      <c r="N592" s="27" t="s">
        <v>4486</v>
      </c>
      <c r="O592" s="6">
        <v>1</v>
      </c>
      <c r="P592" s="2" t="s">
        <v>3503</v>
      </c>
      <c r="Q592" s="24" t="e">
        <f>IF(Tabla1[[#This Row],[evaluacion_]]="","",IF(Tabla1[[#This Row],[evaluacion_]]=1,"Habilitado","No Habilitado"))</f>
        <v>#VALUE!</v>
      </c>
      <c r="R592" s="2" t="e">
        <f>IF(Tabla1[[#This Row],[fecha]]="","",TEXT(Tabla1[[#This Row],[fecha]],"DMMAAAA")&amp;TEXT(Tabla1[[#This Row],[hora]],"HHmm"))</f>
        <v>#VALUE!</v>
      </c>
      <c r="S592" s="19" t="e">
        <f>_xlfn.CONCAT(Tabla1[[#This Row],[codigo_]],Tabla1[[#This Row],[correlativo_]])</f>
        <v>#VALUE!</v>
      </c>
      <c r="T592" s="2" t="str">
        <f t="shared" si="12"/>
        <v>16 de enero del 2026</v>
      </c>
      <c r="U592" s="2" t="e">
        <f>_xlfn.XLOOKUP(Tabla1[[#This Row],[instructor_2]],diccionario_!$A$1:$A$11,diccionario_!$D$1:$D$11,,0)</f>
        <v>#VALUE!</v>
      </c>
      <c r="V592" s="2" t="str">
        <f t="shared" si="13"/>
        <v>100%</v>
      </c>
      <c r="W592" s="2" t="s">
        <v>4488</v>
      </c>
    </row>
    <row r="593" spans="1:23" ht="16.5" customHeight="1">
      <c r="A593" s="2">
        <v>715</v>
      </c>
      <c r="B593" s="24" t="s">
        <v>7</v>
      </c>
      <c r="C593" s="24" t="s">
        <v>8</v>
      </c>
      <c r="D593" s="24" t="s">
        <v>9</v>
      </c>
      <c r="E593" s="11">
        <v>46038</v>
      </c>
      <c r="F593" s="14">
        <v>0.375</v>
      </c>
      <c r="G593" s="24" t="s">
        <v>1807</v>
      </c>
      <c r="H593" s="24" t="s">
        <v>1808</v>
      </c>
      <c r="I593" s="24" t="s">
        <v>29</v>
      </c>
      <c r="J593" s="24" t="s">
        <v>24</v>
      </c>
      <c r="K593" s="24" t="s">
        <v>46</v>
      </c>
      <c r="L593" s="24" t="s">
        <v>47</v>
      </c>
      <c r="M593" s="24"/>
      <c r="N593" s="27" t="s">
        <v>3521</v>
      </c>
      <c r="O593" s="6">
        <v>1</v>
      </c>
      <c r="P593" s="2" t="s">
        <v>3503</v>
      </c>
      <c r="Q593" s="24" t="e">
        <f>IF(Tabla1[[#This Row],[evaluacion_]]="","",IF(Tabla1[[#This Row],[evaluacion_]]=1,"Habilitado","No Habilitado"))</f>
        <v>#VALUE!</v>
      </c>
      <c r="R593" s="2" t="e">
        <f>IF(Tabla1[[#This Row],[fecha]]="","",TEXT(Tabla1[[#This Row],[fecha]],"DMMAAAA")&amp;TEXT(Tabla1[[#This Row],[hora]],"HHmm"))</f>
        <v>#VALUE!</v>
      </c>
      <c r="S593" s="19" t="e">
        <f>_xlfn.CONCAT(Tabla1[[#This Row],[codigo_]],Tabla1[[#This Row],[correlativo_]])</f>
        <v>#VALUE!</v>
      </c>
      <c r="T593" s="2" t="str">
        <f t="shared" si="12"/>
        <v>16 de enero del 2026</v>
      </c>
      <c r="U593" s="2" t="e">
        <f>_xlfn.XLOOKUP(Tabla1[[#This Row],[instructor_2]],diccionario_!$A$1:$A$11,diccionario_!$D$1:$D$11,,0)</f>
        <v>#VALUE!</v>
      </c>
      <c r="V593" s="2" t="str">
        <f t="shared" si="13"/>
        <v>100%</v>
      </c>
      <c r="W593" s="2" t="s">
        <v>4488</v>
      </c>
    </row>
    <row r="594" spans="1:23" ht="16.5" customHeight="1">
      <c r="A594" s="2">
        <v>716</v>
      </c>
      <c r="B594" s="24" t="s">
        <v>32</v>
      </c>
      <c r="C594" s="24" t="s">
        <v>33</v>
      </c>
      <c r="D594" s="24" t="s">
        <v>9</v>
      </c>
      <c r="E594" s="11">
        <v>46038</v>
      </c>
      <c r="F594" s="14">
        <v>0.375</v>
      </c>
      <c r="G594" s="24" t="s">
        <v>652</v>
      </c>
      <c r="H594" s="24" t="s">
        <v>653</v>
      </c>
      <c r="I594" s="24" t="s">
        <v>11</v>
      </c>
      <c r="J594" s="24" t="s">
        <v>24</v>
      </c>
      <c r="K594" s="24" t="s">
        <v>19</v>
      </c>
      <c r="L594" s="24" t="s">
        <v>25</v>
      </c>
      <c r="M594" s="24"/>
      <c r="N594" s="27" t="s">
        <v>4149</v>
      </c>
      <c r="O594" s="6">
        <v>1</v>
      </c>
      <c r="P594" s="2" t="s">
        <v>3503</v>
      </c>
      <c r="Q594" s="24" t="e">
        <f>IF(Tabla1[[#This Row],[evaluacion_]]="","",IF(Tabla1[[#This Row],[evaluacion_]]=1,"Habilitado","No Habilitado"))</f>
        <v>#VALUE!</v>
      </c>
      <c r="R594" s="2" t="e">
        <f>IF(Tabla1[[#This Row],[fecha]]="","",TEXT(Tabla1[[#This Row],[fecha]],"DMMAAAA")&amp;TEXT(Tabla1[[#This Row],[hora]],"HHmm"))</f>
        <v>#VALUE!</v>
      </c>
      <c r="S594" s="19" t="e">
        <f>_xlfn.CONCAT(Tabla1[[#This Row],[codigo_]],Tabla1[[#This Row],[correlativo_]])</f>
        <v>#VALUE!</v>
      </c>
      <c r="T594" s="2" t="str">
        <f t="shared" si="12"/>
        <v>16 de enero del 2026</v>
      </c>
      <c r="U594" s="2" t="e">
        <f>_xlfn.XLOOKUP(Tabla1[[#This Row],[instructor_2]],diccionario_!$A$1:$A$11,diccionario_!$D$1:$D$11,,0)</f>
        <v>#VALUE!</v>
      </c>
      <c r="V594" s="2" t="str">
        <f t="shared" si="13"/>
        <v>100%</v>
      </c>
      <c r="W594" s="2" t="s">
        <v>4489</v>
      </c>
    </row>
    <row r="595" spans="1:23" ht="16.5" customHeight="1">
      <c r="A595" s="2">
        <v>717</v>
      </c>
      <c r="B595" s="24" t="s">
        <v>32</v>
      </c>
      <c r="C595" s="24" t="s">
        <v>33</v>
      </c>
      <c r="D595" s="24" t="s">
        <v>9</v>
      </c>
      <c r="E595" s="11">
        <v>46038</v>
      </c>
      <c r="F595" s="14">
        <v>0.375</v>
      </c>
      <c r="G595" s="24" t="s">
        <v>652</v>
      </c>
      <c r="H595" s="24" t="s">
        <v>653</v>
      </c>
      <c r="I595" s="24" t="s">
        <v>23</v>
      </c>
      <c r="J595" s="24" t="s">
        <v>24</v>
      </c>
      <c r="K595" s="24" t="s">
        <v>45</v>
      </c>
      <c r="L595" s="24" t="s">
        <v>43</v>
      </c>
      <c r="M595" s="24" t="s">
        <v>44</v>
      </c>
      <c r="N595" s="27" t="s">
        <v>4486</v>
      </c>
      <c r="O595" s="6">
        <v>1</v>
      </c>
      <c r="P595" s="2" t="s">
        <v>3503</v>
      </c>
      <c r="Q595" s="24" t="e">
        <f>IF(Tabla1[[#This Row],[evaluacion_]]="","",IF(Tabla1[[#This Row],[evaluacion_]]=1,"Habilitado","No Habilitado"))</f>
        <v>#VALUE!</v>
      </c>
      <c r="R595" s="2" t="e">
        <f>IF(Tabla1[[#This Row],[fecha]]="","",TEXT(Tabla1[[#This Row],[fecha]],"DMMAAAA")&amp;TEXT(Tabla1[[#This Row],[hora]],"HHmm"))</f>
        <v>#VALUE!</v>
      </c>
      <c r="S595" s="19" t="e">
        <f>_xlfn.CONCAT(Tabla1[[#This Row],[codigo_]],Tabla1[[#This Row],[correlativo_]])</f>
        <v>#VALUE!</v>
      </c>
      <c r="T595" s="2" t="str">
        <f t="shared" si="12"/>
        <v>16 de enero del 2026</v>
      </c>
      <c r="U595" s="2" t="e">
        <f>_xlfn.XLOOKUP(Tabla1[[#This Row],[instructor_2]],diccionario_!$A$1:$A$11,diccionario_!$D$1:$D$11,,0)</f>
        <v>#VALUE!</v>
      </c>
      <c r="V595" s="2" t="str">
        <f t="shared" si="13"/>
        <v>100%</v>
      </c>
      <c r="W595" s="2" t="s">
        <v>4489</v>
      </c>
    </row>
    <row r="596" spans="1:23" ht="16.5" customHeight="1">
      <c r="A596" s="2">
        <v>718</v>
      </c>
      <c r="B596" s="24" t="s">
        <v>7</v>
      </c>
      <c r="C596" s="24" t="s">
        <v>8</v>
      </c>
      <c r="D596" s="24" t="s">
        <v>9</v>
      </c>
      <c r="E596" s="11">
        <v>46038</v>
      </c>
      <c r="F596" s="14">
        <v>0.375</v>
      </c>
      <c r="G596" s="24" t="s">
        <v>652</v>
      </c>
      <c r="H596" s="24" t="s">
        <v>653</v>
      </c>
      <c r="I596" s="24" t="s">
        <v>29</v>
      </c>
      <c r="J596" s="24" t="s">
        <v>24</v>
      </c>
      <c r="K596" s="24" t="s">
        <v>46</v>
      </c>
      <c r="L596" s="24" t="s">
        <v>47</v>
      </c>
      <c r="M596" s="24"/>
      <c r="N596" s="27" t="s">
        <v>3521</v>
      </c>
      <c r="O596" s="6">
        <v>1</v>
      </c>
      <c r="P596" s="2" t="s">
        <v>3503</v>
      </c>
      <c r="Q596" s="24" t="e">
        <f>IF(Tabla1[[#This Row],[evaluacion_]]="","",IF(Tabla1[[#This Row],[evaluacion_]]=1,"Habilitado","No Habilitado"))</f>
        <v>#VALUE!</v>
      </c>
      <c r="R596" s="2" t="e">
        <f>IF(Tabla1[[#This Row],[fecha]]="","",TEXT(Tabla1[[#This Row],[fecha]],"DMMAAAA")&amp;TEXT(Tabla1[[#This Row],[hora]],"HHmm"))</f>
        <v>#VALUE!</v>
      </c>
      <c r="S596" s="19" t="e">
        <f>_xlfn.CONCAT(Tabla1[[#This Row],[codigo_]],Tabla1[[#This Row],[correlativo_]])</f>
        <v>#VALUE!</v>
      </c>
      <c r="T596" s="2" t="str">
        <f t="shared" si="12"/>
        <v>16 de enero del 2026</v>
      </c>
      <c r="U596" s="2" t="e">
        <f>_xlfn.XLOOKUP(Tabla1[[#This Row],[instructor_2]],diccionario_!$A$1:$A$11,diccionario_!$D$1:$D$11,,0)</f>
        <v>#VALUE!</v>
      </c>
      <c r="V596" s="2" t="str">
        <f t="shared" si="13"/>
        <v>100%</v>
      </c>
      <c r="W596" s="2" t="s">
        <v>4489</v>
      </c>
    </row>
    <row r="597" spans="1:23" ht="16.5" customHeight="1">
      <c r="A597" s="2">
        <v>719</v>
      </c>
      <c r="B597" s="24" t="s">
        <v>7</v>
      </c>
      <c r="C597" s="24" t="s">
        <v>8</v>
      </c>
      <c r="D597" s="24" t="s">
        <v>9</v>
      </c>
      <c r="E597" s="11">
        <v>46039</v>
      </c>
      <c r="F597" s="14">
        <v>0.66666666666666696</v>
      </c>
      <c r="G597" s="24" t="s">
        <v>1164</v>
      </c>
      <c r="H597" s="24" t="s">
        <v>1165</v>
      </c>
      <c r="I597" s="24" t="s">
        <v>11</v>
      </c>
      <c r="J597" s="24" t="s">
        <v>36</v>
      </c>
      <c r="K597" s="24" t="s">
        <v>25</v>
      </c>
      <c r="L597" s="24"/>
      <c r="M597" s="24"/>
      <c r="N597" s="27" t="s">
        <v>25</v>
      </c>
      <c r="O597" s="6">
        <v>1</v>
      </c>
      <c r="P597" s="2" t="s">
        <v>3503</v>
      </c>
      <c r="Q597" s="24" t="e">
        <f>IF(Tabla1[[#This Row],[evaluacion_]]="","",IF(Tabla1[[#This Row],[evaluacion_]]=1,"Habilitado","No Habilitado"))</f>
        <v>#VALUE!</v>
      </c>
      <c r="R597" s="2" t="e">
        <f>IF(Tabla1[[#This Row],[fecha]]="","",TEXT(Tabla1[[#This Row],[fecha]],"DMMAAAA")&amp;TEXT(Tabla1[[#This Row],[hora]],"HHmm"))</f>
        <v>#VALUE!</v>
      </c>
      <c r="S597" s="19" t="e">
        <f>_xlfn.CONCAT(Tabla1[[#This Row],[codigo_]],Tabla1[[#This Row],[correlativo_]])</f>
        <v>#VALUE!</v>
      </c>
      <c r="T597" s="2" t="str">
        <f t="shared" si="12"/>
        <v>17 de enero del 2026</v>
      </c>
      <c r="U597" s="2" t="e">
        <f>_xlfn.XLOOKUP(Tabla1[[#This Row],[instructor_2]],diccionario_!$A$1:$A$11,diccionario_!$D$1:$D$11,,0)</f>
        <v>#VALUE!</v>
      </c>
      <c r="V597" s="2" t="str">
        <f t="shared" si="13"/>
        <v>100%</v>
      </c>
      <c r="W597" s="2" t="s">
        <v>4490</v>
      </c>
    </row>
    <row r="598" spans="1:23" ht="16.5" customHeight="1">
      <c r="A598" s="2">
        <v>720</v>
      </c>
      <c r="B598" s="24" t="s">
        <v>7</v>
      </c>
      <c r="C598" s="24" t="s">
        <v>8</v>
      </c>
      <c r="D598" s="24" t="s">
        <v>9</v>
      </c>
      <c r="E598" s="11">
        <v>46042</v>
      </c>
      <c r="F598" s="14">
        <v>0.5</v>
      </c>
      <c r="G598" s="24" t="s">
        <v>1164</v>
      </c>
      <c r="H598" s="24" t="s">
        <v>1165</v>
      </c>
      <c r="I598" s="24" t="s">
        <v>11</v>
      </c>
      <c r="J598" s="24" t="s">
        <v>36</v>
      </c>
      <c r="K598" s="24" t="s">
        <v>25</v>
      </c>
      <c r="L598" s="24"/>
      <c r="M598" s="24"/>
      <c r="N598" s="27" t="s">
        <v>25</v>
      </c>
      <c r="O598" s="6">
        <v>1</v>
      </c>
      <c r="P598" s="2" t="s">
        <v>3503</v>
      </c>
      <c r="Q598" s="24" t="e">
        <f>IF(Tabla1[[#This Row],[evaluacion_]]="","",IF(Tabla1[[#This Row],[evaluacion_]]=1,"Habilitado","No Habilitado"))</f>
        <v>#VALUE!</v>
      </c>
      <c r="R598" s="2" t="e">
        <f>IF(Tabla1[[#This Row],[fecha]]="","",TEXT(Tabla1[[#This Row],[fecha]],"DMMAAAA")&amp;TEXT(Tabla1[[#This Row],[hora]],"HHmm"))</f>
        <v>#VALUE!</v>
      </c>
      <c r="S598" s="19" t="e">
        <f>_xlfn.CONCAT(Tabla1[[#This Row],[codigo_]],Tabla1[[#This Row],[correlativo_]])</f>
        <v>#VALUE!</v>
      </c>
      <c r="T598" s="2" t="str">
        <f t="shared" si="12"/>
        <v>20 de enero del 2026</v>
      </c>
      <c r="U598" s="2" t="e">
        <f>_xlfn.XLOOKUP(Tabla1[[#This Row],[instructor_2]],diccionario_!$A$1:$A$11,diccionario_!$D$1:$D$11,,0)</f>
        <v>#VALUE!</v>
      </c>
      <c r="V598" s="2" t="str">
        <f t="shared" si="13"/>
        <v>100%</v>
      </c>
      <c r="W598" s="2" t="s">
        <v>3504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65MBGV7QNQ6R3MCFYJAZXXQ53D4Z4B6U:ms-officescript%3A%2F%2Fonedrive_business_sharinglink%2Fu!aHR0cHM6Ly9idXNlc2ptLW15LnNoYXJlcG9pbnQuY29tLzp1Oi9wL21heGltaWxpYW5vX2NvbnRyZXJhcy9FZkJzUFIyd1JjSkJtOTRkMlBtZUI5UUJSTkJGZElzYlNvV05FWE8xVGcyUERn"/>
  <scriptId xmlns="" id="ms-officescript%3A%2F%2Fonedrive_business_itemlink%2F0165MBGV63E3T7JCYG7NDK5N4UM5PK6SA5:ms-officescript%3A%2F%2Fonedrive_business_sharinglink%2Fu!aHR0cHM6Ly9idXNlc2ptLW15LnNoYXJlcG9pbnQuY29tLzp1Oi9wL21heGltaWxpYW5vX2NvbnRyZXJhcy9FZHNtNV9TTEJ2dEdycmVVWjE2dlNCMEIzNXVKUzd5bFV1MjJlRUNESUdCYW5B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0342BC0BCF87499CBBDD3A8BEA059B" ma:contentTypeVersion="3" ma:contentTypeDescription="Crear nuevo documento." ma:contentTypeScope="" ma:versionID="59d0a8171a6d735cdbd11d74e62d8b26">
  <xsd:schema xmlns:xsd="http://www.w3.org/2001/XMLSchema" xmlns:xs="http://www.w3.org/2001/XMLSchema" xmlns:p="http://schemas.microsoft.com/office/2006/metadata/properties" xmlns:ns2="ce610728-d4a1-4e42-999d-585739c83535" targetNamespace="http://schemas.microsoft.com/office/2006/metadata/properties" ma:root="true" ma:fieldsID="fa13ba2a9656dcd0432895f177f11009" ns2:_="">
    <xsd:import namespace="ce610728-d4a1-4e42-999d-585739c835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10728-d4a1-4e42-999d-585739c83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BCC175-47D9-4283-926A-4C476D2B730D}">
  <ds:schemaRefs>
    <ds:schemaRef ds:uri="http://schemas.microsoft.com/office/extensibility/maker/v1.0"/>
    <ds:schemaRef ds:uri=""/>
  </ds:schemaRefs>
</ds:datastoreItem>
</file>

<file path=customXml/itemProps2.xml><?xml version="1.0" encoding="utf-8"?>
<ds:datastoreItem xmlns:ds="http://schemas.openxmlformats.org/officeDocument/2006/customXml" ds:itemID="{41141D59-DB5A-4B1A-8B27-7CA2D0490B76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ce610728-d4a1-4e42-999d-585739c83535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7A4B3FE-6619-4533-8B32-950A9CC917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0D23071-494F-44EF-8EDB-6F365BFBB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610728-d4a1-4e42-999d-585739c835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diccionario_</vt:lpstr>
      <vt:lpstr>dot_</vt:lpstr>
      <vt:lpstr>firmas</vt:lpstr>
      <vt:lpstr>form</vt:lpstr>
      <vt:lpstr>bbdd</vt:lpstr>
      <vt:lpstr>Registro_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Maximiliano Contreras Rey</dc:creator>
  <cp:keywords/>
  <dc:description/>
  <cp:lastModifiedBy>Maximiliano Contreras Rey</cp:lastModifiedBy>
  <cp:revision/>
  <dcterms:created xsi:type="dcterms:W3CDTF">2025-07-04T13:02:02Z</dcterms:created>
  <dcterms:modified xsi:type="dcterms:W3CDTF">2026-04-17T03:45:45Z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0x010100F10342BC0BCF87499CBBDD3A8BEA059B</vt:lpwstr>
  </property>
</Properties>
</file>